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ime\@gnuplot first100 clean 30 30 30\"/>
    </mc:Choice>
  </mc:AlternateContent>
  <xr:revisionPtr revIDLastSave="0" documentId="13_ncr:1_{085410E2-76FE-4B07-9B67-063C4D94BFDC}" xr6:coauthVersionLast="47" xr6:coauthVersionMax="47" xr10:uidLastSave="{00000000-0000-0000-0000-000000000000}"/>
  <bookViews>
    <workbookView xWindow="-108" yWindow="-108" windowWidth="23256" windowHeight="13176" activeTab="1" xr2:uid="{20824CF1-DEF6-4C4A-AEE1-15C7D7E77D5C}"/>
  </bookViews>
  <sheets>
    <sheet name="fam7" sheetId="1" r:id="rId1"/>
    <sheet name="Find Fam 30 Block" sheetId="2" r:id="rId2"/>
    <sheet name="Find Fam 30 Block (2)" sheetId="5" r:id="rId3"/>
    <sheet name="Sheet2" sheetId="3" r:id="rId4"/>
    <sheet name="Sheet3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AQ6" i="2"/>
  <c r="AQ7" i="2" s="1"/>
  <c r="AQ8" i="2" s="1"/>
  <c r="AQ9" i="2" s="1"/>
  <c r="AQ10" i="2" s="1"/>
  <c r="AQ11" i="2" s="1"/>
  <c r="AQ12" i="2" s="1"/>
  <c r="AQ13" i="2" s="1"/>
  <c r="AQ14" i="2" s="1"/>
  <c r="AQ15" i="2" s="1"/>
  <c r="AQ16" i="2" s="1"/>
  <c r="AQ17" i="2" s="1"/>
  <c r="AQ18" i="2" s="1"/>
  <c r="AQ19" i="2" s="1"/>
  <c r="AQ20" i="2" s="1"/>
  <c r="AQ21" i="2" s="1"/>
  <c r="AQ22" i="2" s="1"/>
  <c r="AQ23" i="2" s="1"/>
  <c r="AQ24" i="2" s="1"/>
  <c r="AQ25" i="2" s="1"/>
  <c r="AQ26" i="2" s="1"/>
  <c r="AQ27" i="2" s="1"/>
  <c r="AQ28" i="2" s="1"/>
  <c r="AQ29" i="2" s="1"/>
  <c r="AQ30" i="2" s="1"/>
  <c r="AQ31" i="2" s="1"/>
  <c r="AQ32" i="2" s="1"/>
  <c r="AQ33" i="2" s="1"/>
  <c r="AQ34" i="2" s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6" i="2"/>
  <c r="AM34" i="2"/>
  <c r="AM33" i="2"/>
  <c r="AM32" i="2"/>
  <c r="AM31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M6" i="2"/>
  <c r="AK5" i="2"/>
  <c r="AN5" i="5"/>
  <c r="AN36" i="5"/>
  <c r="AN67" i="5"/>
  <c r="D4" i="5"/>
  <c r="D80" i="5" s="1"/>
  <c r="H80" i="5" s="1"/>
  <c r="AO5" i="5"/>
  <c r="AO6" i="5" s="1"/>
  <c r="AO7" i="5" s="1"/>
  <c r="AO8" i="5" s="1"/>
  <c r="AO9" i="5" s="1"/>
  <c r="AO10" i="5" s="1"/>
  <c r="AO11" i="5" s="1"/>
  <c r="AO12" i="5" s="1"/>
  <c r="AO13" i="5" s="1"/>
  <c r="AO14" i="5" s="1"/>
  <c r="AO15" i="5" s="1"/>
  <c r="AO16" i="5" s="1"/>
  <c r="AO17" i="5" s="1"/>
  <c r="AO18" i="5" s="1"/>
  <c r="AO19" i="5" s="1"/>
  <c r="AO20" i="5" s="1"/>
  <c r="AO21" i="5" s="1"/>
  <c r="AO22" i="5" s="1"/>
  <c r="AO23" i="5" s="1"/>
  <c r="AO24" i="5" s="1"/>
  <c r="AO25" i="5" s="1"/>
  <c r="AO26" i="5" s="1"/>
  <c r="AO27" i="5" s="1"/>
  <c r="AO28" i="5" s="1"/>
  <c r="AO29" i="5" s="1"/>
  <c r="AO30" i="5" s="1"/>
  <c r="AO31" i="5" s="1"/>
  <c r="AO32" i="5" s="1"/>
  <c r="AO33" i="5" s="1"/>
  <c r="AO34" i="5" s="1"/>
  <c r="AO36" i="5" s="1"/>
  <c r="AO37" i="5" s="1"/>
  <c r="AO38" i="5" s="1"/>
  <c r="AO39" i="5" s="1"/>
  <c r="AO40" i="5" s="1"/>
  <c r="AO41" i="5" s="1"/>
  <c r="AO42" i="5" s="1"/>
  <c r="AO43" i="5" s="1"/>
  <c r="AO44" i="5" s="1"/>
  <c r="AO45" i="5" s="1"/>
  <c r="AO46" i="5" s="1"/>
  <c r="AO47" i="5" s="1"/>
  <c r="AO48" i="5" s="1"/>
  <c r="AO49" i="5" s="1"/>
  <c r="AO50" i="5" s="1"/>
  <c r="AO51" i="5" s="1"/>
  <c r="AO52" i="5" s="1"/>
  <c r="AO53" i="5" s="1"/>
  <c r="AO54" i="5" s="1"/>
  <c r="AO55" i="5" s="1"/>
  <c r="AO56" i="5" s="1"/>
  <c r="AO57" i="5" s="1"/>
  <c r="AO58" i="5" s="1"/>
  <c r="AO59" i="5" s="1"/>
  <c r="AO60" i="5" s="1"/>
  <c r="AO61" i="5" s="1"/>
  <c r="AO62" i="5" s="1"/>
  <c r="AO63" i="5" s="1"/>
  <c r="AO64" i="5" s="1"/>
  <c r="AO65" i="5" s="1"/>
  <c r="AO67" i="5" s="1"/>
  <c r="AO68" i="5" s="1"/>
  <c r="AO69" i="5" s="1"/>
  <c r="AO70" i="5" s="1"/>
  <c r="AO71" i="5" s="1"/>
  <c r="AO72" i="5" s="1"/>
  <c r="AO73" i="5" s="1"/>
  <c r="AO74" i="5" s="1"/>
  <c r="AO75" i="5" s="1"/>
  <c r="AO76" i="5" s="1"/>
  <c r="AO77" i="5" s="1"/>
  <c r="AO78" i="5" s="1"/>
  <c r="AO79" i="5" s="1"/>
  <c r="AO80" i="5" s="1"/>
  <c r="AO81" i="5" s="1"/>
  <c r="AO82" i="5" s="1"/>
  <c r="AO83" i="5" s="1"/>
  <c r="AO84" i="5" s="1"/>
  <c r="AO85" i="5" s="1"/>
  <c r="AO86" i="5" s="1"/>
  <c r="AO87" i="5" s="1"/>
  <c r="AO88" i="5" s="1"/>
  <c r="AO89" i="5" s="1"/>
  <c r="AO90" i="5" s="1"/>
  <c r="AO91" i="5" s="1"/>
  <c r="AO92" i="5" s="1"/>
  <c r="AO93" i="5" s="1"/>
  <c r="AO94" i="5" s="1"/>
  <c r="AO95" i="5" s="1"/>
  <c r="AO96" i="5" s="1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77" i="5"/>
  <c r="AP76" i="5"/>
  <c r="AP75" i="5"/>
  <c r="AP74" i="5"/>
  <c r="AP73" i="5"/>
  <c r="AP72" i="5"/>
  <c r="AP71" i="5"/>
  <c r="AP70" i="5"/>
  <c r="AP69" i="5"/>
  <c r="AP68" i="5"/>
  <c r="AP67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P12" i="5"/>
  <c r="AP11" i="5"/>
  <c r="AP10" i="5"/>
  <c r="AP9" i="5"/>
  <c r="AP8" i="5"/>
  <c r="AP7" i="5"/>
  <c r="AP6" i="5"/>
  <c r="AP5" i="5"/>
  <c r="AM96" i="5"/>
  <c r="AM95" i="5"/>
  <c r="AM94" i="5"/>
  <c r="AM93" i="5"/>
  <c r="AM92" i="5"/>
  <c r="AM91" i="5"/>
  <c r="AM90" i="5"/>
  <c r="AM89" i="5"/>
  <c r="AM88" i="5"/>
  <c r="AM87" i="5"/>
  <c r="AM86" i="5"/>
  <c r="AM85" i="5"/>
  <c r="AM84" i="5"/>
  <c r="AM83" i="5"/>
  <c r="AM82" i="5"/>
  <c r="AM81" i="5"/>
  <c r="AM80" i="5"/>
  <c r="AM79" i="5"/>
  <c r="AM78" i="5"/>
  <c r="AM77" i="5"/>
  <c r="AM76" i="5"/>
  <c r="AM75" i="5"/>
  <c r="AM74" i="5"/>
  <c r="AM73" i="5"/>
  <c r="AM72" i="5"/>
  <c r="AM71" i="5"/>
  <c r="AM70" i="5"/>
  <c r="AM69" i="5"/>
  <c r="AM68" i="5"/>
  <c r="AM67" i="5"/>
  <c r="AM65" i="5"/>
  <c r="AM64" i="5"/>
  <c r="AM63" i="5"/>
  <c r="AM62" i="5"/>
  <c r="AM61" i="5"/>
  <c r="AM60" i="5"/>
  <c r="AM59" i="5"/>
  <c r="AM58" i="5"/>
  <c r="AM57" i="5"/>
  <c r="AM56" i="5"/>
  <c r="AM55" i="5"/>
  <c r="AM54" i="5"/>
  <c r="AM53" i="5"/>
  <c r="AM52" i="5"/>
  <c r="AM51" i="5"/>
  <c r="AM50" i="5"/>
  <c r="AM49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D67" i="5"/>
  <c r="D62" i="5"/>
  <c r="Q62" i="5" s="1"/>
  <c r="D61" i="5"/>
  <c r="Z61" i="5" s="1"/>
  <c r="D60" i="5"/>
  <c r="AF60" i="5" s="1"/>
  <c r="D59" i="5"/>
  <c r="U59" i="5" s="1"/>
  <c r="D58" i="5"/>
  <c r="K58" i="5" s="1"/>
  <c r="D55" i="5"/>
  <c r="S55" i="5" s="1"/>
  <c r="D54" i="5"/>
  <c r="I54" i="5" s="1"/>
  <c r="D52" i="5"/>
  <c r="H52" i="5" s="1"/>
  <c r="D48" i="5"/>
  <c r="W48" i="5" s="1"/>
  <c r="D31" i="5"/>
  <c r="AF31" i="5" s="1"/>
  <c r="D24" i="5"/>
  <c r="Z24" i="5" s="1"/>
  <c r="D22" i="5"/>
  <c r="AD22" i="5" s="1"/>
  <c r="D19" i="5"/>
  <c r="P19" i="5" s="1"/>
  <c r="D18" i="5"/>
  <c r="R18" i="5" s="1"/>
  <c r="D15" i="5"/>
  <c r="X15" i="5" s="1"/>
  <c r="D12" i="5"/>
  <c r="AD12" i="5" s="1"/>
  <c r="D11" i="5"/>
  <c r="AF11" i="5" s="1"/>
  <c r="D10" i="5"/>
  <c r="AH10" i="5" s="1"/>
  <c r="D109" i="2"/>
  <c r="AI109" i="2" s="1"/>
  <c r="D108" i="2"/>
  <c r="Z108" i="2" s="1"/>
  <c r="D107" i="2"/>
  <c r="Q107" i="2" s="1"/>
  <c r="D106" i="2"/>
  <c r="AB106" i="2" s="1"/>
  <c r="D105" i="2"/>
  <c r="S105" i="2" s="1"/>
  <c r="D104" i="2"/>
  <c r="AD104" i="2" s="1"/>
  <c r="D103" i="2"/>
  <c r="U103" i="2" s="1"/>
  <c r="D102" i="2"/>
  <c r="AF102" i="2" s="1"/>
  <c r="D101" i="2"/>
  <c r="W101" i="2" s="1"/>
  <c r="D100" i="2"/>
  <c r="AH100" i="2" s="1"/>
  <c r="D99" i="2"/>
  <c r="Y99" i="2" s="1"/>
  <c r="D98" i="2"/>
  <c r="P98" i="2" s="1"/>
  <c r="D97" i="2"/>
  <c r="AA97" i="2" s="1"/>
  <c r="D96" i="2"/>
  <c r="R96" i="2" s="1"/>
  <c r="D95" i="2"/>
  <c r="AC95" i="2" s="1"/>
  <c r="D94" i="2"/>
  <c r="T94" i="2" s="1"/>
  <c r="D93" i="2"/>
  <c r="AE93" i="2" s="1"/>
  <c r="D92" i="2"/>
  <c r="V92" i="2" s="1"/>
  <c r="D91" i="2"/>
  <c r="AG91" i="2" s="1"/>
  <c r="D90" i="2"/>
  <c r="X90" i="2" s="1"/>
  <c r="D89" i="2"/>
  <c r="AI89" i="2" s="1"/>
  <c r="D88" i="2"/>
  <c r="Z88" i="2" s="1"/>
  <c r="D87" i="2"/>
  <c r="Q87" i="2" s="1"/>
  <c r="D86" i="2"/>
  <c r="AB86" i="2" s="1"/>
  <c r="D85" i="2"/>
  <c r="S85" i="2" s="1"/>
  <c r="D84" i="2"/>
  <c r="AD84" i="2" s="1"/>
  <c r="D83" i="2"/>
  <c r="U83" i="2" s="1"/>
  <c r="D82" i="2"/>
  <c r="AF82" i="2" s="1"/>
  <c r="D81" i="2"/>
  <c r="W81" i="2" s="1"/>
  <c r="D80" i="2"/>
  <c r="D37" i="2"/>
  <c r="D77" i="2" s="1"/>
  <c r="D69" i="2"/>
  <c r="AI69" i="2" s="1"/>
  <c r="D68" i="2"/>
  <c r="Y68" i="2" s="1"/>
  <c r="D67" i="2"/>
  <c r="AI67" i="2" s="1"/>
  <c r="D66" i="2"/>
  <c r="Y66" i="2" s="1"/>
  <c r="D65" i="2"/>
  <c r="AI65" i="2" s="1"/>
  <c r="D64" i="2"/>
  <c r="Y64" i="2" s="1"/>
  <c r="D63" i="2"/>
  <c r="AI63" i="2" s="1"/>
  <c r="D62" i="2"/>
  <c r="Y62" i="2" s="1"/>
  <c r="D61" i="2"/>
  <c r="AI61" i="2" s="1"/>
  <c r="D60" i="2"/>
  <c r="Y60" i="2" s="1"/>
  <c r="D59" i="2"/>
  <c r="AI59" i="2" s="1"/>
  <c r="D58" i="2"/>
  <c r="Y58" i="2" s="1"/>
  <c r="D57" i="2"/>
  <c r="AI57" i="2" s="1"/>
  <c r="D56" i="2"/>
  <c r="Y56" i="2" s="1"/>
  <c r="D55" i="2"/>
  <c r="AI55" i="2" s="1"/>
  <c r="D54" i="2"/>
  <c r="Y54" i="2" s="1"/>
  <c r="D53" i="2"/>
  <c r="AI53" i="2" s="1"/>
  <c r="D52" i="2"/>
  <c r="Y52" i="2" s="1"/>
  <c r="D51" i="2"/>
  <c r="AI51" i="2" s="1"/>
  <c r="D50" i="2"/>
  <c r="Y50" i="2" s="1"/>
  <c r="D49" i="2"/>
  <c r="AI49" i="2" s="1"/>
  <c r="D48" i="2"/>
  <c r="Y48" i="2" s="1"/>
  <c r="D47" i="2"/>
  <c r="AI47" i="2" s="1"/>
  <c r="D46" i="2"/>
  <c r="Y46" i="2" s="1"/>
  <c r="D45" i="2"/>
  <c r="AI45" i="2" s="1"/>
  <c r="D44" i="2"/>
  <c r="Y44" i="2" s="1"/>
  <c r="D43" i="2"/>
  <c r="AI43" i="2" s="1"/>
  <c r="D42" i="2"/>
  <c r="Y42" i="2" s="1"/>
  <c r="D41" i="2"/>
  <c r="AI41" i="2" s="1"/>
  <c r="D40" i="2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6" i="2"/>
  <c r="Z6" i="2" s="1"/>
  <c r="D7" i="2"/>
  <c r="R7" i="2" s="1"/>
  <c r="D8" i="2"/>
  <c r="AC8" i="2" s="1"/>
  <c r="D9" i="2"/>
  <c r="T9" i="2" s="1"/>
  <c r="D10" i="2"/>
  <c r="AE10" i="2" s="1"/>
  <c r="D11" i="2"/>
  <c r="V11" i="2" s="1"/>
  <c r="D12" i="2"/>
  <c r="AG12" i="2" s="1"/>
  <c r="D13" i="2"/>
  <c r="X13" i="2" s="1"/>
  <c r="D14" i="2"/>
  <c r="AI14" i="2" s="1"/>
  <c r="D15" i="2"/>
  <c r="Z15" i="2" s="1"/>
  <c r="D16" i="2"/>
  <c r="Q16" i="2" s="1"/>
  <c r="D17" i="2"/>
  <c r="AB17" i="2" s="1"/>
  <c r="D18" i="2"/>
  <c r="S18" i="2" s="1"/>
  <c r="D19" i="2"/>
  <c r="AD19" i="2" s="1"/>
  <c r="D20" i="2"/>
  <c r="U20" i="2" s="1"/>
  <c r="D21" i="2"/>
  <c r="AF21" i="2" s="1"/>
  <c r="D22" i="2"/>
  <c r="W22" i="2" s="1"/>
  <c r="D23" i="2"/>
  <c r="AH23" i="2" s="1"/>
  <c r="D24" i="2"/>
  <c r="Y24" i="2" s="1"/>
  <c r="D25" i="2"/>
  <c r="P25" i="2" s="1"/>
  <c r="D26" i="2"/>
  <c r="AA26" i="2" s="1"/>
  <c r="D27" i="2"/>
  <c r="R27" i="2" s="1"/>
  <c r="D28" i="2"/>
  <c r="AC28" i="2" s="1"/>
  <c r="D29" i="2"/>
  <c r="T29" i="2" s="1"/>
  <c r="D30" i="2"/>
  <c r="AE30" i="2" s="1"/>
  <c r="D31" i="2"/>
  <c r="V31" i="2" s="1"/>
  <c r="D32" i="2"/>
  <c r="AG32" i="2" s="1"/>
  <c r="D33" i="2"/>
  <c r="X33" i="2" s="1"/>
  <c r="D34" i="2"/>
  <c r="AI34" i="2" s="1"/>
  <c r="D5" i="2"/>
  <c r="A325" i="1"/>
  <c r="A335" i="1" s="1"/>
  <c r="A345" i="1" s="1"/>
  <c r="A355" i="1" s="1"/>
  <c r="A365" i="1" s="1"/>
  <c r="A375" i="1" s="1"/>
  <c r="A385" i="1" s="1"/>
  <c r="A395" i="1" s="1"/>
  <c r="A405" i="1" s="1"/>
  <c r="A415" i="1" s="1"/>
  <c r="A425" i="1" s="1"/>
  <c r="A435" i="1" s="1"/>
  <c r="A445" i="1" s="1"/>
  <c r="A455" i="1" s="1"/>
  <c r="A465" i="1" s="1"/>
  <c r="A475" i="1" s="1"/>
  <c r="A485" i="1" s="1"/>
  <c r="A495" i="1" s="1"/>
  <c r="A505" i="1" s="1"/>
  <c r="A515" i="1" s="1"/>
  <c r="A525" i="1" s="1"/>
  <c r="A535" i="1" s="1"/>
  <c r="A545" i="1" s="1"/>
  <c r="A555" i="1" s="1"/>
  <c r="A565" i="1" s="1"/>
  <c r="A575" i="1" s="1"/>
  <c r="A585" i="1" s="1"/>
  <c r="A595" i="1" s="1"/>
  <c r="A605" i="1" s="1"/>
  <c r="A615" i="1" s="1"/>
  <c r="A625" i="1" s="1"/>
  <c r="A635" i="1" s="1"/>
  <c r="A645" i="1" s="1"/>
  <c r="A655" i="1" s="1"/>
  <c r="A665" i="1" s="1"/>
  <c r="A675" i="1" s="1"/>
  <c r="A685" i="1" s="1"/>
  <c r="A695" i="1" s="1"/>
  <c r="A705" i="1" s="1"/>
  <c r="A715" i="1" s="1"/>
  <c r="A725" i="1" s="1"/>
  <c r="A735" i="1" s="1"/>
  <c r="A745" i="1" s="1"/>
  <c r="A755" i="1" s="1"/>
  <c r="A765" i="1" s="1"/>
  <c r="A775" i="1" s="1"/>
  <c r="A785" i="1" s="1"/>
  <c r="A795" i="1" s="1"/>
  <c r="A805" i="1" s="1"/>
  <c r="A815" i="1" s="1"/>
  <c r="A825" i="1" s="1"/>
  <c r="A835" i="1" s="1"/>
  <c r="A845" i="1" s="1"/>
  <c r="A855" i="1" s="1"/>
  <c r="A865" i="1" s="1"/>
  <c r="A875" i="1" s="1"/>
  <c r="A885" i="1" s="1"/>
  <c r="A895" i="1" s="1"/>
  <c r="A905" i="1" s="1"/>
  <c r="A915" i="1" s="1"/>
  <c r="A925" i="1" s="1"/>
  <c r="A935" i="1" s="1"/>
  <c r="A945" i="1" s="1"/>
  <c r="A955" i="1" s="1"/>
  <c r="A965" i="1" s="1"/>
  <c r="A975" i="1" s="1"/>
  <c r="A985" i="1" s="1"/>
  <c r="A995" i="1" s="1"/>
  <c r="A1005" i="1" s="1"/>
  <c r="A1015" i="1" s="1"/>
  <c r="A1025" i="1" s="1"/>
  <c r="A1035" i="1" s="1"/>
  <c r="A1045" i="1" s="1"/>
  <c r="A1055" i="1" s="1"/>
  <c r="A1065" i="1" s="1"/>
  <c r="A1075" i="1" s="1"/>
  <c r="A1085" i="1" s="1"/>
  <c r="A1095" i="1" s="1"/>
  <c r="A1105" i="1" s="1"/>
  <c r="A1115" i="1" s="1"/>
  <c r="A1125" i="1" s="1"/>
  <c r="A1135" i="1" s="1"/>
  <c r="A1145" i="1" s="1"/>
  <c r="A1155" i="1" s="1"/>
  <c r="A1165" i="1" s="1"/>
  <c r="A1175" i="1" s="1"/>
  <c r="A1185" i="1" s="1"/>
  <c r="A1195" i="1" s="1"/>
  <c r="A1205" i="1" s="1"/>
  <c r="A1215" i="1" s="1"/>
  <c r="A1225" i="1" s="1"/>
  <c r="A1235" i="1" s="1"/>
  <c r="A1245" i="1" s="1"/>
  <c r="A1255" i="1" s="1"/>
  <c r="A1265" i="1" s="1"/>
  <c r="A1275" i="1" s="1"/>
  <c r="A1285" i="1" s="1"/>
  <c r="A1295" i="1" s="1"/>
  <c r="A1305" i="1" s="1"/>
  <c r="A1315" i="1" s="1"/>
  <c r="A1325" i="1" s="1"/>
  <c r="A1335" i="1" s="1"/>
  <c r="A1345" i="1" s="1"/>
  <c r="A1355" i="1" s="1"/>
  <c r="C93" i="1"/>
  <c r="D103" i="1" s="1"/>
  <c r="C92" i="1"/>
  <c r="D102" i="1" s="1"/>
  <c r="C102" i="1" s="1"/>
  <c r="D112" i="1" s="1"/>
  <c r="C91" i="1"/>
  <c r="D101" i="1" s="1"/>
  <c r="C90" i="1"/>
  <c r="D100" i="1" s="1"/>
  <c r="C100" i="1" s="1"/>
  <c r="D110" i="1" s="1"/>
  <c r="C89" i="1"/>
  <c r="D99" i="1" s="1"/>
  <c r="C99" i="1" s="1"/>
  <c r="D109" i="1" s="1"/>
  <c r="C88" i="1"/>
  <c r="D98" i="1" s="1"/>
  <c r="C87" i="1"/>
  <c r="D97" i="1" s="1"/>
  <c r="C86" i="1"/>
  <c r="D96" i="1" s="1"/>
  <c r="C83" i="1"/>
  <c r="C82" i="1"/>
  <c r="C81" i="1"/>
  <c r="C80" i="1"/>
  <c r="C79" i="1"/>
  <c r="C78" i="1"/>
  <c r="C77" i="1"/>
  <c r="C76" i="1"/>
  <c r="C73" i="1"/>
  <c r="C72" i="1"/>
  <c r="C71" i="1"/>
  <c r="C70" i="1"/>
  <c r="C69" i="1"/>
  <c r="C68" i="1"/>
  <c r="C67" i="1"/>
  <c r="C66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3" i="1"/>
  <c r="C42" i="1"/>
  <c r="C41" i="1"/>
  <c r="C40" i="1"/>
  <c r="C39" i="1"/>
  <c r="E38" i="1"/>
  <c r="H38" i="1" s="1"/>
  <c r="C38" i="1"/>
  <c r="C37" i="1"/>
  <c r="C36" i="1"/>
  <c r="C33" i="1"/>
  <c r="C32" i="1"/>
  <c r="C31" i="1"/>
  <c r="C30" i="1"/>
  <c r="C29" i="1"/>
  <c r="C28" i="1"/>
  <c r="C27" i="1"/>
  <c r="C26" i="1"/>
  <c r="E5" i="1"/>
  <c r="E31" i="1" s="1"/>
  <c r="F3" i="1"/>
  <c r="E4" i="1" s="1"/>
  <c r="AN28" i="2" l="1"/>
  <c r="AN8" i="2"/>
  <c r="AN27" i="2"/>
  <c r="AN7" i="2"/>
  <c r="AN26" i="2"/>
  <c r="AN25" i="2"/>
  <c r="AN24" i="2"/>
  <c r="AN23" i="2"/>
  <c r="AN22" i="2"/>
  <c r="AN21" i="2"/>
  <c r="AN20" i="2"/>
  <c r="AN19" i="2"/>
  <c r="AN18" i="2"/>
  <c r="AN17" i="2"/>
  <c r="AN16" i="2"/>
  <c r="AN6" i="2"/>
  <c r="AN15" i="2"/>
  <c r="AN34" i="2"/>
  <c r="AN14" i="2"/>
  <c r="AN33" i="2"/>
  <c r="AN13" i="2"/>
  <c r="AN32" i="2"/>
  <c r="AN12" i="2"/>
  <c r="AN31" i="2"/>
  <c r="AN11" i="2"/>
  <c r="AN30" i="2"/>
  <c r="AN10" i="2"/>
  <c r="AN29" i="2"/>
  <c r="AN9" i="2"/>
  <c r="S6" i="2"/>
  <c r="AA6" i="2"/>
  <c r="S7" i="2"/>
  <c r="J8" i="2"/>
  <c r="AD8" i="2"/>
  <c r="U9" i="2"/>
  <c r="L10" i="2"/>
  <c r="AF10" i="2"/>
  <c r="W11" i="2"/>
  <c r="N12" i="2"/>
  <c r="AH12" i="2"/>
  <c r="Y13" i="2"/>
  <c r="P14" i="2"/>
  <c r="G15" i="2"/>
  <c r="AA15" i="2"/>
  <c r="R16" i="2"/>
  <c r="I17" i="2"/>
  <c r="AC17" i="2"/>
  <c r="T18" i="2"/>
  <c r="K19" i="2"/>
  <c r="AE19" i="2"/>
  <c r="V20" i="2"/>
  <c r="M21" i="2"/>
  <c r="AG21" i="2"/>
  <c r="X22" i="2"/>
  <c r="O23" i="2"/>
  <c r="AI23" i="2"/>
  <c r="Z24" i="2"/>
  <c r="Q25" i="2"/>
  <c r="H26" i="2"/>
  <c r="AB26" i="2"/>
  <c r="S27" i="2"/>
  <c r="J28" i="2"/>
  <c r="AD28" i="2"/>
  <c r="U29" i="2"/>
  <c r="L30" i="2"/>
  <c r="AF30" i="2"/>
  <c r="W31" i="2"/>
  <c r="N32" i="2"/>
  <c r="AH32" i="2"/>
  <c r="Y33" i="2"/>
  <c r="P34" i="2"/>
  <c r="G6" i="2"/>
  <c r="AB6" i="2"/>
  <c r="T7" i="2"/>
  <c r="K8" i="2"/>
  <c r="AE8" i="2"/>
  <c r="V9" i="2"/>
  <c r="M10" i="2"/>
  <c r="AG10" i="2"/>
  <c r="X11" i="2"/>
  <c r="O12" i="2"/>
  <c r="AI12" i="2"/>
  <c r="Z13" i="2"/>
  <c r="Q14" i="2"/>
  <c r="H15" i="2"/>
  <c r="AB15" i="2"/>
  <c r="S16" i="2"/>
  <c r="J17" i="2"/>
  <c r="AD17" i="2"/>
  <c r="U18" i="2"/>
  <c r="L19" i="2"/>
  <c r="AF19" i="2"/>
  <c r="W20" i="2"/>
  <c r="N21" i="2"/>
  <c r="AH21" i="2"/>
  <c r="Y22" i="2"/>
  <c r="P23" i="2"/>
  <c r="G24" i="2"/>
  <c r="AA24" i="2"/>
  <c r="R25" i="2"/>
  <c r="I26" i="2"/>
  <c r="AC26" i="2"/>
  <c r="T27" i="2"/>
  <c r="K28" i="2"/>
  <c r="AE28" i="2"/>
  <c r="V29" i="2"/>
  <c r="M30" i="2"/>
  <c r="AG30" i="2"/>
  <c r="X31" i="2"/>
  <c r="O32" i="2"/>
  <c r="AI32" i="2"/>
  <c r="Z33" i="2"/>
  <c r="Q34" i="2"/>
  <c r="H6" i="2"/>
  <c r="AC6" i="2"/>
  <c r="U7" i="2"/>
  <c r="L8" i="2"/>
  <c r="AF8" i="2"/>
  <c r="W9" i="2"/>
  <c r="N10" i="2"/>
  <c r="AH10" i="2"/>
  <c r="Y11" i="2"/>
  <c r="P12" i="2"/>
  <c r="G13" i="2"/>
  <c r="AA13" i="2"/>
  <c r="R14" i="2"/>
  <c r="I15" i="2"/>
  <c r="AC15" i="2"/>
  <c r="T16" i="2"/>
  <c r="K17" i="2"/>
  <c r="AE17" i="2"/>
  <c r="V18" i="2"/>
  <c r="M19" i="2"/>
  <c r="AG19" i="2"/>
  <c r="X20" i="2"/>
  <c r="O21" i="2"/>
  <c r="AI21" i="2"/>
  <c r="Z22" i="2"/>
  <c r="Q23" i="2"/>
  <c r="H24" i="2"/>
  <c r="AB24" i="2"/>
  <c r="S25" i="2"/>
  <c r="J26" i="2"/>
  <c r="AD26" i="2"/>
  <c r="U27" i="2"/>
  <c r="L28" i="2"/>
  <c r="AF28" i="2"/>
  <c r="W29" i="2"/>
  <c r="N30" i="2"/>
  <c r="AH30" i="2"/>
  <c r="Y31" i="2"/>
  <c r="P32" i="2"/>
  <c r="G33" i="2"/>
  <c r="AA33" i="2"/>
  <c r="R34" i="2"/>
  <c r="I6" i="2"/>
  <c r="AD6" i="2"/>
  <c r="V7" i="2"/>
  <c r="M8" i="2"/>
  <c r="AG8" i="2"/>
  <c r="X9" i="2"/>
  <c r="O10" i="2"/>
  <c r="AI10" i="2"/>
  <c r="Z11" i="2"/>
  <c r="Q12" i="2"/>
  <c r="H13" i="2"/>
  <c r="AB13" i="2"/>
  <c r="S14" i="2"/>
  <c r="J15" i="2"/>
  <c r="AD15" i="2"/>
  <c r="U16" i="2"/>
  <c r="L17" i="2"/>
  <c r="AF17" i="2"/>
  <c r="W18" i="2"/>
  <c r="N19" i="2"/>
  <c r="AH19" i="2"/>
  <c r="Y20" i="2"/>
  <c r="P21" i="2"/>
  <c r="G22" i="2"/>
  <c r="AA22" i="2"/>
  <c r="R23" i="2"/>
  <c r="I24" i="2"/>
  <c r="AC24" i="2"/>
  <c r="T25" i="2"/>
  <c r="K26" i="2"/>
  <c r="AE26" i="2"/>
  <c r="V27" i="2"/>
  <c r="M28" i="2"/>
  <c r="AG28" i="2"/>
  <c r="X29" i="2"/>
  <c r="O30" i="2"/>
  <c r="AI30" i="2"/>
  <c r="Z31" i="2"/>
  <c r="Q32" i="2"/>
  <c r="H33" i="2"/>
  <c r="AB33" i="2"/>
  <c r="S34" i="2"/>
  <c r="J6" i="2"/>
  <c r="AE6" i="2"/>
  <c r="W7" i="2"/>
  <c r="N8" i="2"/>
  <c r="AH8" i="2"/>
  <c r="Y9" i="2"/>
  <c r="P10" i="2"/>
  <c r="G11" i="2"/>
  <c r="AA11" i="2"/>
  <c r="R12" i="2"/>
  <c r="I13" i="2"/>
  <c r="AC13" i="2"/>
  <c r="T14" i="2"/>
  <c r="K15" i="2"/>
  <c r="AE15" i="2"/>
  <c r="V16" i="2"/>
  <c r="M17" i="2"/>
  <c r="AG17" i="2"/>
  <c r="X18" i="2"/>
  <c r="O19" i="2"/>
  <c r="AI19" i="2"/>
  <c r="Z20" i="2"/>
  <c r="Q21" i="2"/>
  <c r="H22" i="2"/>
  <c r="AB22" i="2"/>
  <c r="S23" i="2"/>
  <c r="J24" i="2"/>
  <c r="AD24" i="2"/>
  <c r="U25" i="2"/>
  <c r="L26" i="2"/>
  <c r="AF26" i="2"/>
  <c r="W27" i="2"/>
  <c r="N28" i="2"/>
  <c r="AH28" i="2"/>
  <c r="Y29" i="2"/>
  <c r="P30" i="2"/>
  <c r="G31" i="2"/>
  <c r="AA31" i="2"/>
  <c r="R32" i="2"/>
  <c r="I33" i="2"/>
  <c r="AC33" i="2"/>
  <c r="T34" i="2"/>
  <c r="K6" i="2"/>
  <c r="AF6" i="2"/>
  <c r="X7" i="2"/>
  <c r="O8" i="2"/>
  <c r="AI8" i="2"/>
  <c r="Z9" i="2"/>
  <c r="Q10" i="2"/>
  <c r="H11" i="2"/>
  <c r="AB11" i="2"/>
  <c r="S12" i="2"/>
  <c r="J13" i="2"/>
  <c r="AD13" i="2"/>
  <c r="U14" i="2"/>
  <c r="L15" i="2"/>
  <c r="AF15" i="2"/>
  <c r="W16" i="2"/>
  <c r="N17" i="2"/>
  <c r="AH17" i="2"/>
  <c r="Y18" i="2"/>
  <c r="P19" i="2"/>
  <c r="G20" i="2"/>
  <c r="AA20" i="2"/>
  <c r="R21" i="2"/>
  <c r="I22" i="2"/>
  <c r="AC22" i="2"/>
  <c r="T23" i="2"/>
  <c r="K24" i="2"/>
  <c r="AE24" i="2"/>
  <c r="V25" i="2"/>
  <c r="M26" i="2"/>
  <c r="AG26" i="2"/>
  <c r="X27" i="2"/>
  <c r="O28" i="2"/>
  <c r="AI28" i="2"/>
  <c r="Z29" i="2"/>
  <c r="Q30" i="2"/>
  <c r="H31" i="2"/>
  <c r="AB31" i="2"/>
  <c r="S32" i="2"/>
  <c r="J33" i="2"/>
  <c r="AD33" i="2"/>
  <c r="U34" i="2"/>
  <c r="L6" i="2"/>
  <c r="AG6" i="2"/>
  <c r="Y7" i="2"/>
  <c r="P8" i="2"/>
  <c r="G9" i="2"/>
  <c r="AA9" i="2"/>
  <c r="R10" i="2"/>
  <c r="I11" i="2"/>
  <c r="AC11" i="2"/>
  <c r="T12" i="2"/>
  <c r="K13" i="2"/>
  <c r="AE13" i="2"/>
  <c r="V14" i="2"/>
  <c r="M15" i="2"/>
  <c r="AG15" i="2"/>
  <c r="X16" i="2"/>
  <c r="O17" i="2"/>
  <c r="AI17" i="2"/>
  <c r="Z18" i="2"/>
  <c r="Q19" i="2"/>
  <c r="H20" i="2"/>
  <c r="AB20" i="2"/>
  <c r="S21" i="2"/>
  <c r="J22" i="2"/>
  <c r="AD22" i="2"/>
  <c r="U23" i="2"/>
  <c r="L24" i="2"/>
  <c r="AF24" i="2"/>
  <c r="W25" i="2"/>
  <c r="N26" i="2"/>
  <c r="AH26" i="2"/>
  <c r="Y27" i="2"/>
  <c r="P28" i="2"/>
  <c r="G29" i="2"/>
  <c r="AA29" i="2"/>
  <c r="R30" i="2"/>
  <c r="I31" i="2"/>
  <c r="AC31" i="2"/>
  <c r="T32" i="2"/>
  <c r="K33" i="2"/>
  <c r="AE33" i="2"/>
  <c r="V34" i="2"/>
  <c r="M6" i="2"/>
  <c r="AH6" i="2"/>
  <c r="Z7" i="2"/>
  <c r="Q8" i="2"/>
  <c r="H9" i="2"/>
  <c r="AB9" i="2"/>
  <c r="S10" i="2"/>
  <c r="J11" i="2"/>
  <c r="AD11" i="2"/>
  <c r="U12" i="2"/>
  <c r="L13" i="2"/>
  <c r="AF13" i="2"/>
  <c r="W14" i="2"/>
  <c r="N15" i="2"/>
  <c r="AH15" i="2"/>
  <c r="Y16" i="2"/>
  <c r="P17" i="2"/>
  <c r="G18" i="2"/>
  <c r="AA18" i="2"/>
  <c r="R19" i="2"/>
  <c r="I20" i="2"/>
  <c r="AC20" i="2"/>
  <c r="T21" i="2"/>
  <c r="K22" i="2"/>
  <c r="AE22" i="2"/>
  <c r="V23" i="2"/>
  <c r="M24" i="2"/>
  <c r="AG24" i="2"/>
  <c r="X25" i="2"/>
  <c r="O26" i="2"/>
  <c r="AI26" i="2"/>
  <c r="Z27" i="2"/>
  <c r="Q28" i="2"/>
  <c r="H29" i="2"/>
  <c r="AB29" i="2"/>
  <c r="S30" i="2"/>
  <c r="J31" i="2"/>
  <c r="AD31" i="2"/>
  <c r="U32" i="2"/>
  <c r="L33" i="2"/>
  <c r="AF33" i="2"/>
  <c r="W34" i="2"/>
  <c r="N6" i="2"/>
  <c r="G7" i="2"/>
  <c r="AA7" i="2"/>
  <c r="R8" i="2"/>
  <c r="I9" i="2"/>
  <c r="AC9" i="2"/>
  <c r="T10" i="2"/>
  <c r="K11" i="2"/>
  <c r="AE11" i="2"/>
  <c r="V12" i="2"/>
  <c r="M13" i="2"/>
  <c r="AG13" i="2"/>
  <c r="X14" i="2"/>
  <c r="O15" i="2"/>
  <c r="AI15" i="2"/>
  <c r="Z16" i="2"/>
  <c r="Q17" i="2"/>
  <c r="H18" i="2"/>
  <c r="AB18" i="2"/>
  <c r="S19" i="2"/>
  <c r="J20" i="2"/>
  <c r="AD20" i="2"/>
  <c r="U21" i="2"/>
  <c r="L22" i="2"/>
  <c r="AF22" i="2"/>
  <c r="W23" i="2"/>
  <c r="N24" i="2"/>
  <c r="AH24" i="2"/>
  <c r="Y25" i="2"/>
  <c r="P26" i="2"/>
  <c r="G27" i="2"/>
  <c r="AA27" i="2"/>
  <c r="R28" i="2"/>
  <c r="I29" i="2"/>
  <c r="AC29" i="2"/>
  <c r="T30" i="2"/>
  <c r="K31" i="2"/>
  <c r="AE31" i="2"/>
  <c r="V32" i="2"/>
  <c r="M33" i="2"/>
  <c r="AG33" i="2"/>
  <c r="X34" i="2"/>
  <c r="O6" i="2"/>
  <c r="H7" i="2"/>
  <c r="AB7" i="2"/>
  <c r="S8" i="2"/>
  <c r="J9" i="2"/>
  <c r="AD9" i="2"/>
  <c r="U10" i="2"/>
  <c r="L11" i="2"/>
  <c r="AF11" i="2"/>
  <c r="W12" i="2"/>
  <c r="N13" i="2"/>
  <c r="AH13" i="2"/>
  <c r="Y14" i="2"/>
  <c r="P15" i="2"/>
  <c r="G16" i="2"/>
  <c r="AA16" i="2"/>
  <c r="R17" i="2"/>
  <c r="I18" i="2"/>
  <c r="AC18" i="2"/>
  <c r="T19" i="2"/>
  <c r="K20" i="2"/>
  <c r="AE20" i="2"/>
  <c r="V21" i="2"/>
  <c r="M22" i="2"/>
  <c r="AG22" i="2"/>
  <c r="X23" i="2"/>
  <c r="O24" i="2"/>
  <c r="AI24" i="2"/>
  <c r="Z25" i="2"/>
  <c r="Q26" i="2"/>
  <c r="H27" i="2"/>
  <c r="AB27" i="2"/>
  <c r="S28" i="2"/>
  <c r="J29" i="2"/>
  <c r="AD29" i="2"/>
  <c r="U30" i="2"/>
  <c r="L31" i="2"/>
  <c r="AF31" i="2"/>
  <c r="W32" i="2"/>
  <c r="N33" i="2"/>
  <c r="AH33" i="2"/>
  <c r="Y34" i="2"/>
  <c r="P6" i="2"/>
  <c r="I7" i="2"/>
  <c r="AC7" i="2"/>
  <c r="T8" i="2"/>
  <c r="K9" i="2"/>
  <c r="AE9" i="2"/>
  <c r="V10" i="2"/>
  <c r="M11" i="2"/>
  <c r="AG11" i="2"/>
  <c r="X12" i="2"/>
  <c r="O13" i="2"/>
  <c r="AI13" i="2"/>
  <c r="Z14" i="2"/>
  <c r="Q15" i="2"/>
  <c r="H16" i="2"/>
  <c r="AB16" i="2"/>
  <c r="S17" i="2"/>
  <c r="J18" i="2"/>
  <c r="AD18" i="2"/>
  <c r="U19" i="2"/>
  <c r="L20" i="2"/>
  <c r="AF20" i="2"/>
  <c r="W21" i="2"/>
  <c r="N22" i="2"/>
  <c r="AH22" i="2"/>
  <c r="Y23" i="2"/>
  <c r="P24" i="2"/>
  <c r="G25" i="2"/>
  <c r="AA25" i="2"/>
  <c r="R26" i="2"/>
  <c r="I27" i="2"/>
  <c r="AC27" i="2"/>
  <c r="T28" i="2"/>
  <c r="K29" i="2"/>
  <c r="AE29" i="2"/>
  <c r="V30" i="2"/>
  <c r="M31" i="2"/>
  <c r="AG31" i="2"/>
  <c r="X32" i="2"/>
  <c r="O33" i="2"/>
  <c r="AI33" i="2"/>
  <c r="Z34" i="2"/>
  <c r="Q6" i="2"/>
  <c r="J7" i="2"/>
  <c r="AD7" i="2"/>
  <c r="U8" i="2"/>
  <c r="L9" i="2"/>
  <c r="AF9" i="2"/>
  <c r="W10" i="2"/>
  <c r="N11" i="2"/>
  <c r="AH11" i="2"/>
  <c r="Y12" i="2"/>
  <c r="P13" i="2"/>
  <c r="G14" i="2"/>
  <c r="AA14" i="2"/>
  <c r="R15" i="2"/>
  <c r="I16" i="2"/>
  <c r="AC16" i="2"/>
  <c r="T17" i="2"/>
  <c r="K18" i="2"/>
  <c r="AE18" i="2"/>
  <c r="V19" i="2"/>
  <c r="M20" i="2"/>
  <c r="AG20" i="2"/>
  <c r="X21" i="2"/>
  <c r="O22" i="2"/>
  <c r="AI22" i="2"/>
  <c r="Z23" i="2"/>
  <c r="Q24" i="2"/>
  <c r="H25" i="2"/>
  <c r="AB25" i="2"/>
  <c r="S26" i="2"/>
  <c r="J27" i="2"/>
  <c r="AD27" i="2"/>
  <c r="U28" i="2"/>
  <c r="L29" i="2"/>
  <c r="AF29" i="2"/>
  <c r="W30" i="2"/>
  <c r="N31" i="2"/>
  <c r="AH31" i="2"/>
  <c r="Y32" i="2"/>
  <c r="P33" i="2"/>
  <c r="G34" i="2"/>
  <c r="AA34" i="2"/>
  <c r="R6" i="2"/>
  <c r="K7" i="2"/>
  <c r="AE7" i="2"/>
  <c r="V8" i="2"/>
  <c r="M9" i="2"/>
  <c r="AG9" i="2"/>
  <c r="X10" i="2"/>
  <c r="O11" i="2"/>
  <c r="AI11" i="2"/>
  <c r="Z12" i="2"/>
  <c r="Q13" i="2"/>
  <c r="H14" i="2"/>
  <c r="AB14" i="2"/>
  <c r="S15" i="2"/>
  <c r="J16" i="2"/>
  <c r="AD16" i="2"/>
  <c r="U17" i="2"/>
  <c r="L18" i="2"/>
  <c r="AF18" i="2"/>
  <c r="W19" i="2"/>
  <c r="N20" i="2"/>
  <c r="AH20" i="2"/>
  <c r="Y21" i="2"/>
  <c r="P22" i="2"/>
  <c r="G23" i="2"/>
  <c r="AA23" i="2"/>
  <c r="R24" i="2"/>
  <c r="I25" i="2"/>
  <c r="AC25" i="2"/>
  <c r="T26" i="2"/>
  <c r="K27" i="2"/>
  <c r="AE27" i="2"/>
  <c r="V28" i="2"/>
  <c r="M29" i="2"/>
  <c r="AG29" i="2"/>
  <c r="X30" i="2"/>
  <c r="O31" i="2"/>
  <c r="AI31" i="2"/>
  <c r="Z32" i="2"/>
  <c r="Q33" i="2"/>
  <c r="H34" i="2"/>
  <c r="AB34" i="2"/>
  <c r="T95" i="2"/>
  <c r="T6" i="2"/>
  <c r="L7" i="2"/>
  <c r="AF7" i="2"/>
  <c r="W8" i="2"/>
  <c r="N9" i="2"/>
  <c r="AH9" i="2"/>
  <c r="Y10" i="2"/>
  <c r="P11" i="2"/>
  <c r="G12" i="2"/>
  <c r="AA12" i="2"/>
  <c r="R13" i="2"/>
  <c r="I14" i="2"/>
  <c r="AC14" i="2"/>
  <c r="T15" i="2"/>
  <c r="K16" i="2"/>
  <c r="AE16" i="2"/>
  <c r="V17" i="2"/>
  <c r="M18" i="2"/>
  <c r="AG18" i="2"/>
  <c r="X19" i="2"/>
  <c r="O20" i="2"/>
  <c r="AI20" i="2"/>
  <c r="Z21" i="2"/>
  <c r="Q22" i="2"/>
  <c r="H23" i="2"/>
  <c r="AB23" i="2"/>
  <c r="S24" i="2"/>
  <c r="J25" i="2"/>
  <c r="AD25" i="2"/>
  <c r="U26" i="2"/>
  <c r="L27" i="2"/>
  <c r="AF27" i="2"/>
  <c r="W28" i="2"/>
  <c r="N29" i="2"/>
  <c r="AH29" i="2"/>
  <c r="Y30" i="2"/>
  <c r="P31" i="2"/>
  <c r="G32" i="2"/>
  <c r="AA32" i="2"/>
  <c r="R33" i="2"/>
  <c r="I34" i="2"/>
  <c r="AC34" i="2"/>
  <c r="X95" i="2"/>
  <c r="U6" i="2"/>
  <c r="M7" i="2"/>
  <c r="AG7" i="2"/>
  <c r="X8" i="2"/>
  <c r="O9" i="2"/>
  <c r="AI9" i="2"/>
  <c r="Z10" i="2"/>
  <c r="Q11" i="2"/>
  <c r="H12" i="2"/>
  <c r="AB12" i="2"/>
  <c r="S13" i="2"/>
  <c r="J14" i="2"/>
  <c r="AD14" i="2"/>
  <c r="U15" i="2"/>
  <c r="L16" i="2"/>
  <c r="AF16" i="2"/>
  <c r="W17" i="2"/>
  <c r="N18" i="2"/>
  <c r="AH18" i="2"/>
  <c r="Y19" i="2"/>
  <c r="P20" i="2"/>
  <c r="G21" i="2"/>
  <c r="AA21" i="2"/>
  <c r="R22" i="2"/>
  <c r="I23" i="2"/>
  <c r="AC23" i="2"/>
  <c r="T24" i="2"/>
  <c r="K25" i="2"/>
  <c r="AE25" i="2"/>
  <c r="V26" i="2"/>
  <c r="M27" i="2"/>
  <c r="AG27" i="2"/>
  <c r="X28" i="2"/>
  <c r="O29" i="2"/>
  <c r="AI29" i="2"/>
  <c r="Z30" i="2"/>
  <c r="Q31" i="2"/>
  <c r="H32" i="2"/>
  <c r="AB32" i="2"/>
  <c r="S33" i="2"/>
  <c r="J34" i="2"/>
  <c r="AD34" i="2"/>
  <c r="Y95" i="2"/>
  <c r="V6" i="2"/>
  <c r="N7" i="2"/>
  <c r="AH7" i="2"/>
  <c r="Y8" i="2"/>
  <c r="P9" i="2"/>
  <c r="G10" i="2"/>
  <c r="AA10" i="2"/>
  <c r="R11" i="2"/>
  <c r="I12" i="2"/>
  <c r="AC12" i="2"/>
  <c r="T13" i="2"/>
  <c r="K14" i="2"/>
  <c r="AE14" i="2"/>
  <c r="V15" i="2"/>
  <c r="M16" i="2"/>
  <c r="AG16" i="2"/>
  <c r="X17" i="2"/>
  <c r="O18" i="2"/>
  <c r="AI18" i="2"/>
  <c r="Z19" i="2"/>
  <c r="Q20" i="2"/>
  <c r="H21" i="2"/>
  <c r="AB21" i="2"/>
  <c r="S22" i="2"/>
  <c r="J23" i="2"/>
  <c r="AD23" i="2"/>
  <c r="U24" i="2"/>
  <c r="L25" i="2"/>
  <c r="AF25" i="2"/>
  <c r="W26" i="2"/>
  <c r="N27" i="2"/>
  <c r="AH27" i="2"/>
  <c r="Y28" i="2"/>
  <c r="P29" i="2"/>
  <c r="G30" i="2"/>
  <c r="AA30" i="2"/>
  <c r="R31" i="2"/>
  <c r="I32" i="2"/>
  <c r="AC32" i="2"/>
  <c r="T33" i="2"/>
  <c r="K34" i="2"/>
  <c r="AE34" i="2"/>
  <c r="AD95" i="2"/>
  <c r="W6" i="2"/>
  <c r="O7" i="2"/>
  <c r="AI7" i="2"/>
  <c r="Z8" i="2"/>
  <c r="Q9" i="2"/>
  <c r="H10" i="2"/>
  <c r="AB10" i="2"/>
  <c r="S11" i="2"/>
  <c r="J12" i="2"/>
  <c r="AD12" i="2"/>
  <c r="U13" i="2"/>
  <c r="L14" i="2"/>
  <c r="AF14" i="2"/>
  <c r="W15" i="2"/>
  <c r="N16" i="2"/>
  <c r="AH16" i="2"/>
  <c r="Y17" i="2"/>
  <c r="P18" i="2"/>
  <c r="G19" i="2"/>
  <c r="AA19" i="2"/>
  <c r="R20" i="2"/>
  <c r="I21" i="2"/>
  <c r="AC21" i="2"/>
  <c r="T22" i="2"/>
  <c r="K23" i="2"/>
  <c r="AE23" i="2"/>
  <c r="V24" i="2"/>
  <c r="M25" i="2"/>
  <c r="AG25" i="2"/>
  <c r="X26" i="2"/>
  <c r="O27" i="2"/>
  <c r="AI27" i="2"/>
  <c r="Z28" i="2"/>
  <c r="Q29" i="2"/>
  <c r="H30" i="2"/>
  <c r="AB30" i="2"/>
  <c r="S31" i="2"/>
  <c r="J32" i="2"/>
  <c r="AD32" i="2"/>
  <c r="U33" i="2"/>
  <c r="L34" i="2"/>
  <c r="AF34" i="2"/>
  <c r="AE95" i="2"/>
  <c r="X6" i="2"/>
  <c r="P7" i="2"/>
  <c r="G8" i="2"/>
  <c r="AA8" i="2"/>
  <c r="R9" i="2"/>
  <c r="I10" i="2"/>
  <c r="AC10" i="2"/>
  <c r="T11" i="2"/>
  <c r="K12" i="2"/>
  <c r="AE12" i="2"/>
  <c r="V13" i="2"/>
  <c r="M14" i="2"/>
  <c r="AG14" i="2"/>
  <c r="X15" i="2"/>
  <c r="O16" i="2"/>
  <c r="AI16" i="2"/>
  <c r="Z17" i="2"/>
  <c r="Q18" i="2"/>
  <c r="H19" i="2"/>
  <c r="AB19" i="2"/>
  <c r="S20" i="2"/>
  <c r="J21" i="2"/>
  <c r="AD21" i="2"/>
  <c r="U22" i="2"/>
  <c r="L23" i="2"/>
  <c r="AF23" i="2"/>
  <c r="W24" i="2"/>
  <c r="N25" i="2"/>
  <c r="AH25" i="2"/>
  <c r="Y26" i="2"/>
  <c r="P27" i="2"/>
  <c r="G28" i="2"/>
  <c r="AA28" i="2"/>
  <c r="R29" i="2"/>
  <c r="I30" i="2"/>
  <c r="AC30" i="2"/>
  <c r="T31" i="2"/>
  <c r="K32" i="2"/>
  <c r="AE32" i="2"/>
  <c r="V33" i="2"/>
  <c r="M34" i="2"/>
  <c r="AG34" i="2"/>
  <c r="AF95" i="2"/>
  <c r="Y6" i="2"/>
  <c r="Q7" i="2"/>
  <c r="H8" i="2"/>
  <c r="AB8" i="2"/>
  <c r="S9" i="2"/>
  <c r="J10" i="2"/>
  <c r="AD10" i="2"/>
  <c r="U11" i="2"/>
  <c r="L12" i="2"/>
  <c r="AF12" i="2"/>
  <c r="W13" i="2"/>
  <c r="N14" i="2"/>
  <c r="AH14" i="2"/>
  <c r="Y15" i="2"/>
  <c r="P16" i="2"/>
  <c r="G17" i="2"/>
  <c r="AA17" i="2"/>
  <c r="R18" i="2"/>
  <c r="I19" i="2"/>
  <c r="AC19" i="2"/>
  <c r="T20" i="2"/>
  <c r="K21" i="2"/>
  <c r="AE21" i="2"/>
  <c r="V22" i="2"/>
  <c r="M23" i="2"/>
  <c r="AG23" i="2"/>
  <c r="X24" i="2"/>
  <c r="O25" i="2"/>
  <c r="AI25" i="2"/>
  <c r="Z26" i="2"/>
  <c r="Q27" i="2"/>
  <c r="H28" i="2"/>
  <c r="AB28" i="2"/>
  <c r="S29" i="2"/>
  <c r="J30" i="2"/>
  <c r="AD30" i="2"/>
  <c r="U31" i="2"/>
  <c r="L32" i="2"/>
  <c r="AF32" i="2"/>
  <c r="W33" i="2"/>
  <c r="N34" i="2"/>
  <c r="AH34" i="2"/>
  <c r="AI6" i="2"/>
  <c r="I8" i="2"/>
  <c r="K10" i="2"/>
  <c r="M12" i="2"/>
  <c r="O14" i="2"/>
  <c r="H17" i="2"/>
  <c r="J19" i="2"/>
  <c r="L21" i="2"/>
  <c r="N23" i="2"/>
  <c r="G26" i="2"/>
  <c r="I28" i="2"/>
  <c r="K30" i="2"/>
  <c r="M32" i="2"/>
  <c r="O34" i="2"/>
  <c r="D85" i="5"/>
  <c r="X85" i="5" s="1"/>
  <c r="D42" i="5"/>
  <c r="AF42" i="5" s="1"/>
  <c r="D13" i="5"/>
  <c r="AB13" i="5" s="1"/>
  <c r="D86" i="5"/>
  <c r="AI86" i="5" s="1"/>
  <c r="D14" i="5"/>
  <c r="Z14" i="5" s="1"/>
  <c r="D87" i="5"/>
  <c r="W87" i="5" s="1"/>
  <c r="D25" i="5"/>
  <c r="X25" i="5" s="1"/>
  <c r="D88" i="5"/>
  <c r="AI88" i="5" s="1"/>
  <c r="D26" i="5"/>
  <c r="V26" i="5" s="1"/>
  <c r="D89" i="5"/>
  <c r="S89" i="5" s="1"/>
  <c r="D27" i="5"/>
  <c r="T27" i="5" s="1"/>
  <c r="D90" i="5"/>
  <c r="I90" i="5" s="1"/>
  <c r="D30" i="5"/>
  <c r="AH30" i="5" s="1"/>
  <c r="D91" i="5"/>
  <c r="AI91" i="5" s="1"/>
  <c r="D49" i="5"/>
  <c r="AI49" i="5" s="1"/>
  <c r="D53" i="5"/>
  <c r="AI53" i="5" s="1"/>
  <c r="D92" i="5"/>
  <c r="AC92" i="5" s="1"/>
  <c r="D32" i="5"/>
  <c r="AD32" i="5" s="1"/>
  <c r="D68" i="5"/>
  <c r="AI68" i="5" s="1"/>
  <c r="D33" i="5"/>
  <c r="AB33" i="5" s="1"/>
  <c r="D71" i="5"/>
  <c r="N71" i="5" s="1"/>
  <c r="D39" i="5"/>
  <c r="AC39" i="5" s="1"/>
  <c r="D75" i="5"/>
  <c r="N75" i="5" s="1"/>
  <c r="D40" i="5"/>
  <c r="AE40" i="5" s="1"/>
  <c r="D79" i="5"/>
  <c r="AI79" i="5" s="1"/>
  <c r="D41" i="5"/>
  <c r="AB41" i="5" s="1"/>
  <c r="D81" i="5"/>
  <c r="T81" i="5" s="1"/>
  <c r="D82" i="5"/>
  <c r="AE82" i="5" s="1"/>
  <c r="D43" i="5"/>
  <c r="AD43" i="5" s="1"/>
  <c r="D83" i="5"/>
  <c r="S83" i="5" s="1"/>
  <c r="D46" i="5"/>
  <c r="N46" i="5" s="1"/>
  <c r="D84" i="5"/>
  <c r="AG84" i="5" s="1"/>
  <c r="D5" i="5"/>
  <c r="D34" i="5"/>
  <c r="Z34" i="5" s="1"/>
  <c r="D63" i="5"/>
  <c r="AB63" i="5" s="1"/>
  <c r="D93" i="5"/>
  <c r="AH93" i="5" s="1"/>
  <c r="D8" i="5"/>
  <c r="R8" i="5" s="1"/>
  <c r="D35" i="5"/>
  <c r="D66" i="5" s="1"/>
  <c r="AL67" i="5" s="1"/>
  <c r="AL68" i="5" s="1"/>
  <c r="AL69" i="5" s="1"/>
  <c r="AL70" i="5" s="1"/>
  <c r="AL71" i="5" s="1"/>
  <c r="AL72" i="5" s="1"/>
  <c r="AL73" i="5" s="1"/>
  <c r="AL74" i="5" s="1"/>
  <c r="AL75" i="5" s="1"/>
  <c r="AL76" i="5" s="1"/>
  <c r="AL77" i="5" s="1"/>
  <c r="AL78" i="5" s="1"/>
  <c r="AL79" i="5" s="1"/>
  <c r="AL80" i="5" s="1"/>
  <c r="AL81" i="5" s="1"/>
  <c r="AL82" i="5" s="1"/>
  <c r="AL83" i="5" s="1"/>
  <c r="AL84" i="5" s="1"/>
  <c r="AL85" i="5" s="1"/>
  <c r="AL86" i="5" s="1"/>
  <c r="AL87" i="5" s="1"/>
  <c r="AL88" i="5" s="1"/>
  <c r="AL89" i="5" s="1"/>
  <c r="AL90" i="5" s="1"/>
  <c r="AL91" i="5" s="1"/>
  <c r="AL92" i="5" s="1"/>
  <c r="AL93" i="5" s="1"/>
  <c r="AL94" i="5" s="1"/>
  <c r="AL95" i="5" s="1"/>
  <c r="AL96" i="5" s="1"/>
  <c r="D64" i="5"/>
  <c r="N64" i="5" s="1"/>
  <c r="D94" i="5"/>
  <c r="H94" i="5" s="1"/>
  <c r="D9" i="5"/>
  <c r="P9" i="5" s="1"/>
  <c r="D38" i="5"/>
  <c r="AF38" i="5" s="1"/>
  <c r="D65" i="5"/>
  <c r="AB65" i="5" s="1"/>
  <c r="D20" i="5"/>
  <c r="AH20" i="5" s="1"/>
  <c r="D44" i="5"/>
  <c r="AI44" i="5" s="1"/>
  <c r="D69" i="5"/>
  <c r="AE69" i="5" s="1"/>
  <c r="D95" i="5"/>
  <c r="D21" i="5"/>
  <c r="AF21" i="5" s="1"/>
  <c r="D45" i="5"/>
  <c r="G45" i="5" s="1"/>
  <c r="D70" i="5"/>
  <c r="I70" i="5" s="1"/>
  <c r="D23" i="5"/>
  <c r="AB23" i="5" s="1"/>
  <c r="D47" i="5"/>
  <c r="X47" i="5" s="1"/>
  <c r="D72" i="5"/>
  <c r="AD72" i="5" s="1"/>
  <c r="D6" i="5"/>
  <c r="V6" i="5" s="1"/>
  <c r="D28" i="5"/>
  <c r="R28" i="5" s="1"/>
  <c r="D50" i="5"/>
  <c r="G50" i="5" s="1"/>
  <c r="D73" i="5"/>
  <c r="AH73" i="5" s="1"/>
  <c r="D96" i="5"/>
  <c r="Q96" i="5" s="1"/>
  <c r="D7" i="5"/>
  <c r="T7" i="5" s="1"/>
  <c r="D29" i="5"/>
  <c r="P29" i="5" s="1"/>
  <c r="D51" i="5"/>
  <c r="Q51" i="5" s="1"/>
  <c r="D74" i="5"/>
  <c r="AA74" i="5" s="1"/>
  <c r="D76" i="5"/>
  <c r="AC76" i="5" s="1"/>
  <c r="D16" i="5"/>
  <c r="V16" i="5" s="1"/>
  <c r="D36" i="5"/>
  <c r="D56" i="5"/>
  <c r="AC56" i="5" s="1"/>
  <c r="D77" i="5"/>
  <c r="AH77" i="5" s="1"/>
  <c r="AL5" i="5"/>
  <c r="AL6" i="5" s="1"/>
  <c r="AL7" i="5" s="1"/>
  <c r="AL8" i="5" s="1"/>
  <c r="AL9" i="5" s="1"/>
  <c r="AL10" i="5" s="1"/>
  <c r="AL11" i="5" s="1"/>
  <c r="AL12" i="5" s="1"/>
  <c r="AL13" i="5" s="1"/>
  <c r="AL14" i="5" s="1"/>
  <c r="AL15" i="5" s="1"/>
  <c r="AL16" i="5" s="1"/>
  <c r="AL17" i="5" s="1"/>
  <c r="AL18" i="5" s="1"/>
  <c r="AL19" i="5" s="1"/>
  <c r="AL20" i="5" s="1"/>
  <c r="AL21" i="5" s="1"/>
  <c r="AL22" i="5" s="1"/>
  <c r="AL23" i="5" s="1"/>
  <c r="AL24" i="5" s="1"/>
  <c r="AL25" i="5" s="1"/>
  <c r="AL26" i="5" s="1"/>
  <c r="AL27" i="5" s="1"/>
  <c r="AL28" i="5" s="1"/>
  <c r="AL29" i="5" s="1"/>
  <c r="AL30" i="5" s="1"/>
  <c r="AL31" i="5" s="1"/>
  <c r="AL32" i="5" s="1"/>
  <c r="AL33" i="5" s="1"/>
  <c r="AL34" i="5" s="1"/>
  <c r="D17" i="5"/>
  <c r="T17" i="5" s="1"/>
  <c r="D37" i="5"/>
  <c r="AI37" i="5" s="1"/>
  <c r="D57" i="5"/>
  <c r="AI57" i="5" s="1"/>
  <c r="D78" i="5"/>
  <c r="AB78" i="5" s="1"/>
  <c r="M19" i="5"/>
  <c r="AI24" i="5"/>
  <c r="Y25" i="5"/>
  <c r="Z25" i="5"/>
  <c r="H24" i="5"/>
  <c r="AA25" i="5"/>
  <c r="I24" i="5"/>
  <c r="V27" i="5"/>
  <c r="J24" i="5"/>
  <c r="K24" i="5"/>
  <c r="AA18" i="5"/>
  <c r="L24" i="5"/>
  <c r="Q19" i="5"/>
  <c r="M24" i="5"/>
  <c r="R19" i="5"/>
  <c r="K26" i="5"/>
  <c r="S19" i="5"/>
  <c r="L26" i="5"/>
  <c r="U19" i="5"/>
  <c r="X52" i="5"/>
  <c r="M55" i="5"/>
  <c r="T19" i="5"/>
  <c r="AB25" i="5"/>
  <c r="O40" i="5"/>
  <c r="AC25" i="5"/>
  <c r="AE58" i="5"/>
  <c r="W19" i="5"/>
  <c r="K60" i="5"/>
  <c r="AE25" i="5"/>
  <c r="V61" i="5"/>
  <c r="O10" i="5"/>
  <c r="N22" i="5"/>
  <c r="AF25" i="5"/>
  <c r="AI62" i="5"/>
  <c r="G18" i="5"/>
  <c r="I13" i="5"/>
  <c r="M26" i="5"/>
  <c r="AI10" i="5"/>
  <c r="O22" i="5"/>
  <c r="AG25" i="5"/>
  <c r="G19" i="5"/>
  <c r="J13" i="5"/>
  <c r="AG11" i="5"/>
  <c r="P22" i="5"/>
  <c r="N24" i="5"/>
  <c r="K13" i="5"/>
  <c r="AE12" i="5"/>
  <c r="Q22" i="5"/>
  <c r="O24" i="5"/>
  <c r="X26" i="5"/>
  <c r="AG31" i="5"/>
  <c r="L13" i="5"/>
  <c r="AC13" i="5"/>
  <c r="S18" i="5"/>
  <c r="R22" i="5"/>
  <c r="AA24" i="5"/>
  <c r="Y26" i="5"/>
  <c r="G22" i="5"/>
  <c r="M13" i="5"/>
  <c r="AD13" i="5"/>
  <c r="T18" i="5"/>
  <c r="S22" i="5"/>
  <c r="AB24" i="5"/>
  <c r="Z26" i="5"/>
  <c r="L27" i="5"/>
  <c r="AE13" i="5"/>
  <c r="U18" i="5"/>
  <c r="AE22" i="5"/>
  <c r="AC24" i="5"/>
  <c r="M42" i="5"/>
  <c r="G24" i="5"/>
  <c r="AA14" i="5"/>
  <c r="V18" i="5"/>
  <c r="AF22" i="5"/>
  <c r="AD24" i="5"/>
  <c r="N42" i="5"/>
  <c r="G25" i="5"/>
  <c r="AC14" i="5"/>
  <c r="W18" i="5"/>
  <c r="AG22" i="5"/>
  <c r="AE24" i="5"/>
  <c r="AC26" i="5"/>
  <c r="O42" i="5"/>
  <c r="S81" i="5"/>
  <c r="G26" i="5"/>
  <c r="Y15" i="5"/>
  <c r="X18" i="5"/>
  <c r="AH22" i="5"/>
  <c r="AF24" i="5"/>
  <c r="AD26" i="5"/>
  <c r="P42" i="5"/>
  <c r="G27" i="5"/>
  <c r="AA15" i="5"/>
  <c r="Y18" i="5"/>
  <c r="AI22" i="5"/>
  <c r="AG24" i="5"/>
  <c r="Q42" i="5"/>
  <c r="M88" i="5"/>
  <c r="Z18" i="5"/>
  <c r="AH24" i="5"/>
  <c r="U27" i="5"/>
  <c r="W89" i="5"/>
  <c r="V89" i="5"/>
  <c r="U89" i="5"/>
  <c r="T89" i="5"/>
  <c r="AI89" i="5"/>
  <c r="O89" i="5"/>
  <c r="AH89" i="5"/>
  <c r="N89" i="5"/>
  <c r="AG89" i="5"/>
  <c r="M89" i="5"/>
  <c r="AF89" i="5"/>
  <c r="L89" i="5"/>
  <c r="I89" i="5"/>
  <c r="AA89" i="5"/>
  <c r="G89" i="5"/>
  <c r="AH90" i="5"/>
  <c r="N90" i="5"/>
  <c r="AG90" i="5"/>
  <c r="M90" i="5"/>
  <c r="AF90" i="5"/>
  <c r="L90" i="5"/>
  <c r="V90" i="5"/>
  <c r="U90" i="5"/>
  <c r="T90" i="5"/>
  <c r="R90" i="5"/>
  <c r="Q90" i="5"/>
  <c r="H10" i="5"/>
  <c r="H30" i="5"/>
  <c r="P10" i="5"/>
  <c r="N11" i="5"/>
  <c r="AH11" i="5"/>
  <c r="AF12" i="5"/>
  <c r="AB14" i="5"/>
  <c r="Z15" i="5"/>
  <c r="N31" i="5"/>
  <c r="AH31" i="5"/>
  <c r="T39" i="5"/>
  <c r="Y52" i="5"/>
  <c r="N55" i="5"/>
  <c r="AF58" i="5"/>
  <c r="L60" i="5"/>
  <c r="W61" i="5"/>
  <c r="AE64" i="5"/>
  <c r="J75" i="5"/>
  <c r="N88" i="5"/>
  <c r="AI48" i="5"/>
  <c r="Y91" i="5"/>
  <c r="X91" i="5"/>
  <c r="W91" i="5"/>
  <c r="V91" i="5"/>
  <c r="P91" i="5"/>
  <c r="AG91" i="5"/>
  <c r="M91" i="5"/>
  <c r="AF91" i="5"/>
  <c r="AE91" i="5"/>
  <c r="AD91" i="5"/>
  <c r="J91" i="5"/>
  <c r="AC91" i="5"/>
  <c r="I91" i="5"/>
  <c r="AB91" i="5"/>
  <c r="H91" i="5"/>
  <c r="Z91" i="5"/>
  <c r="I10" i="5"/>
  <c r="Q10" i="5"/>
  <c r="O11" i="5"/>
  <c r="AI11" i="5"/>
  <c r="AG12" i="5"/>
  <c r="Q30" i="5"/>
  <c r="O31" i="5"/>
  <c r="AI31" i="5"/>
  <c r="AG32" i="5"/>
  <c r="H49" i="5"/>
  <c r="Z52" i="5"/>
  <c r="O55" i="5"/>
  <c r="AG58" i="5"/>
  <c r="M60" i="5"/>
  <c r="X61" i="5"/>
  <c r="L77" i="5"/>
  <c r="G82" i="5"/>
  <c r="O88" i="5"/>
  <c r="AG92" i="5"/>
  <c r="M92" i="5"/>
  <c r="AF92" i="5"/>
  <c r="L92" i="5"/>
  <c r="AE92" i="5"/>
  <c r="K92" i="5"/>
  <c r="AD92" i="5"/>
  <c r="J92" i="5"/>
  <c r="Z92" i="5"/>
  <c r="Y92" i="5"/>
  <c r="J10" i="5"/>
  <c r="R10" i="5"/>
  <c r="P11" i="5"/>
  <c r="N12" i="5"/>
  <c r="AH12" i="5"/>
  <c r="AF13" i="5"/>
  <c r="AD14" i="5"/>
  <c r="AB15" i="5"/>
  <c r="Z16" i="5"/>
  <c r="R30" i="5"/>
  <c r="P31" i="5"/>
  <c r="N32" i="5"/>
  <c r="AH32" i="5"/>
  <c r="AD34" i="5"/>
  <c r="V39" i="5"/>
  <c r="AA52" i="5"/>
  <c r="G54" i="5"/>
  <c r="P55" i="5"/>
  <c r="AH58" i="5"/>
  <c r="N60" i="5"/>
  <c r="Y61" i="5"/>
  <c r="L75" i="5"/>
  <c r="M77" i="5"/>
  <c r="P79" i="5"/>
  <c r="H82" i="5"/>
  <c r="Q88" i="5"/>
  <c r="K10" i="5"/>
  <c r="K30" i="5"/>
  <c r="S10" i="5"/>
  <c r="Q11" i="5"/>
  <c r="O12" i="5"/>
  <c r="AI12" i="5"/>
  <c r="AG13" i="5"/>
  <c r="AE14" i="5"/>
  <c r="AC15" i="5"/>
  <c r="S30" i="5"/>
  <c r="Q31" i="5"/>
  <c r="AE34" i="5"/>
  <c r="Z37" i="5"/>
  <c r="AA38" i="5"/>
  <c r="W39" i="5"/>
  <c r="V45" i="5"/>
  <c r="J49" i="5"/>
  <c r="AB52" i="5"/>
  <c r="H54" i="5"/>
  <c r="Q55" i="5"/>
  <c r="AI58" i="5"/>
  <c r="O60" i="5"/>
  <c r="M75" i="5"/>
  <c r="N77" i="5"/>
  <c r="Q79" i="5"/>
  <c r="I82" i="5"/>
  <c r="T85" i="5"/>
  <c r="AG88" i="5"/>
  <c r="AC53" i="5"/>
  <c r="I53" i="5"/>
  <c r="AB53" i="5"/>
  <c r="H53" i="5"/>
  <c r="AA53" i="5"/>
  <c r="G53" i="5"/>
  <c r="Z53" i="5"/>
  <c r="Y53" i="5"/>
  <c r="X53" i="5"/>
  <c r="W53" i="5"/>
  <c r="V53" i="5"/>
  <c r="R74" i="5"/>
  <c r="Q74" i="5"/>
  <c r="P74" i="5"/>
  <c r="AI74" i="5"/>
  <c r="O74" i="5"/>
  <c r="AH74" i="5"/>
  <c r="N74" i="5"/>
  <c r="AG74" i="5"/>
  <c r="M74" i="5"/>
  <c r="AF74" i="5"/>
  <c r="L74" i="5"/>
  <c r="AE74" i="5"/>
  <c r="K74" i="5"/>
  <c r="AD74" i="5"/>
  <c r="J74" i="5"/>
  <c r="AC74" i="5"/>
  <c r="I74" i="5"/>
  <c r="AB74" i="5"/>
  <c r="H74" i="5"/>
  <c r="Z74" i="5"/>
  <c r="Y74" i="5"/>
  <c r="L10" i="5"/>
  <c r="H14" i="5"/>
  <c r="L30" i="5"/>
  <c r="H34" i="5"/>
  <c r="T10" i="5"/>
  <c r="R11" i="5"/>
  <c r="P12" i="5"/>
  <c r="N13" i="5"/>
  <c r="AH13" i="5"/>
  <c r="AF14" i="5"/>
  <c r="AD15" i="5"/>
  <c r="AB16" i="5"/>
  <c r="V19" i="5"/>
  <c r="T30" i="5"/>
  <c r="R31" i="5"/>
  <c r="P32" i="5"/>
  <c r="AF34" i="5"/>
  <c r="AA37" i="5"/>
  <c r="AB38" i="5"/>
  <c r="X39" i="5"/>
  <c r="T40" i="5"/>
  <c r="R42" i="5"/>
  <c r="U43" i="5"/>
  <c r="R44" i="5"/>
  <c r="W45" i="5"/>
  <c r="V46" i="5"/>
  <c r="K49" i="5"/>
  <c r="AC52" i="5"/>
  <c r="R55" i="5"/>
  <c r="G58" i="5"/>
  <c r="P59" i="5"/>
  <c r="P60" i="5"/>
  <c r="I62" i="5"/>
  <c r="AI64" i="5"/>
  <c r="S68" i="5"/>
  <c r="O77" i="5"/>
  <c r="R79" i="5"/>
  <c r="J82" i="5"/>
  <c r="U85" i="5"/>
  <c r="AH88" i="5"/>
  <c r="T54" i="5"/>
  <c r="S54" i="5"/>
  <c r="R54" i="5"/>
  <c r="Q54" i="5"/>
  <c r="P54" i="5"/>
  <c r="AI54" i="5"/>
  <c r="O54" i="5"/>
  <c r="AH54" i="5"/>
  <c r="N54" i="5"/>
  <c r="AG54" i="5"/>
  <c r="M54" i="5"/>
  <c r="AF54" i="5"/>
  <c r="L54" i="5"/>
  <c r="AC75" i="5"/>
  <c r="I75" i="5"/>
  <c r="AB75" i="5"/>
  <c r="H75" i="5"/>
  <c r="AA75" i="5"/>
  <c r="G75" i="5"/>
  <c r="Z75" i="5"/>
  <c r="Y75" i="5"/>
  <c r="X75" i="5"/>
  <c r="W75" i="5"/>
  <c r="V75" i="5"/>
  <c r="U75" i="5"/>
  <c r="T75" i="5"/>
  <c r="S75" i="5"/>
  <c r="Q75" i="5"/>
  <c r="P75" i="5"/>
  <c r="AC95" i="5"/>
  <c r="I95" i="5"/>
  <c r="AB95" i="5"/>
  <c r="H95" i="5"/>
  <c r="AA95" i="5"/>
  <c r="G95" i="5"/>
  <c r="Z95" i="5"/>
  <c r="Y95" i="5"/>
  <c r="X95" i="5"/>
  <c r="W95" i="5"/>
  <c r="V95" i="5"/>
  <c r="U95" i="5"/>
  <c r="T95" i="5"/>
  <c r="S95" i="5"/>
  <c r="R95" i="5"/>
  <c r="Q95" i="5"/>
  <c r="P95" i="5"/>
  <c r="AI95" i="5"/>
  <c r="O95" i="5"/>
  <c r="AH95" i="5"/>
  <c r="N95" i="5"/>
  <c r="AG95" i="5"/>
  <c r="M95" i="5"/>
  <c r="AF95" i="5"/>
  <c r="L95" i="5"/>
  <c r="AE95" i="5"/>
  <c r="K95" i="5"/>
  <c r="AD95" i="5"/>
  <c r="J95" i="5"/>
  <c r="M10" i="5"/>
  <c r="I14" i="5"/>
  <c r="M30" i="5"/>
  <c r="I34" i="5"/>
  <c r="W9" i="5"/>
  <c r="U10" i="5"/>
  <c r="S11" i="5"/>
  <c r="Q12" i="5"/>
  <c r="O13" i="5"/>
  <c r="AI13" i="5"/>
  <c r="AG14" i="5"/>
  <c r="AE15" i="5"/>
  <c r="AC16" i="5"/>
  <c r="U30" i="5"/>
  <c r="S31" i="5"/>
  <c r="Q32" i="5"/>
  <c r="AG34" i="5"/>
  <c r="AB37" i="5"/>
  <c r="AC38" i="5"/>
  <c r="Y39" i="5"/>
  <c r="U40" i="5"/>
  <c r="S42" i="5"/>
  <c r="V43" i="5"/>
  <c r="S44" i="5"/>
  <c r="X45" i="5"/>
  <c r="W46" i="5"/>
  <c r="L49" i="5"/>
  <c r="J53" i="5"/>
  <c r="J54" i="5"/>
  <c r="AB56" i="5"/>
  <c r="H58" i="5"/>
  <c r="Q59" i="5"/>
  <c r="AA60" i="5"/>
  <c r="J62" i="5"/>
  <c r="G65" i="5"/>
  <c r="T68" i="5"/>
  <c r="O70" i="5"/>
  <c r="O75" i="5"/>
  <c r="P77" i="5"/>
  <c r="S79" i="5"/>
  <c r="K82" i="5"/>
  <c r="V85" i="5"/>
  <c r="AL36" i="5"/>
  <c r="AL37" i="5" s="1"/>
  <c r="AL38" i="5" s="1"/>
  <c r="AL39" i="5" s="1"/>
  <c r="AL40" i="5" s="1"/>
  <c r="AL41" i="5" s="1"/>
  <c r="AL42" i="5" s="1"/>
  <c r="AL43" i="5" s="1"/>
  <c r="AL44" i="5" s="1"/>
  <c r="AL45" i="5" s="1"/>
  <c r="AL46" i="5" s="1"/>
  <c r="AL47" i="5" s="1"/>
  <c r="AL48" i="5" s="1"/>
  <c r="AL49" i="5" s="1"/>
  <c r="AL50" i="5" s="1"/>
  <c r="AL51" i="5" s="1"/>
  <c r="AL52" i="5" s="1"/>
  <c r="AL53" i="5" s="1"/>
  <c r="AL54" i="5" s="1"/>
  <c r="AL55" i="5" s="1"/>
  <c r="AL56" i="5" s="1"/>
  <c r="AL57" i="5" s="1"/>
  <c r="AL58" i="5" s="1"/>
  <c r="AL59" i="5" s="1"/>
  <c r="AL60" i="5" s="1"/>
  <c r="AL61" i="5" s="1"/>
  <c r="AL62" i="5" s="1"/>
  <c r="AL63" i="5" s="1"/>
  <c r="AL64" i="5" s="1"/>
  <c r="AL65" i="5" s="1"/>
  <c r="AE55" i="5"/>
  <c r="K55" i="5"/>
  <c r="AD55" i="5"/>
  <c r="J55" i="5"/>
  <c r="AC55" i="5"/>
  <c r="I55" i="5"/>
  <c r="AB55" i="5"/>
  <c r="H55" i="5"/>
  <c r="AA55" i="5"/>
  <c r="G55" i="5"/>
  <c r="Z55" i="5"/>
  <c r="Y55" i="5"/>
  <c r="X55" i="5"/>
  <c r="W55" i="5"/>
  <c r="AE76" i="5"/>
  <c r="T96" i="5"/>
  <c r="S96" i="5"/>
  <c r="R96" i="5"/>
  <c r="P96" i="5"/>
  <c r="AI96" i="5"/>
  <c r="O96" i="5"/>
  <c r="AH96" i="5"/>
  <c r="N96" i="5"/>
  <c r="AG96" i="5"/>
  <c r="M96" i="5"/>
  <c r="AF96" i="5"/>
  <c r="L96" i="5"/>
  <c r="AE96" i="5"/>
  <c r="K96" i="5"/>
  <c r="AD96" i="5"/>
  <c r="J96" i="5"/>
  <c r="AC96" i="5"/>
  <c r="I96" i="5"/>
  <c r="AB96" i="5"/>
  <c r="H96" i="5"/>
  <c r="AA96" i="5"/>
  <c r="G96" i="5"/>
  <c r="Y96" i="5"/>
  <c r="X96" i="5"/>
  <c r="W96" i="5"/>
  <c r="V96" i="5"/>
  <c r="U96" i="5"/>
  <c r="H11" i="5"/>
  <c r="J14" i="5"/>
  <c r="H31" i="5"/>
  <c r="J34" i="5"/>
  <c r="V10" i="5"/>
  <c r="T11" i="5"/>
  <c r="R12" i="5"/>
  <c r="P13" i="5"/>
  <c r="N14" i="5"/>
  <c r="AH14" i="5"/>
  <c r="AF15" i="5"/>
  <c r="AD16" i="5"/>
  <c r="X19" i="5"/>
  <c r="V30" i="5"/>
  <c r="T31" i="5"/>
  <c r="R32" i="5"/>
  <c r="N34" i="5"/>
  <c r="AH34" i="5"/>
  <c r="AH37" i="5"/>
  <c r="AD38" i="5"/>
  <c r="Z39" i="5"/>
  <c r="AA40" i="5"/>
  <c r="U42" i="5"/>
  <c r="W43" i="5"/>
  <c r="T44" i="5"/>
  <c r="Y45" i="5"/>
  <c r="AG46" i="5"/>
  <c r="M49" i="5"/>
  <c r="AE51" i="5"/>
  <c r="K53" i="5"/>
  <c r="K54" i="5"/>
  <c r="T55" i="5"/>
  <c r="I58" i="5"/>
  <c r="R59" i="5"/>
  <c r="AB60" i="5"/>
  <c r="K62" i="5"/>
  <c r="H65" i="5"/>
  <c r="U68" i="5"/>
  <c r="P70" i="5"/>
  <c r="R75" i="5"/>
  <c r="Q77" i="5"/>
  <c r="AH79" i="5"/>
  <c r="AA82" i="5"/>
  <c r="H89" i="5"/>
  <c r="K34" i="5"/>
  <c r="W10" i="5"/>
  <c r="U11" i="5"/>
  <c r="S12" i="5"/>
  <c r="Q13" i="5"/>
  <c r="O14" i="5"/>
  <c r="AI14" i="5"/>
  <c r="AG15" i="5"/>
  <c r="AE16" i="5"/>
  <c r="Y19" i="5"/>
  <c r="W30" i="5"/>
  <c r="U31" i="5"/>
  <c r="S32" i="5"/>
  <c r="O34" i="5"/>
  <c r="AI34" i="5"/>
  <c r="AE38" i="5"/>
  <c r="AA39" i="5"/>
  <c r="AB40" i="5"/>
  <c r="X41" i="5"/>
  <c r="V42" i="5"/>
  <c r="X43" i="5"/>
  <c r="U44" i="5"/>
  <c r="Z45" i="5"/>
  <c r="AH46" i="5"/>
  <c r="N49" i="5"/>
  <c r="L53" i="5"/>
  <c r="U54" i="5"/>
  <c r="U55" i="5"/>
  <c r="J58" i="5"/>
  <c r="S59" i="5"/>
  <c r="AC60" i="5"/>
  <c r="L62" i="5"/>
  <c r="I65" i="5"/>
  <c r="AG68" i="5"/>
  <c r="Q70" i="5"/>
  <c r="AD75" i="5"/>
  <c r="T77" i="5"/>
  <c r="AB82" i="5"/>
  <c r="K86" i="5"/>
  <c r="X89" i="5"/>
  <c r="I31" i="5"/>
  <c r="AG37" i="5"/>
  <c r="M37" i="5"/>
  <c r="AF37" i="5"/>
  <c r="L37" i="5"/>
  <c r="AE37" i="5"/>
  <c r="K37" i="5"/>
  <c r="AD37" i="5"/>
  <c r="J37" i="5"/>
  <c r="AC37" i="5"/>
  <c r="AG57" i="5"/>
  <c r="J11" i="5"/>
  <c r="L14" i="5"/>
  <c r="H18" i="5"/>
  <c r="J31" i="5"/>
  <c r="L34" i="5"/>
  <c r="X10" i="5"/>
  <c r="V11" i="5"/>
  <c r="T12" i="5"/>
  <c r="R13" i="5"/>
  <c r="P14" i="5"/>
  <c r="N15" i="5"/>
  <c r="AH15" i="5"/>
  <c r="AF16" i="5"/>
  <c r="AD17" i="5"/>
  <c r="AB18" i="5"/>
  <c r="Z19" i="5"/>
  <c r="X20" i="5"/>
  <c r="V21" i="5"/>
  <c r="T22" i="5"/>
  <c r="R23" i="5"/>
  <c r="P24" i="5"/>
  <c r="N25" i="5"/>
  <c r="AH25" i="5"/>
  <c r="AF26" i="5"/>
  <c r="AD27" i="5"/>
  <c r="X30" i="5"/>
  <c r="V31" i="5"/>
  <c r="T32" i="5"/>
  <c r="P34" i="5"/>
  <c r="G37" i="5"/>
  <c r="G38" i="5"/>
  <c r="AB39" i="5"/>
  <c r="AC40" i="5"/>
  <c r="W42" i="5"/>
  <c r="Y43" i="5"/>
  <c r="W44" i="5"/>
  <c r="AA45" i="5"/>
  <c r="AI46" i="5"/>
  <c r="O48" i="5"/>
  <c r="O49" i="5"/>
  <c r="M53" i="5"/>
  <c r="V54" i="5"/>
  <c r="V55" i="5"/>
  <c r="T59" i="5"/>
  <c r="AD60" i="5"/>
  <c r="M62" i="5"/>
  <c r="J65" i="5"/>
  <c r="AH68" i="5"/>
  <c r="R70" i="5"/>
  <c r="AE75" i="5"/>
  <c r="AF77" i="5"/>
  <c r="G80" i="5"/>
  <c r="AC82" i="5"/>
  <c r="L86" i="5"/>
  <c r="Y89" i="5"/>
  <c r="X38" i="5"/>
  <c r="W38" i="5"/>
  <c r="V38" i="5"/>
  <c r="U38" i="5"/>
  <c r="T38" i="5"/>
  <c r="X58" i="5"/>
  <c r="W58" i="5"/>
  <c r="V58" i="5"/>
  <c r="U58" i="5"/>
  <c r="T58" i="5"/>
  <c r="S58" i="5"/>
  <c r="R58" i="5"/>
  <c r="Q58" i="5"/>
  <c r="P58" i="5"/>
  <c r="AG79" i="5"/>
  <c r="M79" i="5"/>
  <c r="AF79" i="5"/>
  <c r="L79" i="5"/>
  <c r="AE79" i="5"/>
  <c r="K79" i="5"/>
  <c r="AD79" i="5"/>
  <c r="J79" i="5"/>
  <c r="AC79" i="5"/>
  <c r="I79" i="5"/>
  <c r="AB79" i="5"/>
  <c r="H79" i="5"/>
  <c r="AA79" i="5"/>
  <c r="G79" i="5"/>
  <c r="Z79" i="5"/>
  <c r="Y79" i="5"/>
  <c r="X79" i="5"/>
  <c r="W79" i="5"/>
  <c r="V79" i="5"/>
  <c r="U79" i="5"/>
  <c r="T79" i="5"/>
  <c r="K11" i="5"/>
  <c r="M14" i="5"/>
  <c r="I18" i="5"/>
  <c r="K31" i="5"/>
  <c r="M34" i="5"/>
  <c r="Y10" i="5"/>
  <c r="W11" i="5"/>
  <c r="U12" i="5"/>
  <c r="S13" i="5"/>
  <c r="Q14" i="5"/>
  <c r="O15" i="5"/>
  <c r="AI15" i="5"/>
  <c r="AG16" i="5"/>
  <c r="AE17" i="5"/>
  <c r="AC18" i="5"/>
  <c r="AA19" i="5"/>
  <c r="Y20" i="5"/>
  <c r="W21" i="5"/>
  <c r="U22" i="5"/>
  <c r="Q24" i="5"/>
  <c r="O25" i="5"/>
  <c r="AI25" i="5"/>
  <c r="AG26" i="5"/>
  <c r="AE27" i="5"/>
  <c r="Y30" i="5"/>
  <c r="W31" i="5"/>
  <c r="U32" i="5"/>
  <c r="Q34" i="5"/>
  <c r="H37" i="5"/>
  <c r="H38" i="5"/>
  <c r="AG38" i="5"/>
  <c r="AD40" i="5"/>
  <c r="AC42" i="5"/>
  <c r="Z43" i="5"/>
  <c r="Y44" i="5"/>
  <c r="AB45" i="5"/>
  <c r="P48" i="5"/>
  <c r="P49" i="5"/>
  <c r="N53" i="5"/>
  <c r="W54" i="5"/>
  <c r="AF55" i="5"/>
  <c r="L58" i="5"/>
  <c r="AE60" i="5"/>
  <c r="N62" i="5"/>
  <c r="V65" i="5"/>
  <c r="S70" i="5"/>
  <c r="AF75" i="5"/>
  <c r="AG77" i="5"/>
  <c r="AD82" i="5"/>
  <c r="M86" i="5"/>
  <c r="Z89" i="5"/>
  <c r="AI39" i="5"/>
  <c r="O39" i="5"/>
  <c r="AH39" i="5"/>
  <c r="N39" i="5"/>
  <c r="AG39" i="5"/>
  <c r="M39" i="5"/>
  <c r="AF39" i="5"/>
  <c r="L39" i="5"/>
  <c r="AE39" i="5"/>
  <c r="K39" i="5"/>
  <c r="AI59" i="5"/>
  <c r="O59" i="5"/>
  <c r="AH59" i="5"/>
  <c r="N59" i="5"/>
  <c r="AG59" i="5"/>
  <c r="M59" i="5"/>
  <c r="AF59" i="5"/>
  <c r="L59" i="5"/>
  <c r="AE59" i="5"/>
  <c r="K59" i="5"/>
  <c r="AD59" i="5"/>
  <c r="J59" i="5"/>
  <c r="AC59" i="5"/>
  <c r="I59" i="5"/>
  <c r="AB59" i="5"/>
  <c r="H59" i="5"/>
  <c r="AA59" i="5"/>
  <c r="G59" i="5"/>
  <c r="X80" i="5"/>
  <c r="W80" i="5"/>
  <c r="V80" i="5"/>
  <c r="U80" i="5"/>
  <c r="T80" i="5"/>
  <c r="S80" i="5"/>
  <c r="R80" i="5"/>
  <c r="Q80" i="5"/>
  <c r="P80" i="5"/>
  <c r="AI80" i="5"/>
  <c r="O80" i="5"/>
  <c r="AH80" i="5"/>
  <c r="N80" i="5"/>
  <c r="AG80" i="5"/>
  <c r="M80" i="5"/>
  <c r="AF80" i="5"/>
  <c r="L80" i="5"/>
  <c r="AE80" i="5"/>
  <c r="K80" i="5"/>
  <c r="AD80" i="5"/>
  <c r="J80" i="5"/>
  <c r="L11" i="5"/>
  <c r="H15" i="5"/>
  <c r="J18" i="5"/>
  <c r="L31" i="5"/>
  <c r="Z10" i="5"/>
  <c r="X11" i="5"/>
  <c r="V12" i="5"/>
  <c r="T13" i="5"/>
  <c r="R14" i="5"/>
  <c r="P15" i="5"/>
  <c r="N16" i="5"/>
  <c r="AH16" i="5"/>
  <c r="AF17" i="5"/>
  <c r="AD18" i="5"/>
  <c r="AB19" i="5"/>
  <c r="Z20" i="5"/>
  <c r="X21" i="5"/>
  <c r="V22" i="5"/>
  <c r="R24" i="5"/>
  <c r="P25" i="5"/>
  <c r="N26" i="5"/>
  <c r="AH26" i="5"/>
  <c r="AF27" i="5"/>
  <c r="Z30" i="5"/>
  <c r="X31" i="5"/>
  <c r="V32" i="5"/>
  <c r="R34" i="5"/>
  <c r="I37" i="5"/>
  <c r="I38" i="5"/>
  <c r="AH38" i="5"/>
  <c r="AD39" i="5"/>
  <c r="AD42" i="5"/>
  <c r="AA43" i="5"/>
  <c r="AE44" i="5"/>
  <c r="AC45" i="5"/>
  <c r="Q48" i="5"/>
  <c r="Z49" i="5"/>
  <c r="O53" i="5"/>
  <c r="X54" i="5"/>
  <c r="AG55" i="5"/>
  <c r="M58" i="5"/>
  <c r="V59" i="5"/>
  <c r="O62" i="5"/>
  <c r="W65" i="5"/>
  <c r="T70" i="5"/>
  <c r="AG75" i="5"/>
  <c r="I80" i="5"/>
  <c r="O86" i="5"/>
  <c r="AB89" i="5"/>
  <c r="AE77" i="5"/>
  <c r="K77" i="5"/>
  <c r="AD77" i="5"/>
  <c r="J77" i="5"/>
  <c r="AC77" i="5"/>
  <c r="I77" i="5"/>
  <c r="AB77" i="5"/>
  <c r="H77" i="5"/>
  <c r="AA77" i="5"/>
  <c r="G77" i="5"/>
  <c r="Z77" i="5"/>
  <c r="Y77" i="5"/>
  <c r="X77" i="5"/>
  <c r="W77" i="5"/>
  <c r="V77" i="5"/>
  <c r="U77" i="5"/>
  <c r="S77" i="5"/>
  <c r="R77" i="5"/>
  <c r="Z40" i="5"/>
  <c r="Y40" i="5"/>
  <c r="X40" i="5"/>
  <c r="W40" i="5"/>
  <c r="V40" i="5"/>
  <c r="Z60" i="5"/>
  <c r="Y60" i="5"/>
  <c r="X60" i="5"/>
  <c r="W60" i="5"/>
  <c r="V60" i="5"/>
  <c r="U60" i="5"/>
  <c r="T60" i="5"/>
  <c r="S60" i="5"/>
  <c r="R60" i="5"/>
  <c r="Q60" i="5"/>
  <c r="AI81" i="5"/>
  <c r="O81" i="5"/>
  <c r="AH81" i="5"/>
  <c r="N81" i="5"/>
  <c r="AG81" i="5"/>
  <c r="M81" i="5"/>
  <c r="AF81" i="5"/>
  <c r="L81" i="5"/>
  <c r="AE81" i="5"/>
  <c r="K81" i="5"/>
  <c r="AD81" i="5"/>
  <c r="J81" i="5"/>
  <c r="AC81" i="5"/>
  <c r="I81" i="5"/>
  <c r="AB81" i="5"/>
  <c r="H81" i="5"/>
  <c r="AA81" i="5"/>
  <c r="G81" i="5"/>
  <c r="Z81" i="5"/>
  <c r="Y81" i="5"/>
  <c r="X81" i="5"/>
  <c r="W81" i="5"/>
  <c r="V81" i="5"/>
  <c r="U81" i="5"/>
  <c r="G10" i="5"/>
  <c r="G30" i="5"/>
  <c r="M11" i="5"/>
  <c r="I15" i="5"/>
  <c r="K18" i="5"/>
  <c r="M21" i="5"/>
  <c r="I25" i="5"/>
  <c r="M31" i="5"/>
  <c r="O6" i="5"/>
  <c r="AI6" i="5"/>
  <c r="AG7" i="5"/>
  <c r="AA10" i="5"/>
  <c r="Y11" i="5"/>
  <c r="W12" i="5"/>
  <c r="U13" i="5"/>
  <c r="S14" i="5"/>
  <c r="Q15" i="5"/>
  <c r="O16" i="5"/>
  <c r="AI16" i="5"/>
  <c r="AG17" i="5"/>
  <c r="AE18" i="5"/>
  <c r="AC19" i="5"/>
  <c r="AA20" i="5"/>
  <c r="Y21" i="5"/>
  <c r="W22" i="5"/>
  <c r="S24" i="5"/>
  <c r="Q25" i="5"/>
  <c r="O26" i="5"/>
  <c r="AI26" i="5"/>
  <c r="AG27" i="5"/>
  <c r="AA30" i="5"/>
  <c r="Y31" i="5"/>
  <c r="W32" i="5"/>
  <c r="S34" i="5"/>
  <c r="N37" i="5"/>
  <c r="J38" i="5"/>
  <c r="AI38" i="5"/>
  <c r="G40" i="5"/>
  <c r="AF40" i="5"/>
  <c r="AE42" i="5"/>
  <c r="AB43" i="5"/>
  <c r="AF44" i="5"/>
  <c r="AD45" i="5"/>
  <c r="R48" i="5"/>
  <c r="AA49" i="5"/>
  <c r="G52" i="5"/>
  <c r="P53" i="5"/>
  <c r="Y54" i="5"/>
  <c r="AH55" i="5"/>
  <c r="N58" i="5"/>
  <c r="W59" i="5"/>
  <c r="AG60" i="5"/>
  <c r="P62" i="5"/>
  <c r="K64" i="5"/>
  <c r="X65" i="5"/>
  <c r="U70" i="5"/>
  <c r="AH75" i="5"/>
  <c r="AI77" i="5"/>
  <c r="Y80" i="5"/>
  <c r="R83" i="5"/>
  <c r="AE86" i="5"/>
  <c r="O90" i="5"/>
  <c r="Q41" i="5"/>
  <c r="Q61" i="5"/>
  <c r="P61" i="5"/>
  <c r="AI61" i="5"/>
  <c r="O61" i="5"/>
  <c r="AH61" i="5"/>
  <c r="N61" i="5"/>
  <c r="AG61" i="5"/>
  <c r="M61" i="5"/>
  <c r="AF61" i="5"/>
  <c r="L61" i="5"/>
  <c r="AE61" i="5"/>
  <c r="K61" i="5"/>
  <c r="AD61" i="5"/>
  <c r="J61" i="5"/>
  <c r="AC61" i="5"/>
  <c r="I61" i="5"/>
  <c r="AB61" i="5"/>
  <c r="H61" i="5"/>
  <c r="AA61" i="5"/>
  <c r="Z82" i="5"/>
  <c r="Y82" i="5"/>
  <c r="X82" i="5"/>
  <c r="W82" i="5"/>
  <c r="V82" i="5"/>
  <c r="U82" i="5"/>
  <c r="T82" i="5"/>
  <c r="S82" i="5"/>
  <c r="R82" i="5"/>
  <c r="Q82" i="5"/>
  <c r="P82" i="5"/>
  <c r="AI82" i="5"/>
  <c r="O82" i="5"/>
  <c r="AH82" i="5"/>
  <c r="N82" i="5"/>
  <c r="AG82" i="5"/>
  <c r="M82" i="5"/>
  <c r="AF82" i="5"/>
  <c r="L82" i="5"/>
  <c r="G11" i="5"/>
  <c r="G31" i="5"/>
  <c r="H12" i="5"/>
  <c r="J15" i="5"/>
  <c r="L18" i="5"/>
  <c r="H22" i="5"/>
  <c r="J25" i="5"/>
  <c r="H32" i="5"/>
  <c r="P6" i="5"/>
  <c r="N7" i="5"/>
  <c r="AH7" i="5"/>
  <c r="AB10" i="5"/>
  <c r="Z11" i="5"/>
  <c r="X12" i="5"/>
  <c r="V13" i="5"/>
  <c r="T14" i="5"/>
  <c r="R15" i="5"/>
  <c r="P16" i="5"/>
  <c r="N17" i="5"/>
  <c r="AH17" i="5"/>
  <c r="AF18" i="5"/>
  <c r="AD19" i="5"/>
  <c r="AB20" i="5"/>
  <c r="Z21" i="5"/>
  <c r="X22" i="5"/>
  <c r="T24" i="5"/>
  <c r="R25" i="5"/>
  <c r="P26" i="5"/>
  <c r="N27" i="5"/>
  <c r="AH27" i="5"/>
  <c r="AB30" i="5"/>
  <c r="Z31" i="5"/>
  <c r="X32" i="5"/>
  <c r="T34" i="5"/>
  <c r="O37" i="5"/>
  <c r="K38" i="5"/>
  <c r="G39" i="5"/>
  <c r="H40" i="5"/>
  <c r="AG40" i="5"/>
  <c r="AC43" i="5"/>
  <c r="AG44" i="5"/>
  <c r="AE45" i="5"/>
  <c r="S48" i="5"/>
  <c r="AB49" i="5"/>
  <c r="Q53" i="5"/>
  <c r="Z54" i="5"/>
  <c r="AI55" i="5"/>
  <c r="O58" i="5"/>
  <c r="X59" i="5"/>
  <c r="AH60" i="5"/>
  <c r="L64" i="5"/>
  <c r="Y65" i="5"/>
  <c r="W70" i="5"/>
  <c r="G74" i="5"/>
  <c r="AI75" i="5"/>
  <c r="Z80" i="5"/>
  <c r="AF86" i="5"/>
  <c r="P90" i="5"/>
  <c r="R52" i="5"/>
  <c r="Q52" i="5"/>
  <c r="P52" i="5"/>
  <c r="AI52" i="5"/>
  <c r="O52" i="5"/>
  <c r="AH52" i="5"/>
  <c r="N52" i="5"/>
  <c r="AG52" i="5"/>
  <c r="M52" i="5"/>
  <c r="AF52" i="5"/>
  <c r="L52" i="5"/>
  <c r="AE52" i="5"/>
  <c r="K52" i="5"/>
  <c r="AD52" i="5"/>
  <c r="J52" i="5"/>
  <c r="AB42" i="5"/>
  <c r="H42" i="5"/>
  <c r="AA42" i="5"/>
  <c r="G42" i="5"/>
  <c r="Z42" i="5"/>
  <c r="Y42" i="5"/>
  <c r="X42" i="5"/>
  <c r="T42" i="5"/>
  <c r="AB62" i="5"/>
  <c r="H62" i="5"/>
  <c r="AA62" i="5"/>
  <c r="G62" i="5"/>
  <c r="Z62" i="5"/>
  <c r="Y62" i="5"/>
  <c r="X62" i="5"/>
  <c r="W62" i="5"/>
  <c r="V62" i="5"/>
  <c r="U62" i="5"/>
  <c r="T62" i="5"/>
  <c r="S62" i="5"/>
  <c r="R62" i="5"/>
  <c r="Q83" i="5"/>
  <c r="P83" i="5"/>
  <c r="AI83" i="5"/>
  <c r="O83" i="5"/>
  <c r="AH83" i="5"/>
  <c r="N83" i="5"/>
  <c r="AG83" i="5"/>
  <c r="M83" i="5"/>
  <c r="AF83" i="5"/>
  <c r="L83" i="5"/>
  <c r="AE83" i="5"/>
  <c r="K83" i="5"/>
  <c r="AD83" i="5"/>
  <c r="J83" i="5"/>
  <c r="AC83" i="5"/>
  <c r="I83" i="5"/>
  <c r="AB83" i="5"/>
  <c r="H83" i="5"/>
  <c r="AA83" i="5"/>
  <c r="G83" i="5"/>
  <c r="Z83" i="5"/>
  <c r="Y83" i="5"/>
  <c r="X83" i="5"/>
  <c r="W83" i="5"/>
  <c r="U83" i="5"/>
  <c r="G12" i="5"/>
  <c r="G32" i="5"/>
  <c r="I12" i="5"/>
  <c r="K15" i="5"/>
  <c r="M18" i="5"/>
  <c r="I22" i="5"/>
  <c r="K25" i="5"/>
  <c r="I32" i="5"/>
  <c r="Q6" i="5"/>
  <c r="O7" i="5"/>
  <c r="AI7" i="5"/>
  <c r="AC10" i="5"/>
  <c r="AA11" i="5"/>
  <c r="Y12" i="5"/>
  <c r="W13" i="5"/>
  <c r="U14" i="5"/>
  <c r="S15" i="5"/>
  <c r="Q16" i="5"/>
  <c r="O17" i="5"/>
  <c r="AI17" i="5"/>
  <c r="AG18" i="5"/>
  <c r="AE19" i="5"/>
  <c r="AC20" i="5"/>
  <c r="AA21" i="5"/>
  <c r="Y22" i="5"/>
  <c r="U24" i="5"/>
  <c r="S25" i="5"/>
  <c r="Q26" i="5"/>
  <c r="O27" i="5"/>
  <c r="AI27" i="5"/>
  <c r="AC30" i="5"/>
  <c r="AA31" i="5"/>
  <c r="Y32" i="5"/>
  <c r="U34" i="5"/>
  <c r="P37" i="5"/>
  <c r="L38" i="5"/>
  <c r="H39" i="5"/>
  <c r="I40" i="5"/>
  <c r="AH40" i="5"/>
  <c r="AG42" i="5"/>
  <c r="AH44" i="5"/>
  <c r="AF45" i="5"/>
  <c r="T48" i="5"/>
  <c r="AC49" i="5"/>
  <c r="I52" i="5"/>
  <c r="R53" i="5"/>
  <c r="AA54" i="5"/>
  <c r="Y58" i="5"/>
  <c r="Y59" i="5"/>
  <c r="AI60" i="5"/>
  <c r="AC62" i="5"/>
  <c r="M64" i="5"/>
  <c r="Z65" i="5"/>
  <c r="AI70" i="5"/>
  <c r="S74" i="5"/>
  <c r="AA80" i="5"/>
  <c r="T83" i="5"/>
  <c r="AG86" i="5"/>
  <c r="S90" i="5"/>
  <c r="K14" i="5"/>
  <c r="S43" i="5"/>
  <c r="R43" i="5"/>
  <c r="Q43" i="5"/>
  <c r="P43" i="5"/>
  <c r="AI43" i="5"/>
  <c r="O43" i="5"/>
  <c r="AE43" i="5"/>
  <c r="K43" i="5"/>
  <c r="AB84" i="5"/>
  <c r="H84" i="5"/>
  <c r="AA84" i="5"/>
  <c r="G84" i="5"/>
  <c r="Z84" i="5"/>
  <c r="Y84" i="5"/>
  <c r="X84" i="5"/>
  <c r="W84" i="5"/>
  <c r="V84" i="5"/>
  <c r="U84" i="5"/>
  <c r="T84" i="5"/>
  <c r="S84" i="5"/>
  <c r="R84" i="5"/>
  <c r="Q84" i="5"/>
  <c r="P84" i="5"/>
  <c r="AI84" i="5"/>
  <c r="O84" i="5"/>
  <c r="AH84" i="5"/>
  <c r="N84" i="5"/>
  <c r="AF84" i="5"/>
  <c r="L84" i="5"/>
  <c r="G13" i="5"/>
  <c r="J12" i="5"/>
  <c r="L15" i="5"/>
  <c r="H19" i="5"/>
  <c r="J22" i="5"/>
  <c r="L25" i="5"/>
  <c r="J32" i="5"/>
  <c r="R6" i="5"/>
  <c r="P7" i="5"/>
  <c r="AD10" i="5"/>
  <c r="AB11" i="5"/>
  <c r="Z12" i="5"/>
  <c r="X13" i="5"/>
  <c r="V14" i="5"/>
  <c r="T15" i="5"/>
  <c r="R16" i="5"/>
  <c r="P17" i="5"/>
  <c r="N18" i="5"/>
  <c r="AH18" i="5"/>
  <c r="AF19" i="5"/>
  <c r="AD20" i="5"/>
  <c r="AB21" i="5"/>
  <c r="Z22" i="5"/>
  <c r="V24" i="5"/>
  <c r="T25" i="5"/>
  <c r="R26" i="5"/>
  <c r="P27" i="5"/>
  <c r="AD30" i="5"/>
  <c r="AB31" i="5"/>
  <c r="Z32" i="5"/>
  <c r="V34" i="5"/>
  <c r="Q37" i="5"/>
  <c r="M38" i="5"/>
  <c r="I39" i="5"/>
  <c r="J40" i="5"/>
  <c r="AI40" i="5"/>
  <c r="AH42" i="5"/>
  <c r="AF43" i="5"/>
  <c r="G46" i="5"/>
  <c r="U48" i="5"/>
  <c r="AD49" i="5"/>
  <c r="S52" i="5"/>
  <c r="S53" i="5"/>
  <c r="AB54" i="5"/>
  <c r="H56" i="5"/>
  <c r="Z58" i="5"/>
  <c r="Z59" i="5"/>
  <c r="G61" i="5"/>
  <c r="AD62" i="5"/>
  <c r="AA65" i="5"/>
  <c r="T74" i="5"/>
  <c r="AB80" i="5"/>
  <c r="V83" i="5"/>
  <c r="AI90" i="5"/>
  <c r="AD44" i="5"/>
  <c r="J44" i="5"/>
  <c r="AC44" i="5"/>
  <c r="I44" i="5"/>
  <c r="AB44" i="5"/>
  <c r="H44" i="5"/>
  <c r="AA44" i="5"/>
  <c r="G44" i="5"/>
  <c r="Z44" i="5"/>
  <c r="X44" i="5"/>
  <c r="V44" i="5"/>
  <c r="AD64" i="5"/>
  <c r="J64" i="5"/>
  <c r="AC64" i="5"/>
  <c r="I64" i="5"/>
  <c r="AB64" i="5"/>
  <c r="H64" i="5"/>
  <c r="AA64" i="5"/>
  <c r="G64" i="5"/>
  <c r="Z64" i="5"/>
  <c r="Y64" i="5"/>
  <c r="X64" i="5"/>
  <c r="W64" i="5"/>
  <c r="V64" i="5"/>
  <c r="U64" i="5"/>
  <c r="T64" i="5"/>
  <c r="S85" i="5"/>
  <c r="R85" i="5"/>
  <c r="Q85" i="5"/>
  <c r="P85" i="5"/>
  <c r="AI85" i="5"/>
  <c r="O85" i="5"/>
  <c r="AH85" i="5"/>
  <c r="N85" i="5"/>
  <c r="AG85" i="5"/>
  <c r="M85" i="5"/>
  <c r="AF85" i="5"/>
  <c r="L85" i="5"/>
  <c r="AE85" i="5"/>
  <c r="K85" i="5"/>
  <c r="AD85" i="5"/>
  <c r="J85" i="5"/>
  <c r="AC85" i="5"/>
  <c r="I85" i="5"/>
  <c r="AB85" i="5"/>
  <c r="H85" i="5"/>
  <c r="AA85" i="5"/>
  <c r="G85" i="5"/>
  <c r="Z85" i="5"/>
  <c r="Y85" i="5"/>
  <c r="W85" i="5"/>
  <c r="G14" i="5"/>
  <c r="G34" i="5"/>
  <c r="K12" i="5"/>
  <c r="M15" i="5"/>
  <c r="I19" i="5"/>
  <c r="K22" i="5"/>
  <c r="M25" i="5"/>
  <c r="K32" i="5"/>
  <c r="S6" i="5"/>
  <c r="Q7" i="5"/>
  <c r="AE10" i="5"/>
  <c r="AC11" i="5"/>
  <c r="AA12" i="5"/>
  <c r="Y13" i="5"/>
  <c r="W14" i="5"/>
  <c r="U15" i="5"/>
  <c r="S16" i="5"/>
  <c r="Q17" i="5"/>
  <c r="O18" i="5"/>
  <c r="AI18" i="5"/>
  <c r="AG19" i="5"/>
  <c r="AE20" i="5"/>
  <c r="AC21" i="5"/>
  <c r="AA22" i="5"/>
  <c r="W24" i="5"/>
  <c r="U25" i="5"/>
  <c r="S26" i="5"/>
  <c r="Q27" i="5"/>
  <c r="AE30" i="5"/>
  <c r="AC31" i="5"/>
  <c r="AA32" i="5"/>
  <c r="W34" i="5"/>
  <c r="R37" i="5"/>
  <c r="N38" i="5"/>
  <c r="J39" i="5"/>
  <c r="K40" i="5"/>
  <c r="I42" i="5"/>
  <c r="AI42" i="5"/>
  <c r="AG43" i="5"/>
  <c r="M46" i="5"/>
  <c r="V48" i="5"/>
  <c r="AE49" i="5"/>
  <c r="T52" i="5"/>
  <c r="T53" i="5"/>
  <c r="AC54" i="5"/>
  <c r="R57" i="5"/>
  <c r="AA58" i="5"/>
  <c r="G60" i="5"/>
  <c r="R61" i="5"/>
  <c r="AE62" i="5"/>
  <c r="O64" i="5"/>
  <c r="U74" i="5"/>
  <c r="AC80" i="5"/>
  <c r="I84" i="5"/>
  <c r="V87" i="5"/>
  <c r="G91" i="5"/>
  <c r="U45" i="5"/>
  <c r="T45" i="5"/>
  <c r="S45" i="5"/>
  <c r="R45" i="5"/>
  <c r="Q45" i="5"/>
  <c r="AI45" i="5"/>
  <c r="O45" i="5"/>
  <c r="AH45" i="5"/>
  <c r="AG45" i="5"/>
  <c r="M45" i="5"/>
  <c r="U65" i="5"/>
  <c r="T65" i="5"/>
  <c r="S65" i="5"/>
  <c r="R65" i="5"/>
  <c r="Q65" i="5"/>
  <c r="P65" i="5"/>
  <c r="AI65" i="5"/>
  <c r="O65" i="5"/>
  <c r="AH65" i="5"/>
  <c r="N65" i="5"/>
  <c r="AG65" i="5"/>
  <c r="M65" i="5"/>
  <c r="AF65" i="5"/>
  <c r="L65" i="5"/>
  <c r="AE65" i="5"/>
  <c r="K65" i="5"/>
  <c r="AD86" i="5"/>
  <c r="J86" i="5"/>
  <c r="AC86" i="5"/>
  <c r="I86" i="5"/>
  <c r="AB86" i="5"/>
  <c r="H86" i="5"/>
  <c r="AA86" i="5"/>
  <c r="G86" i="5"/>
  <c r="Z86" i="5"/>
  <c r="Y86" i="5"/>
  <c r="X86" i="5"/>
  <c r="W86" i="5"/>
  <c r="V86" i="5"/>
  <c r="U86" i="5"/>
  <c r="T86" i="5"/>
  <c r="S86" i="5"/>
  <c r="R86" i="5"/>
  <c r="Q86" i="5"/>
  <c r="P86" i="5"/>
  <c r="AH86" i="5"/>
  <c r="N86" i="5"/>
  <c r="G15" i="5"/>
  <c r="H6" i="5"/>
  <c r="L12" i="5"/>
  <c r="H16" i="5"/>
  <c r="J19" i="5"/>
  <c r="L22" i="5"/>
  <c r="H26" i="5"/>
  <c r="L32" i="5"/>
  <c r="T6" i="5"/>
  <c r="R7" i="5"/>
  <c r="AH9" i="5"/>
  <c r="AF10" i="5"/>
  <c r="AD11" i="5"/>
  <c r="AB12" i="5"/>
  <c r="Z13" i="5"/>
  <c r="X14" i="5"/>
  <c r="V15" i="5"/>
  <c r="T16" i="5"/>
  <c r="R17" i="5"/>
  <c r="P18" i="5"/>
  <c r="N19" i="5"/>
  <c r="AH19" i="5"/>
  <c r="AF20" i="5"/>
  <c r="AD21" i="5"/>
  <c r="AB22" i="5"/>
  <c r="X24" i="5"/>
  <c r="V25" i="5"/>
  <c r="T26" i="5"/>
  <c r="R27" i="5"/>
  <c r="AF30" i="5"/>
  <c r="AD31" i="5"/>
  <c r="AB32" i="5"/>
  <c r="X34" i="5"/>
  <c r="S37" i="5"/>
  <c r="O38" i="5"/>
  <c r="P39" i="5"/>
  <c r="L40" i="5"/>
  <c r="J42" i="5"/>
  <c r="G43" i="5"/>
  <c r="AH43" i="5"/>
  <c r="H45" i="5"/>
  <c r="AF49" i="5"/>
  <c r="U52" i="5"/>
  <c r="AD53" i="5"/>
  <c r="AD54" i="5"/>
  <c r="S57" i="5"/>
  <c r="AB58" i="5"/>
  <c r="H60" i="5"/>
  <c r="S61" i="5"/>
  <c r="AF62" i="5"/>
  <c r="P64" i="5"/>
  <c r="AC65" i="5"/>
  <c r="V74" i="5"/>
  <c r="P81" i="5"/>
  <c r="J84" i="5"/>
  <c r="AA91" i="5"/>
  <c r="AH48" i="5"/>
  <c r="N48" i="5"/>
  <c r="AG48" i="5"/>
  <c r="M48" i="5"/>
  <c r="AF48" i="5"/>
  <c r="L48" i="5"/>
  <c r="AE48" i="5"/>
  <c r="K48" i="5"/>
  <c r="AD48" i="5"/>
  <c r="J48" i="5"/>
  <c r="AC48" i="5"/>
  <c r="I48" i="5"/>
  <c r="AB48" i="5"/>
  <c r="H48" i="5"/>
  <c r="AA48" i="5"/>
  <c r="G48" i="5"/>
  <c r="Z48" i="5"/>
  <c r="AF46" i="5"/>
  <c r="L46" i="5"/>
  <c r="AE46" i="5"/>
  <c r="K46" i="5"/>
  <c r="AD46" i="5"/>
  <c r="J46" i="5"/>
  <c r="AC46" i="5"/>
  <c r="I46" i="5"/>
  <c r="AB46" i="5"/>
  <c r="H46" i="5"/>
  <c r="AA46" i="5"/>
  <c r="Z46" i="5"/>
  <c r="Y46" i="5"/>
  <c r="X46" i="5"/>
  <c r="U87" i="5"/>
  <c r="T87" i="5"/>
  <c r="S87" i="5"/>
  <c r="R87" i="5"/>
  <c r="Q87" i="5"/>
  <c r="P87" i="5"/>
  <c r="AI87" i="5"/>
  <c r="O87" i="5"/>
  <c r="AH87" i="5"/>
  <c r="N87" i="5"/>
  <c r="AG87" i="5"/>
  <c r="M87" i="5"/>
  <c r="AF87" i="5"/>
  <c r="L87" i="5"/>
  <c r="AE87" i="5"/>
  <c r="K87" i="5"/>
  <c r="AD87" i="5"/>
  <c r="J87" i="5"/>
  <c r="AC87" i="5"/>
  <c r="I87" i="5"/>
  <c r="AB87" i="5"/>
  <c r="H87" i="5"/>
  <c r="AA87" i="5"/>
  <c r="G87" i="5"/>
  <c r="Y87" i="5"/>
  <c r="G16" i="5"/>
  <c r="I6" i="5"/>
  <c r="M12" i="5"/>
  <c r="I16" i="5"/>
  <c r="K19" i="5"/>
  <c r="M22" i="5"/>
  <c r="I26" i="5"/>
  <c r="M32" i="5"/>
  <c r="U6" i="5"/>
  <c r="S7" i="5"/>
  <c r="AI9" i="5"/>
  <c r="AG10" i="5"/>
  <c r="AE11" i="5"/>
  <c r="AC12" i="5"/>
  <c r="AA13" i="5"/>
  <c r="Y14" i="5"/>
  <c r="W15" i="5"/>
  <c r="U16" i="5"/>
  <c r="S17" i="5"/>
  <c r="Q18" i="5"/>
  <c r="O19" i="5"/>
  <c r="AI19" i="5"/>
  <c r="AG20" i="5"/>
  <c r="AE21" i="5"/>
  <c r="AC22" i="5"/>
  <c r="Y24" i="5"/>
  <c r="W25" i="5"/>
  <c r="U26" i="5"/>
  <c r="S27" i="5"/>
  <c r="AG30" i="5"/>
  <c r="AE31" i="5"/>
  <c r="AC32" i="5"/>
  <c r="Y34" i="5"/>
  <c r="T37" i="5"/>
  <c r="P38" i="5"/>
  <c r="Q39" i="5"/>
  <c r="M40" i="5"/>
  <c r="K42" i="5"/>
  <c r="H43" i="5"/>
  <c r="K44" i="5"/>
  <c r="I45" i="5"/>
  <c r="O46" i="5"/>
  <c r="X48" i="5"/>
  <c r="AG49" i="5"/>
  <c r="V52" i="5"/>
  <c r="AE53" i="5"/>
  <c r="AE54" i="5"/>
  <c r="AC58" i="5"/>
  <c r="I60" i="5"/>
  <c r="T61" i="5"/>
  <c r="AG62" i="5"/>
  <c r="Q64" i="5"/>
  <c r="AD65" i="5"/>
  <c r="W74" i="5"/>
  <c r="Q81" i="5"/>
  <c r="K84" i="5"/>
  <c r="X87" i="5"/>
  <c r="R92" i="5"/>
  <c r="I11" i="5"/>
  <c r="AF68" i="5"/>
  <c r="L68" i="5"/>
  <c r="AE68" i="5"/>
  <c r="K68" i="5"/>
  <c r="AD68" i="5"/>
  <c r="J68" i="5"/>
  <c r="AC68" i="5"/>
  <c r="I68" i="5"/>
  <c r="AB68" i="5"/>
  <c r="H68" i="5"/>
  <c r="AA68" i="5"/>
  <c r="G68" i="5"/>
  <c r="Z68" i="5"/>
  <c r="Y68" i="5"/>
  <c r="X68" i="5"/>
  <c r="W68" i="5"/>
  <c r="V68" i="5"/>
  <c r="AF88" i="5"/>
  <c r="L88" i="5"/>
  <c r="AE88" i="5"/>
  <c r="K88" i="5"/>
  <c r="AD88" i="5"/>
  <c r="J88" i="5"/>
  <c r="AC88" i="5"/>
  <c r="I88" i="5"/>
  <c r="AB88" i="5"/>
  <c r="H88" i="5"/>
  <c r="AA88" i="5"/>
  <c r="G88" i="5"/>
  <c r="Z88" i="5"/>
  <c r="Y88" i="5"/>
  <c r="X88" i="5"/>
  <c r="W88" i="5"/>
  <c r="V88" i="5"/>
  <c r="U88" i="5"/>
  <c r="T88" i="5"/>
  <c r="S88" i="5"/>
  <c r="R88" i="5"/>
  <c r="P88" i="5"/>
  <c r="G17" i="5"/>
  <c r="J6" i="5"/>
  <c r="H13" i="5"/>
  <c r="J16" i="5"/>
  <c r="L19" i="5"/>
  <c r="J26" i="5"/>
  <c r="N10" i="5"/>
  <c r="N20" i="5"/>
  <c r="N30" i="5"/>
  <c r="U37" i="5"/>
  <c r="Q38" i="5"/>
  <c r="R39" i="5"/>
  <c r="N40" i="5"/>
  <c r="L42" i="5"/>
  <c r="I43" i="5"/>
  <c r="L44" i="5"/>
  <c r="J45" i="5"/>
  <c r="P46" i="5"/>
  <c r="Y48" i="5"/>
  <c r="AH49" i="5"/>
  <c r="W52" i="5"/>
  <c r="AF53" i="5"/>
  <c r="L55" i="5"/>
  <c r="AD58" i="5"/>
  <c r="J60" i="5"/>
  <c r="U61" i="5"/>
  <c r="AH62" i="5"/>
  <c r="R64" i="5"/>
  <c r="M68" i="5"/>
  <c r="X74" i="5"/>
  <c r="R81" i="5"/>
  <c r="M84" i="5"/>
  <c r="Z87" i="5"/>
  <c r="AB91" i="2"/>
  <c r="U85" i="2"/>
  <c r="R87" i="2"/>
  <c r="AA87" i="2"/>
  <c r="V65" i="2"/>
  <c r="G102" i="2"/>
  <c r="X69" i="2"/>
  <c r="U95" i="2"/>
  <c r="V95" i="2"/>
  <c r="W95" i="2"/>
  <c r="W86" i="2"/>
  <c r="X86" i="2"/>
  <c r="R104" i="2"/>
  <c r="AC86" i="2"/>
  <c r="S104" i="2"/>
  <c r="T104" i="2"/>
  <c r="U104" i="2"/>
  <c r="Q84" i="2"/>
  <c r="V104" i="2"/>
  <c r="Q45" i="2"/>
  <c r="P63" i="2"/>
  <c r="R84" i="2"/>
  <c r="W104" i="2"/>
  <c r="Q63" i="2"/>
  <c r="S84" i="2"/>
  <c r="X104" i="2"/>
  <c r="T84" i="2"/>
  <c r="W89" i="2"/>
  <c r="Y104" i="2"/>
  <c r="U84" i="2"/>
  <c r="W97" i="2"/>
  <c r="AE104" i="2"/>
  <c r="T65" i="2"/>
  <c r="V84" i="2"/>
  <c r="X97" i="2"/>
  <c r="AF104" i="2"/>
  <c r="W84" i="2"/>
  <c r="Y97" i="2"/>
  <c r="AG104" i="2"/>
  <c r="X84" i="2"/>
  <c r="AH91" i="2"/>
  <c r="AB97" i="2"/>
  <c r="R51" i="2"/>
  <c r="Y84" i="2"/>
  <c r="AI91" i="2"/>
  <c r="AE84" i="2"/>
  <c r="AC106" i="2"/>
  <c r="AF84" i="2"/>
  <c r="P69" i="2"/>
  <c r="AG84" i="2"/>
  <c r="W69" i="2"/>
  <c r="P53" i="2"/>
  <c r="T47" i="2"/>
  <c r="U47" i="2"/>
  <c r="V47" i="2"/>
  <c r="U65" i="2"/>
  <c r="X81" i="2"/>
  <c r="Y87" i="2"/>
  <c r="M93" i="2"/>
  <c r="U98" i="2"/>
  <c r="W47" i="2"/>
  <c r="T93" i="2"/>
  <c r="V98" i="2"/>
  <c r="X47" i="2"/>
  <c r="P57" i="2"/>
  <c r="W65" i="2"/>
  <c r="G82" i="2"/>
  <c r="U93" i="2"/>
  <c r="W98" i="2"/>
  <c r="R57" i="2"/>
  <c r="X65" i="2"/>
  <c r="V82" i="2"/>
  <c r="W88" i="2"/>
  <c r="V93" i="2"/>
  <c r="X98" i="2"/>
  <c r="X57" i="2"/>
  <c r="W82" i="2"/>
  <c r="X88" i="2"/>
  <c r="AF93" i="2"/>
  <c r="X82" i="2"/>
  <c r="AA88" i="2"/>
  <c r="AG93" i="2"/>
  <c r="T96" i="2"/>
  <c r="AA82" i="2"/>
  <c r="AH93" i="2"/>
  <c r="U96" i="2"/>
  <c r="Y105" i="2"/>
  <c r="Q51" i="2"/>
  <c r="AG82" i="2"/>
  <c r="P89" i="2"/>
  <c r="AI93" i="2"/>
  <c r="V96" i="2"/>
  <c r="AH82" i="2"/>
  <c r="W96" i="2"/>
  <c r="Q43" i="2"/>
  <c r="S51" i="2"/>
  <c r="P61" i="2"/>
  <c r="Q69" i="2"/>
  <c r="AI82" i="2"/>
  <c r="V85" i="2"/>
  <c r="X89" i="2"/>
  <c r="X96" i="2"/>
  <c r="AG102" i="2"/>
  <c r="AD106" i="2"/>
  <c r="W43" i="2"/>
  <c r="T51" i="2"/>
  <c r="V61" i="2"/>
  <c r="R69" i="2"/>
  <c r="W85" i="2"/>
  <c r="Y89" i="2"/>
  <c r="O95" i="2"/>
  <c r="Y96" i="2"/>
  <c r="AH102" i="2"/>
  <c r="AE106" i="2"/>
  <c r="X43" i="2"/>
  <c r="U51" i="2"/>
  <c r="W61" i="2"/>
  <c r="S69" i="2"/>
  <c r="X85" i="2"/>
  <c r="P95" i="2"/>
  <c r="AI102" i="2"/>
  <c r="V51" i="2"/>
  <c r="X61" i="2"/>
  <c r="T69" i="2"/>
  <c r="N84" i="2"/>
  <c r="Y85" i="2"/>
  <c r="Q95" i="2"/>
  <c r="T97" i="2"/>
  <c r="W51" i="2"/>
  <c r="U69" i="2"/>
  <c r="O84" i="2"/>
  <c r="X91" i="2"/>
  <c r="R95" i="2"/>
  <c r="U97" i="2"/>
  <c r="P45" i="2"/>
  <c r="X51" i="2"/>
  <c r="V69" i="2"/>
  <c r="P84" i="2"/>
  <c r="V86" i="2"/>
  <c r="Y91" i="2"/>
  <c r="S95" i="2"/>
  <c r="V97" i="2"/>
  <c r="AB88" i="2"/>
  <c r="Y101" i="2"/>
  <c r="I106" i="2"/>
  <c r="AF106" i="2"/>
  <c r="I108" i="2"/>
  <c r="AF108" i="2"/>
  <c r="H108" i="2"/>
  <c r="AD86" i="2"/>
  <c r="G88" i="2"/>
  <c r="AC88" i="2"/>
  <c r="J106" i="2"/>
  <c r="AG106" i="2"/>
  <c r="J108" i="2"/>
  <c r="AG108" i="2"/>
  <c r="AE108" i="2"/>
  <c r="AE86" i="2"/>
  <c r="H88" i="2"/>
  <c r="AD88" i="2"/>
  <c r="Y90" i="2"/>
  <c r="G103" i="2"/>
  <c r="K106" i="2"/>
  <c r="AH106" i="2"/>
  <c r="K108" i="2"/>
  <c r="AH108" i="2"/>
  <c r="AF86" i="2"/>
  <c r="I88" i="2"/>
  <c r="AE88" i="2"/>
  <c r="V103" i="2"/>
  <c r="L106" i="2"/>
  <c r="AI106" i="2"/>
  <c r="L108" i="2"/>
  <c r="AI108" i="2"/>
  <c r="Y81" i="2"/>
  <c r="I86" i="2"/>
  <c r="AG86" i="2"/>
  <c r="J88" i="2"/>
  <c r="AF88" i="2"/>
  <c r="W92" i="2"/>
  <c r="AC97" i="2"/>
  <c r="M102" i="2"/>
  <c r="W103" i="2"/>
  <c r="M106" i="2"/>
  <c r="M108" i="2"/>
  <c r="AD108" i="2"/>
  <c r="J86" i="2"/>
  <c r="AH86" i="2"/>
  <c r="K88" i="2"/>
  <c r="AG88" i="2"/>
  <c r="G91" i="2"/>
  <c r="X92" i="2"/>
  <c r="H97" i="2"/>
  <c r="AD97" i="2"/>
  <c r="O100" i="2"/>
  <c r="N102" i="2"/>
  <c r="X103" i="2"/>
  <c r="N106" i="2"/>
  <c r="N108" i="2"/>
  <c r="X101" i="2"/>
  <c r="G83" i="2"/>
  <c r="K86" i="2"/>
  <c r="AI86" i="2"/>
  <c r="L88" i="2"/>
  <c r="AH88" i="2"/>
  <c r="H91" i="2"/>
  <c r="Y92" i="2"/>
  <c r="U94" i="2"/>
  <c r="I97" i="2"/>
  <c r="AE97" i="2"/>
  <c r="P100" i="2"/>
  <c r="O102" i="2"/>
  <c r="Y103" i="2"/>
  <c r="O106" i="2"/>
  <c r="G107" i="2"/>
  <c r="O108" i="2"/>
  <c r="P109" i="2"/>
  <c r="V83" i="2"/>
  <c r="L86" i="2"/>
  <c r="M88" i="2"/>
  <c r="AI88" i="2"/>
  <c r="N91" i="2"/>
  <c r="V94" i="2"/>
  <c r="J97" i="2"/>
  <c r="AF97" i="2"/>
  <c r="Q100" i="2"/>
  <c r="P102" i="2"/>
  <c r="AA103" i="2"/>
  <c r="P106" i="2"/>
  <c r="R107" i="2"/>
  <c r="P108" i="2"/>
  <c r="Q109" i="2"/>
  <c r="M82" i="2"/>
  <c r="W83" i="2"/>
  <c r="M86" i="2"/>
  <c r="N88" i="2"/>
  <c r="O91" i="2"/>
  <c r="W94" i="2"/>
  <c r="K97" i="2"/>
  <c r="AG97" i="2"/>
  <c r="R100" i="2"/>
  <c r="Q102" i="2"/>
  <c r="AH104" i="2"/>
  <c r="Q106" i="2"/>
  <c r="S107" i="2"/>
  <c r="Q108" i="2"/>
  <c r="R109" i="2"/>
  <c r="N82" i="2"/>
  <c r="X83" i="2"/>
  <c r="N86" i="2"/>
  <c r="G87" i="2"/>
  <c r="O88" i="2"/>
  <c r="P91" i="2"/>
  <c r="L93" i="2"/>
  <c r="X94" i="2"/>
  <c r="L97" i="2"/>
  <c r="AH97" i="2"/>
  <c r="S100" i="2"/>
  <c r="R102" i="2"/>
  <c r="AI104" i="2"/>
  <c r="R106" i="2"/>
  <c r="T107" i="2"/>
  <c r="R108" i="2"/>
  <c r="S109" i="2"/>
  <c r="O82" i="2"/>
  <c r="Y83" i="2"/>
  <c r="O86" i="2"/>
  <c r="P88" i="2"/>
  <c r="Q91" i="2"/>
  <c r="M97" i="2"/>
  <c r="AI97" i="2"/>
  <c r="T100" i="2"/>
  <c r="S102" i="2"/>
  <c r="K104" i="2"/>
  <c r="S106" i="2"/>
  <c r="U107" i="2"/>
  <c r="S108" i="2"/>
  <c r="T109" i="2"/>
  <c r="P82" i="2"/>
  <c r="AA83" i="2"/>
  <c r="P86" i="2"/>
  <c r="S87" i="2"/>
  <c r="Q88" i="2"/>
  <c r="Q89" i="2"/>
  <c r="R91" i="2"/>
  <c r="N93" i="2"/>
  <c r="AG95" i="2"/>
  <c r="N97" i="2"/>
  <c r="U100" i="2"/>
  <c r="T102" i="2"/>
  <c r="L104" i="2"/>
  <c r="T106" i="2"/>
  <c r="V107" i="2"/>
  <c r="T108" i="2"/>
  <c r="U109" i="2"/>
  <c r="Q82" i="2"/>
  <c r="AH84" i="2"/>
  <c r="Q86" i="2"/>
  <c r="T87" i="2"/>
  <c r="R88" i="2"/>
  <c r="R89" i="2"/>
  <c r="S91" i="2"/>
  <c r="O93" i="2"/>
  <c r="J95" i="2"/>
  <c r="AH95" i="2"/>
  <c r="O97" i="2"/>
  <c r="V100" i="2"/>
  <c r="U102" i="2"/>
  <c r="M104" i="2"/>
  <c r="T105" i="2"/>
  <c r="U106" i="2"/>
  <c r="W107" i="2"/>
  <c r="U108" i="2"/>
  <c r="V109" i="2"/>
  <c r="R82" i="2"/>
  <c r="AI84" i="2"/>
  <c r="R86" i="2"/>
  <c r="U87" i="2"/>
  <c r="S88" i="2"/>
  <c r="S89" i="2"/>
  <c r="T91" i="2"/>
  <c r="P93" i="2"/>
  <c r="K95" i="2"/>
  <c r="AI95" i="2"/>
  <c r="P97" i="2"/>
  <c r="Q98" i="2"/>
  <c r="W100" i="2"/>
  <c r="V102" i="2"/>
  <c r="N104" i="2"/>
  <c r="U105" i="2"/>
  <c r="V106" i="2"/>
  <c r="X107" i="2"/>
  <c r="V108" i="2"/>
  <c r="W109" i="2"/>
  <c r="AC108" i="2"/>
  <c r="S82" i="2"/>
  <c r="K84" i="2"/>
  <c r="S86" i="2"/>
  <c r="V87" i="2"/>
  <c r="T88" i="2"/>
  <c r="T89" i="2"/>
  <c r="U91" i="2"/>
  <c r="Q93" i="2"/>
  <c r="L95" i="2"/>
  <c r="Q97" i="2"/>
  <c r="R98" i="2"/>
  <c r="X100" i="2"/>
  <c r="W102" i="2"/>
  <c r="O104" i="2"/>
  <c r="V105" i="2"/>
  <c r="W106" i="2"/>
  <c r="Y107" i="2"/>
  <c r="W108" i="2"/>
  <c r="X109" i="2"/>
  <c r="G108" i="2"/>
  <c r="T82" i="2"/>
  <c r="L84" i="2"/>
  <c r="T86" i="2"/>
  <c r="W87" i="2"/>
  <c r="U88" i="2"/>
  <c r="U89" i="2"/>
  <c r="V91" i="2"/>
  <c r="R93" i="2"/>
  <c r="M95" i="2"/>
  <c r="R97" i="2"/>
  <c r="S98" i="2"/>
  <c r="Y100" i="2"/>
  <c r="X102" i="2"/>
  <c r="P104" i="2"/>
  <c r="W105" i="2"/>
  <c r="X106" i="2"/>
  <c r="AA107" i="2"/>
  <c r="AA108" i="2"/>
  <c r="Y109" i="2"/>
  <c r="U82" i="2"/>
  <c r="M84" i="2"/>
  <c r="T85" i="2"/>
  <c r="U86" i="2"/>
  <c r="X87" i="2"/>
  <c r="V88" i="2"/>
  <c r="V89" i="2"/>
  <c r="W91" i="2"/>
  <c r="S93" i="2"/>
  <c r="N95" i="2"/>
  <c r="S96" i="2"/>
  <c r="S97" i="2"/>
  <c r="T98" i="2"/>
  <c r="AI100" i="2"/>
  <c r="AA102" i="2"/>
  <c r="Q104" i="2"/>
  <c r="X105" i="2"/>
  <c r="Y106" i="2"/>
  <c r="AB108" i="2"/>
  <c r="AB90" i="2"/>
  <c r="AC99" i="2"/>
  <c r="G101" i="2"/>
  <c r="H90" i="2"/>
  <c r="Z92" i="2"/>
  <c r="I99" i="2"/>
  <c r="AA101" i="2"/>
  <c r="H81" i="2"/>
  <c r="AB81" i="2"/>
  <c r="Z83" i="2"/>
  <c r="I90" i="2"/>
  <c r="AC90" i="2"/>
  <c r="G92" i="2"/>
  <c r="AA92" i="2"/>
  <c r="Y94" i="2"/>
  <c r="J99" i="2"/>
  <c r="AD99" i="2"/>
  <c r="H101" i="2"/>
  <c r="AB101" i="2"/>
  <c r="Z103" i="2"/>
  <c r="Z90" i="2"/>
  <c r="AA90" i="2"/>
  <c r="AC101" i="2"/>
  <c r="J81" i="2"/>
  <c r="AD81" i="2"/>
  <c r="H83" i="2"/>
  <c r="AB83" i="2"/>
  <c r="Z85" i="2"/>
  <c r="K90" i="2"/>
  <c r="AE90" i="2"/>
  <c r="I92" i="2"/>
  <c r="AC92" i="2"/>
  <c r="G94" i="2"/>
  <c r="AA94" i="2"/>
  <c r="L99" i="2"/>
  <c r="AF99" i="2"/>
  <c r="J101" i="2"/>
  <c r="AD101" i="2"/>
  <c r="H103" i="2"/>
  <c r="AB103" i="2"/>
  <c r="Z105" i="2"/>
  <c r="AD90" i="2"/>
  <c r="K81" i="2"/>
  <c r="AE81" i="2"/>
  <c r="I83" i="2"/>
  <c r="AC83" i="2"/>
  <c r="G85" i="2"/>
  <c r="AA85" i="2"/>
  <c r="L90" i="2"/>
  <c r="AF90" i="2"/>
  <c r="J92" i="2"/>
  <c r="AD92" i="2"/>
  <c r="H94" i="2"/>
  <c r="AB94" i="2"/>
  <c r="Z96" i="2"/>
  <c r="M99" i="2"/>
  <c r="AG99" i="2"/>
  <c r="K101" i="2"/>
  <c r="AE101" i="2"/>
  <c r="I103" i="2"/>
  <c r="AC103" i="2"/>
  <c r="G105" i="2"/>
  <c r="AA105" i="2"/>
  <c r="H99" i="2"/>
  <c r="H92" i="2"/>
  <c r="L81" i="2"/>
  <c r="AF81" i="2"/>
  <c r="J83" i="2"/>
  <c r="AD83" i="2"/>
  <c r="H85" i="2"/>
  <c r="AB85" i="2"/>
  <c r="Z87" i="2"/>
  <c r="M90" i="2"/>
  <c r="AG90" i="2"/>
  <c r="K92" i="2"/>
  <c r="AE92" i="2"/>
  <c r="I94" i="2"/>
  <c r="AC94" i="2"/>
  <c r="G96" i="2"/>
  <c r="AA96" i="2"/>
  <c r="Y98" i="2"/>
  <c r="N99" i="2"/>
  <c r="AH99" i="2"/>
  <c r="L101" i="2"/>
  <c r="AF101" i="2"/>
  <c r="J103" i="2"/>
  <c r="AD103" i="2"/>
  <c r="H105" i="2"/>
  <c r="AB105" i="2"/>
  <c r="Z107" i="2"/>
  <c r="AA99" i="2"/>
  <c r="I81" i="2"/>
  <c r="M81" i="2"/>
  <c r="AG81" i="2"/>
  <c r="K83" i="2"/>
  <c r="AE83" i="2"/>
  <c r="I85" i="2"/>
  <c r="AC85" i="2"/>
  <c r="N90" i="2"/>
  <c r="AH90" i="2"/>
  <c r="L92" i="2"/>
  <c r="AF92" i="2"/>
  <c r="J94" i="2"/>
  <c r="AD94" i="2"/>
  <c r="H96" i="2"/>
  <c r="AB96" i="2"/>
  <c r="Z98" i="2"/>
  <c r="O99" i="2"/>
  <c r="AI99" i="2"/>
  <c r="M101" i="2"/>
  <c r="AG101" i="2"/>
  <c r="K103" i="2"/>
  <c r="AE103" i="2"/>
  <c r="I105" i="2"/>
  <c r="AC105" i="2"/>
  <c r="AH81" i="2"/>
  <c r="L83" i="2"/>
  <c r="AF83" i="2"/>
  <c r="J85" i="2"/>
  <c r="AD85" i="2"/>
  <c r="H87" i="2"/>
  <c r="AB87" i="2"/>
  <c r="Z89" i="2"/>
  <c r="O90" i="2"/>
  <c r="AI90" i="2"/>
  <c r="M92" i="2"/>
  <c r="AG92" i="2"/>
  <c r="K94" i="2"/>
  <c r="AE94" i="2"/>
  <c r="I96" i="2"/>
  <c r="AC96" i="2"/>
  <c r="G98" i="2"/>
  <c r="AA98" i="2"/>
  <c r="P99" i="2"/>
  <c r="N101" i="2"/>
  <c r="AH101" i="2"/>
  <c r="L103" i="2"/>
  <c r="AF103" i="2"/>
  <c r="J105" i="2"/>
  <c r="AD105" i="2"/>
  <c r="H107" i="2"/>
  <c r="AB107" i="2"/>
  <c r="Z109" i="2"/>
  <c r="Z99" i="2"/>
  <c r="Z81" i="2"/>
  <c r="O81" i="2"/>
  <c r="AI81" i="2"/>
  <c r="M83" i="2"/>
  <c r="AG83" i="2"/>
  <c r="K85" i="2"/>
  <c r="AE85" i="2"/>
  <c r="I87" i="2"/>
  <c r="AC87" i="2"/>
  <c r="G89" i="2"/>
  <c r="AA89" i="2"/>
  <c r="P90" i="2"/>
  <c r="N92" i="2"/>
  <c r="AH92" i="2"/>
  <c r="W93" i="2"/>
  <c r="L94" i="2"/>
  <c r="AF94" i="2"/>
  <c r="J96" i="2"/>
  <c r="AD96" i="2"/>
  <c r="H98" i="2"/>
  <c r="AB98" i="2"/>
  <c r="Q99" i="2"/>
  <c r="Z100" i="2"/>
  <c r="O101" i="2"/>
  <c r="AI101" i="2"/>
  <c r="M103" i="2"/>
  <c r="AG103" i="2"/>
  <c r="K105" i="2"/>
  <c r="AE105" i="2"/>
  <c r="I107" i="2"/>
  <c r="AC107" i="2"/>
  <c r="G109" i="2"/>
  <c r="AA109" i="2"/>
  <c r="G99" i="2"/>
  <c r="G90" i="2"/>
  <c r="K99" i="2"/>
  <c r="N81" i="2"/>
  <c r="P81" i="2"/>
  <c r="Y82" i="2"/>
  <c r="N83" i="2"/>
  <c r="AH83" i="2"/>
  <c r="L85" i="2"/>
  <c r="AF85" i="2"/>
  <c r="J87" i="2"/>
  <c r="AD87" i="2"/>
  <c r="H89" i="2"/>
  <c r="AB89" i="2"/>
  <c r="Q90" i="2"/>
  <c r="Z91" i="2"/>
  <c r="O92" i="2"/>
  <c r="AI92" i="2"/>
  <c r="X93" i="2"/>
  <c r="M94" i="2"/>
  <c r="AG94" i="2"/>
  <c r="K96" i="2"/>
  <c r="AE96" i="2"/>
  <c r="I98" i="2"/>
  <c r="AC98" i="2"/>
  <c r="R99" i="2"/>
  <c r="G100" i="2"/>
  <c r="AA100" i="2"/>
  <c r="P101" i="2"/>
  <c r="Y102" i="2"/>
  <c r="N103" i="2"/>
  <c r="AH103" i="2"/>
  <c r="L105" i="2"/>
  <c r="AF105" i="2"/>
  <c r="J107" i="2"/>
  <c r="AD107" i="2"/>
  <c r="H109" i="2"/>
  <c r="AB109" i="2"/>
  <c r="Z101" i="2"/>
  <c r="AA81" i="2"/>
  <c r="AC81" i="2"/>
  <c r="Q81" i="2"/>
  <c r="Z82" i="2"/>
  <c r="O83" i="2"/>
  <c r="AI83" i="2"/>
  <c r="M85" i="2"/>
  <c r="AG85" i="2"/>
  <c r="K87" i="2"/>
  <c r="AE87" i="2"/>
  <c r="I89" i="2"/>
  <c r="AC89" i="2"/>
  <c r="R90" i="2"/>
  <c r="AA91" i="2"/>
  <c r="P92" i="2"/>
  <c r="Y93" i="2"/>
  <c r="N94" i="2"/>
  <c r="AH94" i="2"/>
  <c r="L96" i="2"/>
  <c r="AF96" i="2"/>
  <c r="J98" i="2"/>
  <c r="AD98" i="2"/>
  <c r="S99" i="2"/>
  <c r="H100" i="2"/>
  <c r="AB100" i="2"/>
  <c r="Q101" i="2"/>
  <c r="Z102" i="2"/>
  <c r="O103" i="2"/>
  <c r="AI103" i="2"/>
  <c r="M105" i="2"/>
  <c r="AG105" i="2"/>
  <c r="K107" i="2"/>
  <c r="AE107" i="2"/>
  <c r="I109" i="2"/>
  <c r="AC109" i="2"/>
  <c r="J90" i="2"/>
  <c r="Z94" i="2"/>
  <c r="R81" i="2"/>
  <c r="P83" i="2"/>
  <c r="N85" i="2"/>
  <c r="AH85" i="2"/>
  <c r="L87" i="2"/>
  <c r="AF87" i="2"/>
  <c r="J89" i="2"/>
  <c r="AD89" i="2"/>
  <c r="S90" i="2"/>
  <c r="Q92" i="2"/>
  <c r="Z93" i="2"/>
  <c r="O94" i="2"/>
  <c r="AI94" i="2"/>
  <c r="M96" i="2"/>
  <c r="AG96" i="2"/>
  <c r="K98" i="2"/>
  <c r="AE98" i="2"/>
  <c r="T99" i="2"/>
  <c r="I100" i="2"/>
  <c r="AC100" i="2"/>
  <c r="R101" i="2"/>
  <c r="P103" i="2"/>
  <c r="N105" i="2"/>
  <c r="AH105" i="2"/>
  <c r="L107" i="2"/>
  <c r="AF107" i="2"/>
  <c r="J109" i="2"/>
  <c r="AD109" i="2"/>
  <c r="AB99" i="2"/>
  <c r="AE99" i="2"/>
  <c r="S81" i="2"/>
  <c r="H82" i="2"/>
  <c r="AB82" i="2"/>
  <c r="Q83" i="2"/>
  <c r="Z84" i="2"/>
  <c r="O85" i="2"/>
  <c r="AI85" i="2"/>
  <c r="M87" i="2"/>
  <c r="AG87" i="2"/>
  <c r="K89" i="2"/>
  <c r="AE89" i="2"/>
  <c r="T90" i="2"/>
  <c r="I91" i="2"/>
  <c r="AC91" i="2"/>
  <c r="R92" i="2"/>
  <c r="G93" i="2"/>
  <c r="AA93" i="2"/>
  <c r="P94" i="2"/>
  <c r="N96" i="2"/>
  <c r="AH96" i="2"/>
  <c r="L98" i="2"/>
  <c r="AF98" i="2"/>
  <c r="U99" i="2"/>
  <c r="J100" i="2"/>
  <c r="AD100" i="2"/>
  <c r="S101" i="2"/>
  <c r="H102" i="2"/>
  <c r="AB102" i="2"/>
  <c r="Q103" i="2"/>
  <c r="Z104" i="2"/>
  <c r="O105" i="2"/>
  <c r="AI105" i="2"/>
  <c r="M107" i="2"/>
  <c r="AG107" i="2"/>
  <c r="K109" i="2"/>
  <c r="AE109" i="2"/>
  <c r="T81" i="2"/>
  <c r="I82" i="2"/>
  <c r="AC82" i="2"/>
  <c r="R83" i="2"/>
  <c r="G84" i="2"/>
  <c r="AA84" i="2"/>
  <c r="P85" i="2"/>
  <c r="Y86" i="2"/>
  <c r="N87" i="2"/>
  <c r="AH87" i="2"/>
  <c r="L89" i="2"/>
  <c r="AF89" i="2"/>
  <c r="U90" i="2"/>
  <c r="J91" i="2"/>
  <c r="AD91" i="2"/>
  <c r="S92" i="2"/>
  <c r="H93" i="2"/>
  <c r="AB93" i="2"/>
  <c r="Q94" i="2"/>
  <c r="Z95" i="2"/>
  <c r="O96" i="2"/>
  <c r="AI96" i="2"/>
  <c r="M98" i="2"/>
  <c r="AG98" i="2"/>
  <c r="V99" i="2"/>
  <c r="K100" i="2"/>
  <c r="AE100" i="2"/>
  <c r="T101" i="2"/>
  <c r="I102" i="2"/>
  <c r="AC102" i="2"/>
  <c r="R103" i="2"/>
  <c r="G104" i="2"/>
  <c r="AA104" i="2"/>
  <c r="P105" i="2"/>
  <c r="N107" i="2"/>
  <c r="AH107" i="2"/>
  <c r="L109" i="2"/>
  <c r="AF109" i="2"/>
  <c r="G81" i="2"/>
  <c r="U81" i="2"/>
  <c r="J82" i="2"/>
  <c r="AD82" i="2"/>
  <c r="S83" i="2"/>
  <c r="H84" i="2"/>
  <c r="AB84" i="2"/>
  <c r="Q85" i="2"/>
  <c r="Z86" i="2"/>
  <c r="O87" i="2"/>
  <c r="AI87" i="2"/>
  <c r="M89" i="2"/>
  <c r="AG89" i="2"/>
  <c r="V90" i="2"/>
  <c r="K91" i="2"/>
  <c r="AE91" i="2"/>
  <c r="T92" i="2"/>
  <c r="I93" i="2"/>
  <c r="AC93" i="2"/>
  <c r="R94" i="2"/>
  <c r="G95" i="2"/>
  <c r="AA95" i="2"/>
  <c r="P96" i="2"/>
  <c r="N98" i="2"/>
  <c r="AH98" i="2"/>
  <c r="W99" i="2"/>
  <c r="L100" i="2"/>
  <c r="AF100" i="2"/>
  <c r="U101" i="2"/>
  <c r="J102" i="2"/>
  <c r="AD102" i="2"/>
  <c r="S103" i="2"/>
  <c r="H104" i="2"/>
  <c r="AB104" i="2"/>
  <c r="Q105" i="2"/>
  <c r="Z106" i="2"/>
  <c r="O107" i="2"/>
  <c r="AI107" i="2"/>
  <c r="X108" i="2"/>
  <c r="M109" i="2"/>
  <c r="AG109" i="2"/>
  <c r="I101" i="2"/>
  <c r="V81" i="2"/>
  <c r="K82" i="2"/>
  <c r="AE82" i="2"/>
  <c r="T83" i="2"/>
  <c r="I84" i="2"/>
  <c r="AC84" i="2"/>
  <c r="R85" i="2"/>
  <c r="G86" i="2"/>
  <c r="AA86" i="2"/>
  <c r="P87" i="2"/>
  <c r="Y88" i="2"/>
  <c r="N89" i="2"/>
  <c r="AH89" i="2"/>
  <c r="W90" i="2"/>
  <c r="L91" i="2"/>
  <c r="AF91" i="2"/>
  <c r="U92" i="2"/>
  <c r="J93" i="2"/>
  <c r="AD93" i="2"/>
  <c r="S94" i="2"/>
  <c r="H95" i="2"/>
  <c r="AB95" i="2"/>
  <c r="Q96" i="2"/>
  <c r="Z97" i="2"/>
  <c r="O98" i="2"/>
  <c r="AI98" i="2"/>
  <c r="X99" i="2"/>
  <c r="M100" i="2"/>
  <c r="AG100" i="2"/>
  <c r="V101" i="2"/>
  <c r="K102" i="2"/>
  <c r="AE102" i="2"/>
  <c r="T103" i="2"/>
  <c r="I104" i="2"/>
  <c r="AC104" i="2"/>
  <c r="R105" i="2"/>
  <c r="G106" i="2"/>
  <c r="AA106" i="2"/>
  <c r="P107" i="2"/>
  <c r="Y108" i="2"/>
  <c r="N109" i="2"/>
  <c r="AH109" i="2"/>
  <c r="AB92" i="2"/>
  <c r="L82" i="2"/>
  <c r="J84" i="2"/>
  <c r="H86" i="2"/>
  <c r="O89" i="2"/>
  <c r="M91" i="2"/>
  <c r="K93" i="2"/>
  <c r="I95" i="2"/>
  <c r="G97" i="2"/>
  <c r="N100" i="2"/>
  <c r="L102" i="2"/>
  <c r="J104" i="2"/>
  <c r="H106" i="2"/>
  <c r="O109" i="2"/>
  <c r="P59" i="2"/>
  <c r="Q41" i="2"/>
  <c r="Z44" i="2"/>
  <c r="R55" i="2"/>
  <c r="R41" i="2"/>
  <c r="S55" i="2"/>
  <c r="Q59" i="2"/>
  <c r="T41" i="2"/>
  <c r="Z48" i="2"/>
  <c r="U55" i="2"/>
  <c r="S59" i="2"/>
  <c r="Z66" i="2"/>
  <c r="U41" i="2"/>
  <c r="R45" i="2"/>
  <c r="V55" i="2"/>
  <c r="T59" i="2"/>
  <c r="R63" i="2"/>
  <c r="T55" i="2"/>
  <c r="V41" i="2"/>
  <c r="S45" i="2"/>
  <c r="P49" i="2"/>
  <c r="W55" i="2"/>
  <c r="U59" i="2"/>
  <c r="S63" i="2"/>
  <c r="P67" i="2"/>
  <c r="P41" i="2"/>
  <c r="W41" i="2"/>
  <c r="T45" i="2"/>
  <c r="Q49" i="2"/>
  <c r="X55" i="2"/>
  <c r="V59" i="2"/>
  <c r="T63" i="2"/>
  <c r="Q67" i="2"/>
  <c r="U45" i="2"/>
  <c r="R49" i="2"/>
  <c r="W59" i="2"/>
  <c r="U63" i="2"/>
  <c r="R67" i="2"/>
  <c r="X41" i="2"/>
  <c r="V45" i="2"/>
  <c r="S49" i="2"/>
  <c r="Q53" i="2"/>
  <c r="X59" i="2"/>
  <c r="V63" i="2"/>
  <c r="S67" i="2"/>
  <c r="Q55" i="2"/>
  <c r="W45" i="2"/>
  <c r="T49" i="2"/>
  <c r="R53" i="2"/>
  <c r="W63" i="2"/>
  <c r="T67" i="2"/>
  <c r="P43" i="2"/>
  <c r="X45" i="2"/>
  <c r="U49" i="2"/>
  <c r="S53" i="2"/>
  <c r="Q57" i="2"/>
  <c r="X63" i="2"/>
  <c r="U67" i="2"/>
  <c r="P55" i="2"/>
  <c r="R59" i="2"/>
  <c r="V49" i="2"/>
  <c r="T53" i="2"/>
  <c r="V67" i="2"/>
  <c r="S41" i="2"/>
  <c r="R43" i="2"/>
  <c r="W49" i="2"/>
  <c r="U53" i="2"/>
  <c r="S57" i="2"/>
  <c r="Q61" i="2"/>
  <c r="W67" i="2"/>
  <c r="S43" i="2"/>
  <c r="P47" i="2"/>
  <c r="X49" i="2"/>
  <c r="V53" i="2"/>
  <c r="T57" i="2"/>
  <c r="R61" i="2"/>
  <c r="P65" i="2"/>
  <c r="X67" i="2"/>
  <c r="T43" i="2"/>
  <c r="Q47" i="2"/>
  <c r="W53" i="2"/>
  <c r="U57" i="2"/>
  <c r="S61" i="2"/>
  <c r="Q65" i="2"/>
  <c r="U43" i="2"/>
  <c r="R47" i="2"/>
  <c r="X53" i="2"/>
  <c r="V57" i="2"/>
  <c r="T61" i="2"/>
  <c r="R65" i="2"/>
  <c r="Z68" i="2"/>
  <c r="V43" i="2"/>
  <c r="S47" i="2"/>
  <c r="P51" i="2"/>
  <c r="W57" i="2"/>
  <c r="U61" i="2"/>
  <c r="S65" i="2"/>
  <c r="Z62" i="2"/>
  <c r="G56" i="2"/>
  <c r="AA56" i="2"/>
  <c r="G58" i="2"/>
  <c r="AA58" i="2"/>
  <c r="G60" i="2"/>
  <c r="AA60" i="2"/>
  <c r="G62" i="2"/>
  <c r="AA62" i="2"/>
  <c r="G64" i="2"/>
  <c r="AA64" i="2"/>
  <c r="G66" i="2"/>
  <c r="AA66" i="2"/>
  <c r="G68" i="2"/>
  <c r="AA68" i="2"/>
  <c r="G44" i="2"/>
  <c r="H42" i="2"/>
  <c r="AB42" i="2"/>
  <c r="H44" i="2"/>
  <c r="AB44" i="2"/>
  <c r="H46" i="2"/>
  <c r="AB46" i="2"/>
  <c r="H48" i="2"/>
  <c r="AB48" i="2"/>
  <c r="H50" i="2"/>
  <c r="AB50" i="2"/>
  <c r="H52" i="2"/>
  <c r="AB52" i="2"/>
  <c r="H54" i="2"/>
  <c r="AB54" i="2"/>
  <c r="H56" i="2"/>
  <c r="AB56" i="2"/>
  <c r="H58" i="2"/>
  <c r="AB58" i="2"/>
  <c r="H60" i="2"/>
  <c r="AB60" i="2"/>
  <c r="H62" i="2"/>
  <c r="AB62" i="2"/>
  <c r="H64" i="2"/>
  <c r="AB64" i="2"/>
  <c r="H66" i="2"/>
  <c r="AB66" i="2"/>
  <c r="H68" i="2"/>
  <c r="AB68" i="2"/>
  <c r="AA46" i="2"/>
  <c r="I42" i="2"/>
  <c r="AC42" i="2"/>
  <c r="I44" i="2"/>
  <c r="AC44" i="2"/>
  <c r="I46" i="2"/>
  <c r="AC46" i="2"/>
  <c r="I48" i="2"/>
  <c r="AC48" i="2"/>
  <c r="I50" i="2"/>
  <c r="AC50" i="2"/>
  <c r="I52" i="2"/>
  <c r="AC52" i="2"/>
  <c r="I54" i="2"/>
  <c r="AC54" i="2"/>
  <c r="I56" i="2"/>
  <c r="AC56" i="2"/>
  <c r="I58" i="2"/>
  <c r="AC58" i="2"/>
  <c r="I60" i="2"/>
  <c r="AC60" i="2"/>
  <c r="I62" i="2"/>
  <c r="AC62" i="2"/>
  <c r="I64" i="2"/>
  <c r="AC64" i="2"/>
  <c r="I66" i="2"/>
  <c r="AC66" i="2"/>
  <c r="I68" i="2"/>
  <c r="AC68" i="2"/>
  <c r="J44" i="2"/>
  <c r="AD44" i="2"/>
  <c r="J46" i="2"/>
  <c r="AD46" i="2"/>
  <c r="J48" i="2"/>
  <c r="AD48" i="2"/>
  <c r="J50" i="2"/>
  <c r="AD50" i="2"/>
  <c r="J52" i="2"/>
  <c r="AD52" i="2"/>
  <c r="J54" i="2"/>
  <c r="AD54" i="2"/>
  <c r="J56" i="2"/>
  <c r="AD56" i="2"/>
  <c r="J58" i="2"/>
  <c r="AD58" i="2"/>
  <c r="J60" i="2"/>
  <c r="AD60" i="2"/>
  <c r="J62" i="2"/>
  <c r="AD62" i="2"/>
  <c r="J64" i="2"/>
  <c r="AD64" i="2"/>
  <c r="J66" i="2"/>
  <c r="AD66" i="2"/>
  <c r="J68" i="2"/>
  <c r="AD68" i="2"/>
  <c r="G48" i="2"/>
  <c r="J42" i="2"/>
  <c r="K42" i="2"/>
  <c r="AE42" i="2"/>
  <c r="K44" i="2"/>
  <c r="AE44" i="2"/>
  <c r="K46" i="2"/>
  <c r="AE46" i="2"/>
  <c r="K48" i="2"/>
  <c r="AE48" i="2"/>
  <c r="K50" i="2"/>
  <c r="AE50" i="2"/>
  <c r="K52" i="2"/>
  <c r="AE52" i="2"/>
  <c r="K54" i="2"/>
  <c r="AE54" i="2"/>
  <c r="K56" i="2"/>
  <c r="AE56" i="2"/>
  <c r="K58" i="2"/>
  <c r="AE58" i="2"/>
  <c r="K60" i="2"/>
  <c r="AE60" i="2"/>
  <c r="K62" i="2"/>
  <c r="AE62" i="2"/>
  <c r="K64" i="2"/>
  <c r="AE64" i="2"/>
  <c r="K66" i="2"/>
  <c r="AE66" i="2"/>
  <c r="K68" i="2"/>
  <c r="AE68" i="2"/>
  <c r="AA42" i="2"/>
  <c r="AA44" i="2"/>
  <c r="AD42" i="2"/>
  <c r="L42" i="2"/>
  <c r="AF42" i="2"/>
  <c r="L44" i="2"/>
  <c r="AF44" i="2"/>
  <c r="L46" i="2"/>
  <c r="AF46" i="2"/>
  <c r="L48" i="2"/>
  <c r="AF48" i="2"/>
  <c r="L50" i="2"/>
  <c r="AF50" i="2"/>
  <c r="L52" i="2"/>
  <c r="AF52" i="2"/>
  <c r="L54" i="2"/>
  <c r="AF54" i="2"/>
  <c r="L56" i="2"/>
  <c r="AF56" i="2"/>
  <c r="L58" i="2"/>
  <c r="AF58" i="2"/>
  <c r="L60" i="2"/>
  <c r="AF60" i="2"/>
  <c r="L62" i="2"/>
  <c r="AF62" i="2"/>
  <c r="L64" i="2"/>
  <c r="AF64" i="2"/>
  <c r="L66" i="2"/>
  <c r="AF66" i="2"/>
  <c r="L68" i="2"/>
  <c r="AF68" i="2"/>
  <c r="Z46" i="2"/>
  <c r="Z54" i="2"/>
  <c r="Z56" i="2"/>
  <c r="G52" i="2"/>
  <c r="M42" i="2"/>
  <c r="AG42" i="2"/>
  <c r="M44" i="2"/>
  <c r="AG44" i="2"/>
  <c r="M46" i="2"/>
  <c r="AG46" i="2"/>
  <c r="M48" i="2"/>
  <c r="AG48" i="2"/>
  <c r="M50" i="2"/>
  <c r="AG50" i="2"/>
  <c r="M52" i="2"/>
  <c r="AG52" i="2"/>
  <c r="M54" i="2"/>
  <c r="AG54" i="2"/>
  <c r="M56" i="2"/>
  <c r="AG56" i="2"/>
  <c r="M58" i="2"/>
  <c r="AG58" i="2"/>
  <c r="M60" i="2"/>
  <c r="AG60" i="2"/>
  <c r="M62" i="2"/>
  <c r="AG62" i="2"/>
  <c r="M64" i="2"/>
  <c r="AG64" i="2"/>
  <c r="M66" i="2"/>
  <c r="AG66" i="2"/>
  <c r="M68" i="2"/>
  <c r="AG68" i="2"/>
  <c r="N42" i="2"/>
  <c r="N46" i="2"/>
  <c r="AH46" i="2"/>
  <c r="AH48" i="2"/>
  <c r="N50" i="2"/>
  <c r="AH50" i="2"/>
  <c r="N52" i="2"/>
  <c r="AH52" i="2"/>
  <c r="N54" i="2"/>
  <c r="AH54" i="2"/>
  <c r="N56" i="2"/>
  <c r="AH56" i="2"/>
  <c r="N58" i="2"/>
  <c r="AH58" i="2"/>
  <c r="N60" i="2"/>
  <c r="AH60" i="2"/>
  <c r="N62" i="2"/>
  <c r="AH62" i="2"/>
  <c r="N64" i="2"/>
  <c r="AH64" i="2"/>
  <c r="N66" i="2"/>
  <c r="AH66" i="2"/>
  <c r="N68" i="2"/>
  <c r="AH68" i="2"/>
  <c r="Z60" i="2"/>
  <c r="AA54" i="2"/>
  <c r="N48" i="2"/>
  <c r="Y41" i="2"/>
  <c r="O42" i="2"/>
  <c r="AI42" i="2"/>
  <c r="Y43" i="2"/>
  <c r="O44" i="2"/>
  <c r="AI44" i="2"/>
  <c r="Y45" i="2"/>
  <c r="O46" i="2"/>
  <c r="AI46" i="2"/>
  <c r="Y47" i="2"/>
  <c r="O48" i="2"/>
  <c r="AI48" i="2"/>
  <c r="Y49" i="2"/>
  <c r="O50" i="2"/>
  <c r="AI50" i="2"/>
  <c r="Y51" i="2"/>
  <c r="O52" i="2"/>
  <c r="AI52" i="2"/>
  <c r="Y53" i="2"/>
  <c r="O54" i="2"/>
  <c r="AI54" i="2"/>
  <c r="Y55" i="2"/>
  <c r="O56" i="2"/>
  <c r="AI56" i="2"/>
  <c r="Y57" i="2"/>
  <c r="O58" i="2"/>
  <c r="AI58" i="2"/>
  <c r="Y59" i="2"/>
  <c r="O60" i="2"/>
  <c r="AI60" i="2"/>
  <c r="Y61" i="2"/>
  <c r="O62" i="2"/>
  <c r="AI62" i="2"/>
  <c r="Y63" i="2"/>
  <c r="O64" i="2"/>
  <c r="AI64" i="2"/>
  <c r="Y65" i="2"/>
  <c r="O66" i="2"/>
  <c r="AI66" i="2"/>
  <c r="Y67" i="2"/>
  <c r="O68" i="2"/>
  <c r="AI68" i="2"/>
  <c r="Y69" i="2"/>
  <c r="Z41" i="2"/>
  <c r="P42" i="2"/>
  <c r="Z43" i="2"/>
  <c r="P44" i="2"/>
  <c r="Z45" i="2"/>
  <c r="P46" i="2"/>
  <c r="Z47" i="2"/>
  <c r="P48" i="2"/>
  <c r="Z49" i="2"/>
  <c r="P50" i="2"/>
  <c r="Z51" i="2"/>
  <c r="P52" i="2"/>
  <c r="Z53" i="2"/>
  <c r="P54" i="2"/>
  <c r="Z55" i="2"/>
  <c r="P56" i="2"/>
  <c r="Z57" i="2"/>
  <c r="P58" i="2"/>
  <c r="Z59" i="2"/>
  <c r="P60" i="2"/>
  <c r="Z61" i="2"/>
  <c r="P62" i="2"/>
  <c r="Z63" i="2"/>
  <c r="P64" i="2"/>
  <c r="Z65" i="2"/>
  <c r="P66" i="2"/>
  <c r="Z67" i="2"/>
  <c r="P68" i="2"/>
  <c r="Z69" i="2"/>
  <c r="AA50" i="2"/>
  <c r="G41" i="2"/>
  <c r="AA41" i="2"/>
  <c r="Q42" i="2"/>
  <c r="G43" i="2"/>
  <c r="AA43" i="2"/>
  <c r="Q44" i="2"/>
  <c r="G45" i="2"/>
  <c r="AA45" i="2"/>
  <c r="Q46" i="2"/>
  <c r="G47" i="2"/>
  <c r="AA47" i="2"/>
  <c r="Q48" i="2"/>
  <c r="G49" i="2"/>
  <c r="AA49" i="2"/>
  <c r="Q50" i="2"/>
  <c r="G51" i="2"/>
  <c r="AA51" i="2"/>
  <c r="Q52" i="2"/>
  <c r="G53" i="2"/>
  <c r="AA53" i="2"/>
  <c r="Q54" i="2"/>
  <c r="G55" i="2"/>
  <c r="AA55" i="2"/>
  <c r="Q56" i="2"/>
  <c r="G57" i="2"/>
  <c r="AA57" i="2"/>
  <c r="Q58" i="2"/>
  <c r="G59" i="2"/>
  <c r="AA59" i="2"/>
  <c r="Q60" i="2"/>
  <c r="G61" i="2"/>
  <c r="AA61" i="2"/>
  <c r="Q62" i="2"/>
  <c r="G63" i="2"/>
  <c r="AA63" i="2"/>
  <c r="Q64" i="2"/>
  <c r="G65" i="2"/>
  <c r="AA65" i="2"/>
  <c r="Q66" i="2"/>
  <c r="G67" i="2"/>
  <c r="AA67" i="2"/>
  <c r="Q68" i="2"/>
  <c r="G69" i="2"/>
  <c r="AA69" i="2"/>
  <c r="AH44" i="2"/>
  <c r="H41" i="2"/>
  <c r="AB41" i="2"/>
  <c r="R42" i="2"/>
  <c r="H43" i="2"/>
  <c r="AB43" i="2"/>
  <c r="R44" i="2"/>
  <c r="H45" i="2"/>
  <c r="AB45" i="2"/>
  <c r="R46" i="2"/>
  <c r="H47" i="2"/>
  <c r="AB47" i="2"/>
  <c r="R48" i="2"/>
  <c r="H49" i="2"/>
  <c r="AB49" i="2"/>
  <c r="R50" i="2"/>
  <c r="H51" i="2"/>
  <c r="AB51" i="2"/>
  <c r="R52" i="2"/>
  <c r="H53" i="2"/>
  <c r="AB53" i="2"/>
  <c r="R54" i="2"/>
  <c r="H55" i="2"/>
  <c r="AB55" i="2"/>
  <c r="R56" i="2"/>
  <c r="H57" i="2"/>
  <c r="AB57" i="2"/>
  <c r="R58" i="2"/>
  <c r="H59" i="2"/>
  <c r="AB59" i="2"/>
  <c r="R60" i="2"/>
  <c r="H61" i="2"/>
  <c r="AB61" i="2"/>
  <c r="R62" i="2"/>
  <c r="H63" i="2"/>
  <c r="AB63" i="2"/>
  <c r="R64" i="2"/>
  <c r="H65" i="2"/>
  <c r="AB65" i="2"/>
  <c r="R66" i="2"/>
  <c r="H67" i="2"/>
  <c r="AB67" i="2"/>
  <c r="R68" i="2"/>
  <c r="H69" i="2"/>
  <c r="AB69" i="2"/>
  <c r="Z42" i="2"/>
  <c r="Z50" i="2"/>
  <c r="Z58" i="2"/>
  <c r="AA52" i="2"/>
  <c r="N44" i="2"/>
  <c r="I41" i="2"/>
  <c r="AC41" i="2"/>
  <c r="S42" i="2"/>
  <c r="I43" i="2"/>
  <c r="AC43" i="2"/>
  <c r="S44" i="2"/>
  <c r="I45" i="2"/>
  <c r="AC45" i="2"/>
  <c r="S46" i="2"/>
  <c r="I47" i="2"/>
  <c r="AC47" i="2"/>
  <c r="S48" i="2"/>
  <c r="I49" i="2"/>
  <c r="AC49" i="2"/>
  <c r="S50" i="2"/>
  <c r="I51" i="2"/>
  <c r="AC51" i="2"/>
  <c r="S52" i="2"/>
  <c r="I53" i="2"/>
  <c r="AC53" i="2"/>
  <c r="S54" i="2"/>
  <c r="I55" i="2"/>
  <c r="AC55" i="2"/>
  <c r="S56" i="2"/>
  <c r="I57" i="2"/>
  <c r="AC57" i="2"/>
  <c r="S58" i="2"/>
  <c r="I59" i="2"/>
  <c r="AC59" i="2"/>
  <c r="S60" i="2"/>
  <c r="I61" i="2"/>
  <c r="AC61" i="2"/>
  <c r="S62" i="2"/>
  <c r="I63" i="2"/>
  <c r="AC63" i="2"/>
  <c r="S64" i="2"/>
  <c r="I65" i="2"/>
  <c r="AC65" i="2"/>
  <c r="S66" i="2"/>
  <c r="I67" i="2"/>
  <c r="AC67" i="2"/>
  <c r="S68" i="2"/>
  <c r="I69" i="2"/>
  <c r="AC69" i="2"/>
  <c r="AH42" i="2"/>
  <c r="J41" i="2"/>
  <c r="AD41" i="2"/>
  <c r="T42" i="2"/>
  <c r="J43" i="2"/>
  <c r="AD43" i="2"/>
  <c r="T44" i="2"/>
  <c r="J45" i="2"/>
  <c r="AD45" i="2"/>
  <c r="T46" i="2"/>
  <c r="J47" i="2"/>
  <c r="AD47" i="2"/>
  <c r="T48" i="2"/>
  <c r="J49" i="2"/>
  <c r="AD49" i="2"/>
  <c r="T50" i="2"/>
  <c r="J51" i="2"/>
  <c r="AD51" i="2"/>
  <c r="T52" i="2"/>
  <c r="J53" i="2"/>
  <c r="AD53" i="2"/>
  <c r="T54" i="2"/>
  <c r="J55" i="2"/>
  <c r="AD55" i="2"/>
  <c r="T56" i="2"/>
  <c r="J57" i="2"/>
  <c r="AD57" i="2"/>
  <c r="T58" i="2"/>
  <c r="J59" i="2"/>
  <c r="AD59" i="2"/>
  <c r="T60" i="2"/>
  <c r="J61" i="2"/>
  <c r="AD61" i="2"/>
  <c r="T62" i="2"/>
  <c r="J63" i="2"/>
  <c r="AD63" i="2"/>
  <c r="T64" i="2"/>
  <c r="J65" i="2"/>
  <c r="AD65" i="2"/>
  <c r="T66" i="2"/>
  <c r="J67" i="2"/>
  <c r="AD67" i="2"/>
  <c r="T68" i="2"/>
  <c r="J69" i="2"/>
  <c r="AD69" i="2"/>
  <c r="G42" i="2"/>
  <c r="G46" i="2"/>
  <c r="K41" i="2"/>
  <c r="AE41" i="2"/>
  <c r="U42" i="2"/>
  <c r="K43" i="2"/>
  <c r="AE43" i="2"/>
  <c r="U44" i="2"/>
  <c r="K45" i="2"/>
  <c r="AE45" i="2"/>
  <c r="U46" i="2"/>
  <c r="K47" i="2"/>
  <c r="AE47" i="2"/>
  <c r="U48" i="2"/>
  <c r="K49" i="2"/>
  <c r="AE49" i="2"/>
  <c r="U50" i="2"/>
  <c r="K51" i="2"/>
  <c r="AE51" i="2"/>
  <c r="U52" i="2"/>
  <c r="K53" i="2"/>
  <c r="AE53" i="2"/>
  <c r="U54" i="2"/>
  <c r="K55" i="2"/>
  <c r="AE55" i="2"/>
  <c r="U56" i="2"/>
  <c r="K57" i="2"/>
  <c r="AE57" i="2"/>
  <c r="U58" i="2"/>
  <c r="K59" i="2"/>
  <c r="AE59" i="2"/>
  <c r="U60" i="2"/>
  <c r="K61" i="2"/>
  <c r="AE61" i="2"/>
  <c r="U62" i="2"/>
  <c r="K63" i="2"/>
  <c r="AE63" i="2"/>
  <c r="U64" i="2"/>
  <c r="K65" i="2"/>
  <c r="AE65" i="2"/>
  <c r="U66" i="2"/>
  <c r="K67" i="2"/>
  <c r="AE67" i="2"/>
  <c r="U68" i="2"/>
  <c r="K69" i="2"/>
  <c r="AE69" i="2"/>
  <c r="AA48" i="2"/>
  <c r="L41" i="2"/>
  <c r="AF41" i="2"/>
  <c r="V42" i="2"/>
  <c r="L43" i="2"/>
  <c r="AF43" i="2"/>
  <c r="V44" i="2"/>
  <c r="L45" i="2"/>
  <c r="AF45" i="2"/>
  <c r="V46" i="2"/>
  <c r="L47" i="2"/>
  <c r="AF47" i="2"/>
  <c r="V48" i="2"/>
  <c r="L49" i="2"/>
  <c r="AF49" i="2"/>
  <c r="V50" i="2"/>
  <c r="L51" i="2"/>
  <c r="AF51" i="2"/>
  <c r="V52" i="2"/>
  <c r="L53" i="2"/>
  <c r="AF53" i="2"/>
  <c r="V54" i="2"/>
  <c r="L55" i="2"/>
  <c r="AF55" i="2"/>
  <c r="V56" i="2"/>
  <c r="L57" i="2"/>
  <c r="AF57" i="2"/>
  <c r="V58" i="2"/>
  <c r="L59" i="2"/>
  <c r="AF59" i="2"/>
  <c r="V60" i="2"/>
  <c r="L61" i="2"/>
  <c r="AF61" i="2"/>
  <c r="V62" i="2"/>
  <c r="L63" i="2"/>
  <c r="AF63" i="2"/>
  <c r="V64" i="2"/>
  <c r="L65" i="2"/>
  <c r="AF65" i="2"/>
  <c r="V66" i="2"/>
  <c r="L67" i="2"/>
  <c r="AF67" i="2"/>
  <c r="V68" i="2"/>
  <c r="L69" i="2"/>
  <c r="AF69" i="2"/>
  <c r="M41" i="2"/>
  <c r="AG41" i="2"/>
  <c r="W42" i="2"/>
  <c r="M43" i="2"/>
  <c r="AG43" i="2"/>
  <c r="W44" i="2"/>
  <c r="M45" i="2"/>
  <c r="AG45" i="2"/>
  <c r="W46" i="2"/>
  <c r="M47" i="2"/>
  <c r="AG47" i="2"/>
  <c r="W48" i="2"/>
  <c r="M49" i="2"/>
  <c r="AG49" i="2"/>
  <c r="W50" i="2"/>
  <c r="M51" i="2"/>
  <c r="AG51" i="2"/>
  <c r="W52" i="2"/>
  <c r="M53" i="2"/>
  <c r="AG53" i="2"/>
  <c r="W54" i="2"/>
  <c r="M55" i="2"/>
  <c r="AG55" i="2"/>
  <c r="W56" i="2"/>
  <c r="M57" i="2"/>
  <c r="AG57" i="2"/>
  <c r="W58" i="2"/>
  <c r="M59" i="2"/>
  <c r="AG59" i="2"/>
  <c r="W60" i="2"/>
  <c r="M61" i="2"/>
  <c r="AG61" i="2"/>
  <c r="W62" i="2"/>
  <c r="M63" i="2"/>
  <c r="AG63" i="2"/>
  <c r="W64" i="2"/>
  <c r="M65" i="2"/>
  <c r="AG65" i="2"/>
  <c r="W66" i="2"/>
  <c r="M67" i="2"/>
  <c r="AG67" i="2"/>
  <c r="W68" i="2"/>
  <c r="M69" i="2"/>
  <c r="AG69" i="2"/>
  <c r="Z64" i="2"/>
  <c r="G50" i="2"/>
  <c r="N41" i="2"/>
  <c r="AH41" i="2"/>
  <c r="X42" i="2"/>
  <c r="N43" i="2"/>
  <c r="AH43" i="2"/>
  <c r="X44" i="2"/>
  <c r="N45" i="2"/>
  <c r="AH45" i="2"/>
  <c r="X46" i="2"/>
  <c r="N47" i="2"/>
  <c r="AH47" i="2"/>
  <c r="X48" i="2"/>
  <c r="N49" i="2"/>
  <c r="AH49" i="2"/>
  <c r="X50" i="2"/>
  <c r="N51" i="2"/>
  <c r="AH51" i="2"/>
  <c r="X52" i="2"/>
  <c r="N53" i="2"/>
  <c r="AH53" i="2"/>
  <c r="X54" i="2"/>
  <c r="N55" i="2"/>
  <c r="AH55" i="2"/>
  <c r="X56" i="2"/>
  <c r="N57" i="2"/>
  <c r="AH57" i="2"/>
  <c r="X58" i="2"/>
  <c r="N59" i="2"/>
  <c r="AH59" i="2"/>
  <c r="X60" i="2"/>
  <c r="N61" i="2"/>
  <c r="AH61" i="2"/>
  <c r="X62" i="2"/>
  <c r="N63" i="2"/>
  <c r="AH63" i="2"/>
  <c r="X64" i="2"/>
  <c r="N65" i="2"/>
  <c r="AH65" i="2"/>
  <c r="X66" i="2"/>
  <c r="N67" i="2"/>
  <c r="AH67" i="2"/>
  <c r="X68" i="2"/>
  <c r="N69" i="2"/>
  <c r="AH69" i="2"/>
  <c r="Z52" i="2"/>
  <c r="G54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E97" i="1"/>
  <c r="C97" i="1"/>
  <c r="D107" i="1" s="1"/>
  <c r="E11" i="1"/>
  <c r="G11" i="1" s="1"/>
  <c r="E15" i="1"/>
  <c r="E35" i="1" s="1"/>
  <c r="E20" i="1"/>
  <c r="F20" i="1" s="1"/>
  <c r="E46" i="1"/>
  <c r="E65" i="1" s="1"/>
  <c r="E25" i="1"/>
  <c r="E29" i="1"/>
  <c r="F29" i="1" s="1"/>
  <c r="E53" i="1"/>
  <c r="F53" i="1" s="1"/>
  <c r="E8" i="1"/>
  <c r="G8" i="1" s="1"/>
  <c r="E16" i="1"/>
  <c r="M16" i="1" s="1"/>
  <c r="M31" i="1"/>
  <c r="L31" i="1"/>
  <c r="K31" i="1"/>
  <c r="J31" i="1"/>
  <c r="I31" i="1"/>
  <c r="H31" i="1"/>
  <c r="G31" i="1"/>
  <c r="F31" i="1"/>
  <c r="H11" i="1"/>
  <c r="E110" i="1"/>
  <c r="C110" i="1"/>
  <c r="D120" i="1" s="1"/>
  <c r="E109" i="1"/>
  <c r="C109" i="1"/>
  <c r="D119" i="1" s="1"/>
  <c r="H16" i="1"/>
  <c r="G16" i="1"/>
  <c r="E82" i="1"/>
  <c r="E99" i="1"/>
  <c r="M53" i="1"/>
  <c r="L53" i="1"/>
  <c r="K53" i="1"/>
  <c r="J53" i="1"/>
  <c r="I53" i="1"/>
  <c r="C107" i="1"/>
  <c r="D117" i="1" s="1"/>
  <c r="E107" i="1"/>
  <c r="J11" i="1"/>
  <c r="F38" i="1"/>
  <c r="E33" i="1"/>
  <c r="E100" i="1"/>
  <c r="C112" i="1"/>
  <c r="D122" i="1" s="1"/>
  <c r="E112" i="1"/>
  <c r="E12" i="1"/>
  <c r="E27" i="1"/>
  <c r="E71" i="1"/>
  <c r="K11" i="1"/>
  <c r="H53" i="1"/>
  <c r="J38" i="1"/>
  <c r="K38" i="1"/>
  <c r="E42" i="1"/>
  <c r="E51" i="1"/>
  <c r="M97" i="1"/>
  <c r="L97" i="1"/>
  <c r="K97" i="1"/>
  <c r="J97" i="1"/>
  <c r="I97" i="1"/>
  <c r="H97" i="1"/>
  <c r="G97" i="1"/>
  <c r="F97" i="1"/>
  <c r="L38" i="1"/>
  <c r="E101" i="1"/>
  <c r="F16" i="1"/>
  <c r="G53" i="1"/>
  <c r="E6" i="1"/>
  <c r="I38" i="1"/>
  <c r="M38" i="1"/>
  <c r="J16" i="1"/>
  <c r="E96" i="1"/>
  <c r="C96" i="1"/>
  <c r="D106" i="1" s="1"/>
  <c r="E103" i="1"/>
  <c r="C103" i="1"/>
  <c r="D113" i="1" s="1"/>
  <c r="E18" i="1"/>
  <c r="E57" i="1"/>
  <c r="E86" i="1"/>
  <c r="E60" i="1"/>
  <c r="E22" i="1"/>
  <c r="E102" i="1"/>
  <c r="E93" i="1"/>
  <c r="E91" i="1"/>
  <c r="E80" i="1"/>
  <c r="E69" i="1"/>
  <c r="E58" i="1"/>
  <c r="E47" i="1"/>
  <c r="E36" i="1"/>
  <c r="E23" i="1"/>
  <c r="E21" i="1"/>
  <c r="E19" i="1"/>
  <c r="E17" i="1"/>
  <c r="E89" i="1"/>
  <c r="E78" i="1"/>
  <c r="E67" i="1"/>
  <c r="E56" i="1"/>
  <c r="E43" i="1"/>
  <c r="E32" i="1"/>
  <c r="E87" i="1"/>
  <c r="E76" i="1"/>
  <c r="E63" i="1"/>
  <c r="E52" i="1"/>
  <c r="E41" i="1"/>
  <c r="E30" i="1"/>
  <c r="E83" i="1"/>
  <c r="E72" i="1"/>
  <c r="E61" i="1"/>
  <c r="E50" i="1"/>
  <c r="E39" i="1"/>
  <c r="E28" i="1"/>
  <c r="E92" i="1"/>
  <c r="E81" i="1"/>
  <c r="E70" i="1"/>
  <c r="E59" i="1"/>
  <c r="E48" i="1"/>
  <c r="E37" i="1"/>
  <c r="E26" i="1"/>
  <c r="E90" i="1"/>
  <c r="E79" i="1"/>
  <c r="E88" i="1"/>
  <c r="E77" i="1"/>
  <c r="E66" i="1"/>
  <c r="E73" i="1"/>
  <c r="E62" i="1"/>
  <c r="I29" i="1"/>
  <c r="J29" i="1"/>
  <c r="K29" i="1"/>
  <c r="E7" i="1"/>
  <c r="E13" i="1"/>
  <c r="E10" i="1"/>
  <c r="E40" i="1"/>
  <c r="E68" i="1"/>
  <c r="M46" i="1"/>
  <c r="L46" i="1"/>
  <c r="K46" i="1"/>
  <c r="J46" i="1"/>
  <c r="I46" i="1"/>
  <c r="H46" i="1"/>
  <c r="G46" i="1"/>
  <c r="F46" i="1"/>
  <c r="M20" i="1"/>
  <c r="L20" i="1"/>
  <c r="K20" i="1"/>
  <c r="J20" i="1"/>
  <c r="I20" i="1"/>
  <c r="H20" i="1"/>
  <c r="G20" i="1"/>
  <c r="L11" i="1"/>
  <c r="G38" i="1"/>
  <c r="M11" i="1"/>
  <c r="E49" i="1"/>
  <c r="E9" i="1"/>
  <c r="E98" i="1"/>
  <c r="C98" i="1"/>
  <c r="D108" i="1" s="1"/>
  <c r="C101" i="1"/>
  <c r="D111" i="1" s="1"/>
  <c r="AK19" i="2" l="1"/>
  <c r="AO19" i="2" s="1"/>
  <c r="AK32" i="2"/>
  <c r="AO32" i="2" s="1"/>
  <c r="AK18" i="2"/>
  <c r="AO18" i="2" s="1"/>
  <c r="AK7" i="2"/>
  <c r="AO7" i="2" s="1"/>
  <c r="AK31" i="2"/>
  <c r="AO31" i="2" s="1"/>
  <c r="AK17" i="2"/>
  <c r="AO17" i="2" s="1"/>
  <c r="AK30" i="2"/>
  <c r="AO30" i="2" s="1"/>
  <c r="AK16" i="2"/>
  <c r="AO16" i="2" s="1"/>
  <c r="AK13" i="2"/>
  <c r="AO13" i="2" s="1"/>
  <c r="AK29" i="2"/>
  <c r="AO29" i="2" s="1"/>
  <c r="AK15" i="2"/>
  <c r="AO15" i="2" s="1"/>
  <c r="AK28" i="2"/>
  <c r="AO28" i="2" s="1"/>
  <c r="AK14" i="2"/>
  <c r="AO14" i="2" s="1"/>
  <c r="AK21" i="2"/>
  <c r="AO21" i="2" s="1"/>
  <c r="AK27" i="2"/>
  <c r="AO27" i="2" s="1"/>
  <c r="AK20" i="2"/>
  <c r="AO20" i="2" s="1"/>
  <c r="AK26" i="2"/>
  <c r="AO26" i="2" s="1"/>
  <c r="AK12" i="2"/>
  <c r="AO12" i="2" s="1"/>
  <c r="AK24" i="2"/>
  <c r="AO24" i="2" s="1"/>
  <c r="AK25" i="2"/>
  <c r="AO25" i="2" s="1"/>
  <c r="AK11" i="2"/>
  <c r="AO11" i="2" s="1"/>
  <c r="AK6" i="2"/>
  <c r="AO6" i="2" s="1"/>
  <c r="AK10" i="2"/>
  <c r="AO10" i="2" s="1"/>
  <c r="AK23" i="2"/>
  <c r="AO23" i="2" s="1"/>
  <c r="AK9" i="2"/>
  <c r="AO9" i="2" s="1"/>
  <c r="AK22" i="2"/>
  <c r="AO22" i="2" s="1"/>
  <c r="AK33" i="2"/>
  <c r="AO33" i="2" s="1"/>
  <c r="AK8" i="2"/>
  <c r="AO8" i="2" s="1"/>
  <c r="AK34" i="2"/>
  <c r="AO34" i="2" s="1"/>
  <c r="AC29" i="5"/>
  <c r="Q49" i="5"/>
  <c r="R49" i="5"/>
  <c r="AG53" i="5"/>
  <c r="N94" i="5"/>
  <c r="S49" i="5"/>
  <c r="O68" i="5"/>
  <c r="P68" i="5"/>
  <c r="AF64" i="5"/>
  <c r="W90" i="5"/>
  <c r="U92" i="5"/>
  <c r="X90" i="5"/>
  <c r="V92" i="5"/>
  <c r="K91" i="5"/>
  <c r="AH53" i="5"/>
  <c r="AD90" i="5"/>
  <c r="AC27" i="5"/>
  <c r="AI32" i="5"/>
  <c r="W92" i="5"/>
  <c r="K90" i="5"/>
  <c r="X92" i="5"/>
  <c r="L91" i="5"/>
  <c r="AE90" i="5"/>
  <c r="I27" i="5"/>
  <c r="AH94" i="5"/>
  <c r="AF33" i="5"/>
  <c r="X33" i="5"/>
  <c r="O94" i="5"/>
  <c r="R33" i="5"/>
  <c r="S94" i="5"/>
  <c r="Z33" i="5"/>
  <c r="AI33" i="5"/>
  <c r="T94" i="5"/>
  <c r="AF29" i="5"/>
  <c r="O33" i="5"/>
  <c r="AH33" i="5"/>
  <c r="U94" i="5"/>
  <c r="T29" i="5"/>
  <c r="N33" i="5"/>
  <c r="V94" i="5"/>
  <c r="M33" i="5"/>
  <c r="H29" i="5"/>
  <c r="Z29" i="5"/>
  <c r="W94" i="5"/>
  <c r="AA33" i="5"/>
  <c r="AH29" i="5"/>
  <c r="AB94" i="5"/>
  <c r="N29" i="5"/>
  <c r="W29" i="5"/>
  <c r="I94" i="5"/>
  <c r="AE33" i="5"/>
  <c r="T33" i="5"/>
  <c r="AC94" i="5"/>
  <c r="AC33" i="5"/>
  <c r="W33" i="5"/>
  <c r="Q33" i="5"/>
  <c r="J94" i="5"/>
  <c r="AG33" i="5"/>
  <c r="AI29" i="5"/>
  <c r="J29" i="5"/>
  <c r="Y33" i="5"/>
  <c r="V33" i="5"/>
  <c r="S33" i="5"/>
  <c r="AD94" i="5"/>
  <c r="N68" i="5"/>
  <c r="O29" i="5"/>
  <c r="G33" i="5"/>
  <c r="K94" i="5"/>
  <c r="N92" i="5"/>
  <c r="AI30" i="5"/>
  <c r="Y27" i="5"/>
  <c r="H33" i="5"/>
  <c r="AB29" i="5"/>
  <c r="P33" i="5"/>
  <c r="AE94" i="5"/>
  <c r="J30" i="5"/>
  <c r="AH92" i="5"/>
  <c r="Q91" i="5"/>
  <c r="G49" i="5"/>
  <c r="Y90" i="5"/>
  <c r="AC89" i="5"/>
  <c r="W26" i="5"/>
  <c r="AB27" i="5"/>
  <c r="L29" i="5"/>
  <c r="AE29" i="5"/>
  <c r="U33" i="5"/>
  <c r="Y29" i="5"/>
  <c r="L94" i="5"/>
  <c r="I49" i="5"/>
  <c r="O92" i="5"/>
  <c r="R91" i="5"/>
  <c r="Z90" i="5"/>
  <c r="J89" i="5"/>
  <c r="AD25" i="5"/>
  <c r="K29" i="5"/>
  <c r="AG29" i="5"/>
  <c r="AD29" i="5"/>
  <c r="AA29" i="5"/>
  <c r="AF94" i="5"/>
  <c r="P45" i="5"/>
  <c r="Q92" i="5"/>
  <c r="AI92" i="5"/>
  <c r="S91" i="5"/>
  <c r="AD33" i="5"/>
  <c r="G90" i="5"/>
  <c r="AD89" i="5"/>
  <c r="AE26" i="5"/>
  <c r="K27" i="5"/>
  <c r="Z96" i="5"/>
  <c r="M94" i="5"/>
  <c r="S92" i="5"/>
  <c r="P92" i="5"/>
  <c r="T91" i="5"/>
  <c r="AC90" i="5"/>
  <c r="K89" i="5"/>
  <c r="H25" i="5"/>
  <c r="I29" i="5"/>
  <c r="G29" i="5"/>
  <c r="X29" i="5"/>
  <c r="AG94" i="5"/>
  <c r="Y37" i="5"/>
  <c r="T92" i="5"/>
  <c r="I30" i="5"/>
  <c r="U91" i="5"/>
  <c r="J90" i="5"/>
  <c r="AE89" i="5"/>
  <c r="AB26" i="5"/>
  <c r="O9" i="5"/>
  <c r="N9" i="5"/>
  <c r="I9" i="5"/>
  <c r="AD9" i="5"/>
  <c r="I51" i="5"/>
  <c r="AB9" i="5"/>
  <c r="Z9" i="5"/>
  <c r="Y9" i="5"/>
  <c r="R51" i="5"/>
  <c r="T9" i="5"/>
  <c r="M51" i="5"/>
  <c r="AD71" i="5"/>
  <c r="N51" i="5"/>
  <c r="AF9" i="5"/>
  <c r="AG51" i="5"/>
  <c r="AF71" i="5"/>
  <c r="V9" i="5"/>
  <c r="L9" i="5"/>
  <c r="L51" i="5"/>
  <c r="H51" i="5"/>
  <c r="AC9" i="5"/>
  <c r="AB51" i="5"/>
  <c r="U9" i="5"/>
  <c r="H71" i="5"/>
  <c r="AI51" i="5"/>
  <c r="AA9" i="5"/>
  <c r="X9" i="5"/>
  <c r="G9" i="5"/>
  <c r="AC71" i="5"/>
  <c r="J51" i="5"/>
  <c r="AE71" i="5"/>
  <c r="M71" i="5"/>
  <c r="K9" i="5"/>
  <c r="J9" i="5"/>
  <c r="AG9" i="5"/>
  <c r="AH51" i="5"/>
  <c r="AG71" i="5"/>
  <c r="O71" i="5"/>
  <c r="J71" i="5"/>
  <c r="AA71" i="5"/>
  <c r="S51" i="5"/>
  <c r="P71" i="5"/>
  <c r="K71" i="5"/>
  <c r="I71" i="5"/>
  <c r="H9" i="5"/>
  <c r="AH71" i="5"/>
  <c r="AD51" i="5"/>
  <c r="V29" i="5"/>
  <c r="X94" i="5"/>
  <c r="AI94" i="5"/>
  <c r="O32" i="5"/>
  <c r="Q68" i="5"/>
  <c r="G92" i="5"/>
  <c r="T51" i="5"/>
  <c r="Q71" i="5"/>
  <c r="AF32" i="5"/>
  <c r="T49" i="5"/>
  <c r="H27" i="5"/>
  <c r="AF51" i="5"/>
  <c r="Y94" i="5"/>
  <c r="P94" i="5"/>
  <c r="AG64" i="5"/>
  <c r="AA92" i="5"/>
  <c r="U51" i="5"/>
  <c r="R71" i="5"/>
  <c r="U49" i="5"/>
  <c r="G7" i="5"/>
  <c r="K51" i="5"/>
  <c r="Z94" i="5"/>
  <c r="Q94" i="5"/>
  <c r="H92" i="5"/>
  <c r="V51" i="5"/>
  <c r="S29" i="5"/>
  <c r="N91" i="5"/>
  <c r="T71" i="5"/>
  <c r="AA90" i="5"/>
  <c r="V49" i="5"/>
  <c r="P89" i="5"/>
  <c r="M27" i="5"/>
  <c r="AA27" i="5"/>
  <c r="X27" i="5"/>
  <c r="AC51" i="5"/>
  <c r="G94" i="5"/>
  <c r="R94" i="5"/>
  <c r="AB71" i="5"/>
  <c r="U29" i="5"/>
  <c r="AB92" i="5"/>
  <c r="W51" i="5"/>
  <c r="AH91" i="5"/>
  <c r="U71" i="5"/>
  <c r="P30" i="5"/>
  <c r="H90" i="5"/>
  <c r="AN90" i="5" s="1"/>
  <c r="W49" i="5"/>
  <c r="Q89" i="5"/>
  <c r="AE9" i="5"/>
  <c r="AA94" i="5"/>
  <c r="R68" i="5"/>
  <c r="I92" i="5"/>
  <c r="X51" i="5"/>
  <c r="O91" i="5"/>
  <c r="V71" i="5"/>
  <c r="AB90" i="5"/>
  <c r="X49" i="5"/>
  <c r="R89" i="5"/>
  <c r="G71" i="5"/>
  <c r="U53" i="5"/>
  <c r="AH64" i="5"/>
  <c r="AA51" i="5"/>
  <c r="W71" i="5"/>
  <c r="Y49" i="5"/>
  <c r="AA26" i="5"/>
  <c r="J27" i="5"/>
  <c r="Z27" i="5"/>
  <c r="W27" i="5"/>
  <c r="H41" i="5"/>
  <c r="AF56" i="5"/>
  <c r="N69" i="5"/>
  <c r="N56" i="5"/>
  <c r="V69" i="5"/>
  <c r="X69" i="5"/>
  <c r="AH56" i="5"/>
  <c r="L56" i="5"/>
  <c r="O56" i="5"/>
  <c r="I56" i="5"/>
  <c r="AA41" i="5"/>
  <c r="AI56" i="5"/>
  <c r="T41" i="5"/>
  <c r="K56" i="5"/>
  <c r="AE41" i="5"/>
  <c r="P56" i="5"/>
  <c r="Q56" i="5"/>
  <c r="S40" i="5"/>
  <c r="H69" i="5"/>
  <c r="Y41" i="5"/>
  <c r="R56" i="5"/>
  <c r="J69" i="5"/>
  <c r="G69" i="5"/>
  <c r="AD56" i="5"/>
  <c r="S56" i="5"/>
  <c r="AF41" i="5"/>
  <c r="T56" i="5"/>
  <c r="L33" i="5"/>
  <c r="J56" i="5"/>
  <c r="AD41" i="5"/>
  <c r="V56" i="5"/>
  <c r="AC41" i="5"/>
  <c r="Z41" i="5"/>
  <c r="M41" i="5"/>
  <c r="J33" i="5"/>
  <c r="K69" i="5"/>
  <c r="AG41" i="5"/>
  <c r="AG56" i="5"/>
  <c r="N41" i="5"/>
  <c r="W41" i="5"/>
  <c r="K75" i="5"/>
  <c r="S9" i="5"/>
  <c r="X71" i="5"/>
  <c r="AE32" i="5"/>
  <c r="J41" i="5"/>
  <c r="G41" i="5"/>
  <c r="G56" i="5"/>
  <c r="I69" i="5"/>
  <c r="AH41" i="5"/>
  <c r="AE56" i="5"/>
  <c r="Z71" i="5"/>
  <c r="Y71" i="5"/>
  <c r="R29" i="5"/>
  <c r="Z69" i="5"/>
  <c r="O41" i="5"/>
  <c r="I41" i="5"/>
  <c r="L69" i="5"/>
  <c r="AI41" i="5"/>
  <c r="AF69" i="5"/>
  <c r="Y69" i="5"/>
  <c r="P41" i="5"/>
  <c r="N79" i="5"/>
  <c r="O30" i="5"/>
  <c r="W69" i="5"/>
  <c r="AC69" i="5"/>
  <c r="AD69" i="5"/>
  <c r="AA69" i="5"/>
  <c r="M69" i="5"/>
  <c r="AA56" i="5"/>
  <c r="AG69" i="5"/>
  <c r="AH69" i="5"/>
  <c r="O69" i="5"/>
  <c r="Y56" i="5"/>
  <c r="U56" i="5"/>
  <c r="V41" i="5"/>
  <c r="AI69" i="5"/>
  <c r="Z56" i="5"/>
  <c r="Y51" i="5"/>
  <c r="R9" i="5"/>
  <c r="Q40" i="5"/>
  <c r="P69" i="5"/>
  <c r="Z51" i="5"/>
  <c r="S38" i="5"/>
  <c r="Q69" i="5"/>
  <c r="G51" i="5"/>
  <c r="AI71" i="5"/>
  <c r="I33" i="5"/>
  <c r="R69" i="5"/>
  <c r="K41" i="5"/>
  <c r="S69" i="5"/>
  <c r="T69" i="5"/>
  <c r="P51" i="5"/>
  <c r="Y7" i="5"/>
  <c r="L71" i="5"/>
  <c r="U41" i="5"/>
  <c r="U69" i="5"/>
  <c r="O79" i="5"/>
  <c r="S71" i="5"/>
  <c r="K33" i="5"/>
  <c r="R41" i="5"/>
  <c r="P40" i="5"/>
  <c r="AH63" i="5"/>
  <c r="X56" i="5"/>
  <c r="S39" i="5"/>
  <c r="O63" i="5"/>
  <c r="AB28" i="5"/>
  <c r="O28" i="5"/>
  <c r="Q28" i="5"/>
  <c r="N63" i="5"/>
  <c r="U7" i="5"/>
  <c r="L72" i="5"/>
  <c r="N72" i="5"/>
  <c r="AI63" i="5"/>
  <c r="P28" i="5"/>
  <c r="P63" i="5"/>
  <c r="L28" i="5"/>
  <c r="AC28" i="5"/>
  <c r="Q63" i="5"/>
  <c r="R63" i="5"/>
  <c r="S63" i="5"/>
  <c r="I63" i="5"/>
  <c r="AC63" i="5"/>
  <c r="J63" i="5"/>
  <c r="AG28" i="5"/>
  <c r="Z28" i="5"/>
  <c r="S28" i="5"/>
  <c r="AD63" i="5"/>
  <c r="K63" i="5"/>
  <c r="AE28" i="5"/>
  <c r="AA28" i="5"/>
  <c r="X28" i="5"/>
  <c r="AE63" i="5"/>
  <c r="AH28" i="5"/>
  <c r="L63" i="5"/>
  <c r="AD28" i="5"/>
  <c r="N28" i="5"/>
  <c r="AF63" i="5"/>
  <c r="M28" i="5"/>
  <c r="W20" i="5"/>
  <c r="M63" i="5"/>
  <c r="AI28" i="5"/>
  <c r="AG63" i="5"/>
  <c r="AF28" i="5"/>
  <c r="K28" i="5"/>
  <c r="AI72" i="5"/>
  <c r="AE84" i="5"/>
  <c r="O93" i="5"/>
  <c r="AI93" i="5"/>
  <c r="P93" i="5"/>
  <c r="Y50" i="5"/>
  <c r="X50" i="5"/>
  <c r="AH72" i="5"/>
  <c r="Q93" i="5"/>
  <c r="I28" i="5"/>
  <c r="O72" i="5"/>
  <c r="S93" i="5"/>
  <c r="H28" i="5"/>
  <c r="T50" i="5"/>
  <c r="P72" i="5"/>
  <c r="H93" i="5"/>
  <c r="T93" i="5"/>
  <c r="AA50" i="5"/>
  <c r="U63" i="5"/>
  <c r="AB93" i="5"/>
  <c r="U93" i="5"/>
  <c r="G28" i="5"/>
  <c r="W63" i="5"/>
  <c r="AD50" i="5"/>
  <c r="I93" i="5"/>
  <c r="V93" i="5"/>
  <c r="U72" i="5"/>
  <c r="W28" i="5"/>
  <c r="T63" i="5"/>
  <c r="K50" i="5"/>
  <c r="AC93" i="5"/>
  <c r="W93" i="5"/>
  <c r="Y63" i="5"/>
  <c r="X63" i="5"/>
  <c r="AE50" i="5"/>
  <c r="R46" i="5"/>
  <c r="R93" i="5"/>
  <c r="J93" i="5"/>
  <c r="X93" i="5"/>
  <c r="Z50" i="5"/>
  <c r="J28" i="5"/>
  <c r="Q72" i="5"/>
  <c r="V28" i="5"/>
  <c r="X72" i="5"/>
  <c r="L50" i="5"/>
  <c r="AD93" i="5"/>
  <c r="Y93" i="5"/>
  <c r="Z72" i="5"/>
  <c r="AF50" i="5"/>
  <c r="K93" i="5"/>
  <c r="Z93" i="5"/>
  <c r="V72" i="5"/>
  <c r="G72" i="5"/>
  <c r="M50" i="5"/>
  <c r="AE93" i="5"/>
  <c r="G93" i="5"/>
  <c r="W72" i="5"/>
  <c r="S72" i="5"/>
  <c r="AA63" i="5"/>
  <c r="Z63" i="5"/>
  <c r="AA72" i="5"/>
  <c r="L93" i="5"/>
  <c r="AA93" i="5"/>
  <c r="S50" i="5"/>
  <c r="H72" i="5"/>
  <c r="AF93" i="5"/>
  <c r="Y28" i="5"/>
  <c r="AB72" i="5"/>
  <c r="M93" i="5"/>
  <c r="Y72" i="5"/>
  <c r="U50" i="5"/>
  <c r="V63" i="5"/>
  <c r="U46" i="5"/>
  <c r="I72" i="5"/>
  <c r="AG93" i="5"/>
  <c r="R50" i="5"/>
  <c r="AC72" i="5"/>
  <c r="N93" i="5"/>
  <c r="T72" i="5"/>
  <c r="R72" i="5"/>
  <c r="V50" i="5"/>
  <c r="J72" i="5"/>
  <c r="W50" i="5"/>
  <c r="T46" i="5"/>
  <c r="K72" i="5"/>
  <c r="T28" i="5"/>
  <c r="AE72" i="5"/>
  <c r="AF72" i="5"/>
  <c r="M72" i="5"/>
  <c r="AG72" i="5"/>
  <c r="U28" i="5"/>
  <c r="AC84" i="5"/>
  <c r="G63" i="5"/>
  <c r="L41" i="5"/>
  <c r="V73" i="5"/>
  <c r="H8" i="5"/>
  <c r="H50" i="5"/>
  <c r="AG73" i="5"/>
  <c r="AB50" i="5"/>
  <c r="Q50" i="5"/>
  <c r="I50" i="5"/>
  <c r="S41" i="5"/>
  <c r="AC50" i="5"/>
  <c r="S46" i="5"/>
  <c r="AC34" i="5"/>
  <c r="J50" i="5"/>
  <c r="R40" i="5"/>
  <c r="W73" i="5"/>
  <c r="AA8" i="5"/>
  <c r="AG8" i="5"/>
  <c r="X73" i="5"/>
  <c r="Y8" i="5"/>
  <c r="AI8" i="5"/>
  <c r="AH8" i="5"/>
  <c r="L8" i="5"/>
  <c r="Y73" i="5"/>
  <c r="Z8" i="5"/>
  <c r="N73" i="5"/>
  <c r="V8" i="5"/>
  <c r="O8" i="5"/>
  <c r="N8" i="5"/>
  <c r="Z73" i="5"/>
  <c r="G73" i="5"/>
  <c r="AE8" i="5"/>
  <c r="P8" i="5"/>
  <c r="AA73" i="5"/>
  <c r="M73" i="5"/>
  <c r="AC8" i="5"/>
  <c r="P73" i="5"/>
  <c r="Q8" i="5"/>
  <c r="L73" i="5"/>
  <c r="AF8" i="5"/>
  <c r="AD8" i="5"/>
  <c r="Q46" i="5"/>
  <c r="M8" i="5"/>
  <c r="O73" i="5"/>
  <c r="AB8" i="5"/>
  <c r="P50" i="5"/>
  <c r="AB34" i="5"/>
  <c r="I73" i="5"/>
  <c r="AI73" i="5"/>
  <c r="I8" i="5"/>
  <c r="X8" i="5"/>
  <c r="AA34" i="5"/>
  <c r="K73" i="5"/>
  <c r="Q73" i="5"/>
  <c r="AF73" i="5"/>
  <c r="S8" i="5"/>
  <c r="Y70" i="5"/>
  <c r="K6" i="5"/>
  <c r="R73" i="5"/>
  <c r="K8" i="5"/>
  <c r="G8" i="5"/>
  <c r="H63" i="5"/>
  <c r="H73" i="5"/>
  <c r="S73" i="5"/>
  <c r="AD73" i="5"/>
  <c r="AD84" i="5"/>
  <c r="T43" i="5"/>
  <c r="T73" i="5"/>
  <c r="J8" i="5"/>
  <c r="AE73" i="5"/>
  <c r="W8" i="5"/>
  <c r="U8" i="5"/>
  <c r="AD6" i="5"/>
  <c r="U73" i="5"/>
  <c r="AC73" i="5"/>
  <c r="AB73" i="5"/>
  <c r="Q9" i="5"/>
  <c r="U39" i="5"/>
  <c r="AN15" i="5"/>
  <c r="AN42" i="5"/>
  <c r="AN10" i="5"/>
  <c r="AN24" i="5"/>
  <c r="AN58" i="5"/>
  <c r="AN22" i="5"/>
  <c r="AN18" i="5"/>
  <c r="AN85" i="5"/>
  <c r="AN83" i="5"/>
  <c r="AN74" i="5"/>
  <c r="AN88" i="5"/>
  <c r="AN59" i="5"/>
  <c r="AN55" i="5"/>
  <c r="AN65" i="5"/>
  <c r="AN31" i="5"/>
  <c r="AN87" i="5"/>
  <c r="AN11" i="5"/>
  <c r="AN52" i="5"/>
  <c r="AN81" i="5"/>
  <c r="AN77" i="5"/>
  <c r="AN75" i="5"/>
  <c r="AN82" i="5"/>
  <c r="AN25" i="5"/>
  <c r="AF6" i="5"/>
  <c r="AN62" i="5"/>
  <c r="AN95" i="5"/>
  <c r="AN19" i="5"/>
  <c r="AA6" i="5"/>
  <c r="X6" i="5"/>
  <c r="N43" i="5"/>
  <c r="AN86" i="5"/>
  <c r="W6" i="5"/>
  <c r="G6" i="5"/>
  <c r="AN48" i="5"/>
  <c r="AG50" i="5"/>
  <c r="T8" i="5"/>
  <c r="M43" i="5"/>
  <c r="AN32" i="5"/>
  <c r="AN96" i="5"/>
  <c r="N50" i="5"/>
  <c r="L43" i="5"/>
  <c r="AN12" i="5"/>
  <c r="AN80" i="5"/>
  <c r="AN53" i="5"/>
  <c r="AH50" i="5"/>
  <c r="J43" i="5"/>
  <c r="AN14" i="5"/>
  <c r="AN13" i="5"/>
  <c r="O50" i="5"/>
  <c r="AG6" i="5"/>
  <c r="AC6" i="5"/>
  <c r="Z6" i="5"/>
  <c r="AN60" i="5"/>
  <c r="AN61" i="5"/>
  <c r="AN54" i="5"/>
  <c r="AI50" i="5"/>
  <c r="L70" i="5"/>
  <c r="AF70" i="5"/>
  <c r="P21" i="5"/>
  <c r="M70" i="5"/>
  <c r="M20" i="5"/>
  <c r="AB69" i="5"/>
  <c r="AG70" i="5"/>
  <c r="W16" i="5"/>
  <c r="L7" i="5"/>
  <c r="G20" i="5"/>
  <c r="W57" i="5"/>
  <c r="J20" i="5"/>
  <c r="W56" i="5"/>
  <c r="AI20" i="5"/>
  <c r="X7" i="5"/>
  <c r="V7" i="5"/>
  <c r="AB6" i="5"/>
  <c r="O21" i="5"/>
  <c r="Z70" i="5"/>
  <c r="V20" i="5"/>
  <c r="G70" i="5"/>
  <c r="AC70" i="5"/>
  <c r="T20" i="5"/>
  <c r="J70" i="5"/>
  <c r="AD70" i="5"/>
  <c r="H7" i="5"/>
  <c r="K70" i="5"/>
  <c r="M9" i="5"/>
  <c r="AE70" i="5"/>
  <c r="N44" i="5"/>
  <c r="N70" i="5"/>
  <c r="AH70" i="5"/>
  <c r="N45" i="5"/>
  <c r="P44" i="5"/>
  <c r="Z38" i="5"/>
  <c r="K21" i="5"/>
  <c r="AI21" i="5"/>
  <c r="Q20" i="5"/>
  <c r="O20" i="5"/>
  <c r="M6" i="5"/>
  <c r="R47" i="5"/>
  <c r="AA17" i="5"/>
  <c r="AD47" i="5"/>
  <c r="X37" i="5"/>
  <c r="G23" i="5"/>
  <c r="L45" i="5"/>
  <c r="L20" i="5"/>
  <c r="R78" i="5"/>
  <c r="O44" i="5"/>
  <c r="Y38" i="5"/>
  <c r="K20" i="5"/>
  <c r="J21" i="5"/>
  <c r="Q44" i="5"/>
  <c r="I20" i="5"/>
  <c r="K23" i="5"/>
  <c r="U20" i="5"/>
  <c r="R20" i="5"/>
  <c r="AB7" i="5"/>
  <c r="V70" i="5"/>
  <c r="L16" i="5"/>
  <c r="G21" i="5"/>
  <c r="X17" i="5"/>
  <c r="X70" i="5"/>
  <c r="AF7" i="5"/>
  <c r="T21" i="5"/>
  <c r="Y6" i="5"/>
  <c r="T47" i="5"/>
  <c r="T57" i="5"/>
  <c r="T78" i="5"/>
  <c r="AI23" i="5"/>
  <c r="U47" i="5"/>
  <c r="O57" i="5"/>
  <c r="U78" i="5"/>
  <c r="S78" i="5"/>
  <c r="V47" i="5"/>
  <c r="I78" i="5"/>
  <c r="V78" i="5"/>
  <c r="AA47" i="5"/>
  <c r="O23" i="5"/>
  <c r="U57" i="5"/>
  <c r="W47" i="5"/>
  <c r="Q57" i="5"/>
  <c r="AC78" i="5"/>
  <c r="Y57" i="5"/>
  <c r="I47" i="5"/>
  <c r="J78" i="5"/>
  <c r="Z57" i="5"/>
  <c r="X57" i="5"/>
  <c r="I23" i="5"/>
  <c r="AD78" i="5"/>
  <c r="G57" i="5"/>
  <c r="AC47" i="5"/>
  <c r="AG23" i="5"/>
  <c r="N47" i="5"/>
  <c r="P57" i="5"/>
  <c r="U23" i="5"/>
  <c r="K78" i="5"/>
  <c r="AA57" i="5"/>
  <c r="AE47" i="5"/>
  <c r="N23" i="5"/>
  <c r="L23" i="5"/>
  <c r="M47" i="5"/>
  <c r="AE78" i="5"/>
  <c r="H57" i="5"/>
  <c r="H23" i="5"/>
  <c r="Y78" i="5"/>
  <c r="Z23" i="5"/>
  <c r="J47" i="5"/>
  <c r="L78" i="5"/>
  <c r="AB57" i="5"/>
  <c r="AB17" i="5"/>
  <c r="S21" i="5"/>
  <c r="Z78" i="5"/>
  <c r="X78" i="5"/>
  <c r="Y23" i="5"/>
  <c r="AF78" i="5"/>
  <c r="I57" i="5"/>
  <c r="AB47" i="5"/>
  <c r="AG21" i="5"/>
  <c r="AE23" i="5"/>
  <c r="AA23" i="5"/>
  <c r="G78" i="5"/>
  <c r="V23" i="5"/>
  <c r="G47" i="5"/>
  <c r="M78" i="5"/>
  <c r="AC57" i="5"/>
  <c r="M44" i="5"/>
  <c r="R21" i="5"/>
  <c r="Y47" i="5"/>
  <c r="L47" i="5"/>
  <c r="AG78" i="5"/>
  <c r="J57" i="5"/>
  <c r="AH47" i="5"/>
  <c r="J23" i="5"/>
  <c r="H20" i="5"/>
  <c r="AA78" i="5"/>
  <c r="S23" i="5"/>
  <c r="N78" i="5"/>
  <c r="AD57" i="5"/>
  <c r="M23" i="5"/>
  <c r="M16" i="5"/>
  <c r="H21" i="5"/>
  <c r="J7" i="5"/>
  <c r="AC23" i="5"/>
  <c r="W78" i="5"/>
  <c r="X23" i="5"/>
  <c r="H47" i="5"/>
  <c r="AH78" i="5"/>
  <c r="K57" i="5"/>
  <c r="AG47" i="5"/>
  <c r="J17" i="5"/>
  <c r="S47" i="5"/>
  <c r="O47" i="5"/>
  <c r="K47" i="5"/>
  <c r="O78" i="5"/>
  <c r="AE57" i="5"/>
  <c r="AF47" i="5"/>
  <c r="AA70" i="5"/>
  <c r="Z47" i="5"/>
  <c r="S20" i="5"/>
  <c r="U21" i="5"/>
  <c r="Q21" i="5"/>
  <c r="Q23" i="5"/>
  <c r="AI47" i="5"/>
  <c r="H78" i="5"/>
  <c r="T23" i="5"/>
  <c r="AI78" i="5"/>
  <c r="L57" i="5"/>
  <c r="H70" i="5"/>
  <c r="N21" i="5"/>
  <c r="S64" i="5"/>
  <c r="AN64" i="5" s="1"/>
  <c r="P20" i="5"/>
  <c r="AF23" i="5"/>
  <c r="P23" i="5"/>
  <c r="P47" i="5"/>
  <c r="W23" i="5"/>
  <c r="N57" i="5"/>
  <c r="P78" i="5"/>
  <c r="AF57" i="5"/>
  <c r="AB70" i="5"/>
  <c r="K45" i="5"/>
  <c r="Z17" i="5"/>
  <c r="AH21" i="5"/>
  <c r="V17" i="5"/>
  <c r="I7" i="5"/>
  <c r="Q47" i="5"/>
  <c r="Q78" i="5"/>
  <c r="M57" i="5"/>
  <c r="AH57" i="5"/>
  <c r="R38" i="5"/>
  <c r="L21" i="5"/>
  <c r="I21" i="5"/>
  <c r="M56" i="5"/>
  <c r="AA16" i="5"/>
  <c r="L17" i="5"/>
  <c r="L76" i="5"/>
  <c r="X76" i="5"/>
  <c r="W76" i="5"/>
  <c r="AF76" i="5"/>
  <c r="M76" i="5"/>
  <c r="Y76" i="5"/>
  <c r="V76" i="5"/>
  <c r="AG76" i="5"/>
  <c r="N76" i="5"/>
  <c r="AA7" i="5"/>
  <c r="AH76" i="5"/>
  <c r="O76" i="5"/>
  <c r="Z76" i="5"/>
  <c r="AI76" i="5"/>
  <c r="U76" i="5"/>
  <c r="P76" i="5"/>
  <c r="Q76" i="5"/>
  <c r="M29" i="5"/>
  <c r="R76" i="5"/>
  <c r="I76" i="5"/>
  <c r="S76" i="5"/>
  <c r="G76" i="5"/>
  <c r="T76" i="5"/>
  <c r="AE7" i="5"/>
  <c r="AA76" i="5"/>
  <c r="H76" i="5"/>
  <c r="J73" i="5"/>
  <c r="N6" i="5"/>
  <c r="AB76" i="5"/>
  <c r="W7" i="5"/>
  <c r="K7" i="5"/>
  <c r="L6" i="5"/>
  <c r="AD7" i="5"/>
  <c r="J76" i="5"/>
  <c r="AH6" i="5"/>
  <c r="AD76" i="5"/>
  <c r="AH23" i="5"/>
  <c r="K76" i="5"/>
  <c r="O51" i="5"/>
  <c r="AE6" i="5"/>
  <c r="AD23" i="5"/>
  <c r="AC7" i="5"/>
  <c r="V37" i="5"/>
  <c r="H17" i="5"/>
  <c r="Y17" i="5"/>
  <c r="K17" i="5"/>
  <c r="Y16" i="5"/>
  <c r="Z7" i="5"/>
  <c r="AC17" i="5"/>
  <c r="Q29" i="5"/>
  <c r="W17" i="5"/>
  <c r="M17" i="5"/>
  <c r="K16" i="5"/>
  <c r="V57" i="5"/>
  <c r="M7" i="5"/>
  <c r="X16" i="5"/>
  <c r="I17" i="5"/>
  <c r="W37" i="5"/>
  <c r="U17" i="5"/>
  <c r="I16" i="1"/>
  <c r="K8" i="1"/>
  <c r="K16" i="1"/>
  <c r="L16" i="1"/>
  <c r="H8" i="1"/>
  <c r="F8" i="1"/>
  <c r="I8" i="1"/>
  <c r="L29" i="1"/>
  <c r="J8" i="1"/>
  <c r="G29" i="1"/>
  <c r="M29" i="1"/>
  <c r="L8" i="1"/>
  <c r="M8" i="1"/>
  <c r="I11" i="1"/>
  <c r="H29" i="1"/>
  <c r="F11" i="1"/>
  <c r="M88" i="1"/>
  <c r="L88" i="1"/>
  <c r="K88" i="1"/>
  <c r="J88" i="1"/>
  <c r="I88" i="1"/>
  <c r="H88" i="1"/>
  <c r="G88" i="1"/>
  <c r="F88" i="1"/>
  <c r="J76" i="1"/>
  <c r="I76" i="1"/>
  <c r="H76" i="1"/>
  <c r="G76" i="1"/>
  <c r="F76" i="1"/>
  <c r="E95" i="1"/>
  <c r="M76" i="1"/>
  <c r="K76" i="1"/>
  <c r="L76" i="1"/>
  <c r="M22" i="1"/>
  <c r="L22" i="1"/>
  <c r="K22" i="1"/>
  <c r="J22" i="1"/>
  <c r="I22" i="1"/>
  <c r="H22" i="1"/>
  <c r="G22" i="1"/>
  <c r="F22" i="1"/>
  <c r="M33" i="1"/>
  <c r="L33" i="1"/>
  <c r="K33" i="1"/>
  <c r="J33" i="1"/>
  <c r="I33" i="1"/>
  <c r="H33" i="1"/>
  <c r="G33" i="1"/>
  <c r="F33" i="1"/>
  <c r="M79" i="1"/>
  <c r="L79" i="1"/>
  <c r="K79" i="1"/>
  <c r="J79" i="1"/>
  <c r="I79" i="1"/>
  <c r="H79" i="1"/>
  <c r="G79" i="1"/>
  <c r="F79" i="1"/>
  <c r="K87" i="1"/>
  <c r="J87" i="1"/>
  <c r="I87" i="1"/>
  <c r="H87" i="1"/>
  <c r="G87" i="1"/>
  <c r="F87" i="1"/>
  <c r="M87" i="1"/>
  <c r="L87" i="1"/>
  <c r="M60" i="1"/>
  <c r="J60" i="1"/>
  <c r="G60" i="1"/>
  <c r="L60" i="1"/>
  <c r="K60" i="1"/>
  <c r="I60" i="1"/>
  <c r="H60" i="1"/>
  <c r="F60" i="1"/>
  <c r="M100" i="1"/>
  <c r="L100" i="1"/>
  <c r="K100" i="1"/>
  <c r="J100" i="1"/>
  <c r="I100" i="1"/>
  <c r="H100" i="1"/>
  <c r="F100" i="1"/>
  <c r="G100" i="1"/>
  <c r="M90" i="1"/>
  <c r="L90" i="1"/>
  <c r="K90" i="1"/>
  <c r="J90" i="1"/>
  <c r="I90" i="1"/>
  <c r="H90" i="1"/>
  <c r="G90" i="1"/>
  <c r="F90" i="1"/>
  <c r="I32" i="1"/>
  <c r="H32" i="1"/>
  <c r="G32" i="1"/>
  <c r="F32" i="1"/>
  <c r="L32" i="1"/>
  <c r="M32" i="1"/>
  <c r="J32" i="1"/>
  <c r="K32" i="1"/>
  <c r="M86" i="1"/>
  <c r="L86" i="1"/>
  <c r="K86" i="1"/>
  <c r="J86" i="1"/>
  <c r="E105" i="1"/>
  <c r="I86" i="1"/>
  <c r="H86" i="1"/>
  <c r="G86" i="1"/>
  <c r="F86" i="1"/>
  <c r="M77" i="1"/>
  <c r="L77" i="1"/>
  <c r="K77" i="1"/>
  <c r="J77" i="1"/>
  <c r="I77" i="1"/>
  <c r="H77" i="1"/>
  <c r="F77" i="1"/>
  <c r="G77" i="1"/>
  <c r="E111" i="1"/>
  <c r="C111" i="1"/>
  <c r="D121" i="1" s="1"/>
  <c r="M26" i="1"/>
  <c r="L26" i="1"/>
  <c r="K26" i="1"/>
  <c r="J26" i="1"/>
  <c r="I26" i="1"/>
  <c r="H26" i="1"/>
  <c r="G26" i="1"/>
  <c r="F26" i="1"/>
  <c r="E45" i="1"/>
  <c r="I43" i="1"/>
  <c r="H43" i="1"/>
  <c r="G43" i="1"/>
  <c r="F43" i="1"/>
  <c r="L43" i="1"/>
  <c r="K43" i="1"/>
  <c r="J43" i="1"/>
  <c r="M43" i="1"/>
  <c r="M57" i="1"/>
  <c r="L57" i="1"/>
  <c r="K57" i="1"/>
  <c r="J57" i="1"/>
  <c r="I57" i="1"/>
  <c r="H57" i="1"/>
  <c r="G57" i="1"/>
  <c r="F57" i="1"/>
  <c r="K63" i="1"/>
  <c r="J63" i="1"/>
  <c r="I63" i="1"/>
  <c r="H63" i="1"/>
  <c r="G63" i="1"/>
  <c r="F63" i="1"/>
  <c r="M63" i="1"/>
  <c r="L63" i="1"/>
  <c r="E108" i="1"/>
  <c r="C108" i="1"/>
  <c r="D118" i="1" s="1"/>
  <c r="M37" i="1"/>
  <c r="L37" i="1"/>
  <c r="K37" i="1"/>
  <c r="J37" i="1"/>
  <c r="I37" i="1"/>
  <c r="H37" i="1"/>
  <c r="G37" i="1"/>
  <c r="F37" i="1"/>
  <c r="H56" i="1"/>
  <c r="G56" i="1"/>
  <c r="F56" i="1"/>
  <c r="E75" i="1"/>
  <c r="K56" i="1"/>
  <c r="I56" i="1"/>
  <c r="M56" i="1"/>
  <c r="L56" i="1"/>
  <c r="J56" i="1"/>
  <c r="M18" i="1"/>
  <c r="L18" i="1"/>
  <c r="K18" i="1"/>
  <c r="I18" i="1"/>
  <c r="H18" i="1"/>
  <c r="G18" i="1"/>
  <c r="J18" i="1"/>
  <c r="F18" i="1"/>
  <c r="E119" i="1"/>
  <c r="C119" i="1"/>
  <c r="D129" i="1" s="1"/>
  <c r="M102" i="1"/>
  <c r="L102" i="1"/>
  <c r="K102" i="1"/>
  <c r="J102" i="1"/>
  <c r="I102" i="1"/>
  <c r="H102" i="1"/>
  <c r="G102" i="1"/>
  <c r="F102" i="1"/>
  <c r="H98" i="1"/>
  <c r="G98" i="1"/>
  <c r="F98" i="1"/>
  <c r="M98" i="1"/>
  <c r="L98" i="1"/>
  <c r="J98" i="1"/>
  <c r="K98" i="1"/>
  <c r="I98" i="1"/>
  <c r="M48" i="1"/>
  <c r="L48" i="1"/>
  <c r="K48" i="1"/>
  <c r="J48" i="1"/>
  <c r="I48" i="1"/>
  <c r="H48" i="1"/>
  <c r="G48" i="1"/>
  <c r="F48" i="1"/>
  <c r="H67" i="1"/>
  <c r="G67" i="1"/>
  <c r="F67" i="1"/>
  <c r="K67" i="1"/>
  <c r="M67" i="1"/>
  <c r="L67" i="1"/>
  <c r="J67" i="1"/>
  <c r="I67" i="1"/>
  <c r="M109" i="1"/>
  <c r="L109" i="1"/>
  <c r="K109" i="1"/>
  <c r="J109" i="1"/>
  <c r="I109" i="1"/>
  <c r="H109" i="1"/>
  <c r="G109" i="1"/>
  <c r="F109" i="1"/>
  <c r="H9" i="1"/>
  <c r="F9" i="1"/>
  <c r="M9" i="1"/>
  <c r="J9" i="1"/>
  <c r="L9" i="1"/>
  <c r="K9" i="1"/>
  <c r="I9" i="1"/>
  <c r="G9" i="1"/>
  <c r="M59" i="1"/>
  <c r="L59" i="1"/>
  <c r="K59" i="1"/>
  <c r="J59" i="1"/>
  <c r="I59" i="1"/>
  <c r="H59" i="1"/>
  <c r="G59" i="1"/>
  <c r="F59" i="1"/>
  <c r="H78" i="1"/>
  <c r="G78" i="1"/>
  <c r="F78" i="1"/>
  <c r="M78" i="1"/>
  <c r="K78" i="1"/>
  <c r="L78" i="1"/>
  <c r="J78" i="1"/>
  <c r="I78" i="1"/>
  <c r="E120" i="1"/>
  <c r="C120" i="1"/>
  <c r="D130" i="1" s="1"/>
  <c r="M68" i="1"/>
  <c r="L68" i="1"/>
  <c r="K68" i="1"/>
  <c r="J68" i="1"/>
  <c r="I68" i="1"/>
  <c r="H68" i="1"/>
  <c r="G68" i="1"/>
  <c r="F68" i="1"/>
  <c r="M70" i="1"/>
  <c r="L70" i="1"/>
  <c r="K70" i="1"/>
  <c r="J70" i="1"/>
  <c r="I70" i="1"/>
  <c r="H70" i="1"/>
  <c r="G70" i="1"/>
  <c r="F70" i="1"/>
  <c r="I89" i="1"/>
  <c r="H89" i="1"/>
  <c r="G89" i="1"/>
  <c r="F89" i="1"/>
  <c r="M89" i="1"/>
  <c r="K89" i="1"/>
  <c r="L89" i="1"/>
  <c r="J89" i="1"/>
  <c r="G110" i="1"/>
  <c r="F110" i="1"/>
  <c r="M110" i="1"/>
  <c r="L110" i="1"/>
  <c r="K110" i="1"/>
  <c r="J110" i="1"/>
  <c r="I110" i="1"/>
  <c r="H110" i="1"/>
  <c r="M49" i="1"/>
  <c r="F49" i="1"/>
  <c r="L49" i="1"/>
  <c r="I49" i="1"/>
  <c r="K49" i="1"/>
  <c r="G49" i="1"/>
  <c r="J49" i="1"/>
  <c r="H49" i="1"/>
  <c r="M40" i="1"/>
  <c r="L40" i="1"/>
  <c r="G40" i="1"/>
  <c r="F40" i="1"/>
  <c r="J40" i="1"/>
  <c r="K40" i="1"/>
  <c r="H40" i="1"/>
  <c r="I40" i="1"/>
  <c r="M81" i="1"/>
  <c r="L81" i="1"/>
  <c r="K81" i="1"/>
  <c r="J81" i="1"/>
  <c r="I81" i="1"/>
  <c r="H81" i="1"/>
  <c r="G81" i="1"/>
  <c r="F81" i="1"/>
  <c r="G17" i="1"/>
  <c r="F17" i="1"/>
  <c r="M17" i="1"/>
  <c r="L17" i="1"/>
  <c r="K17" i="1"/>
  <c r="J17" i="1"/>
  <c r="I17" i="1"/>
  <c r="H17" i="1"/>
  <c r="E113" i="1"/>
  <c r="C113" i="1"/>
  <c r="D123" i="1" s="1"/>
  <c r="M51" i="1"/>
  <c r="L51" i="1"/>
  <c r="K51" i="1"/>
  <c r="J51" i="1"/>
  <c r="I51" i="1"/>
  <c r="H51" i="1"/>
  <c r="G51" i="1"/>
  <c r="F51" i="1"/>
  <c r="M92" i="1"/>
  <c r="L92" i="1"/>
  <c r="K92" i="1"/>
  <c r="J92" i="1"/>
  <c r="I92" i="1"/>
  <c r="H92" i="1"/>
  <c r="G92" i="1"/>
  <c r="F92" i="1"/>
  <c r="G19" i="1"/>
  <c r="F19" i="1"/>
  <c r="I19" i="1"/>
  <c r="H19" i="1"/>
  <c r="M19" i="1"/>
  <c r="J19" i="1"/>
  <c r="L19" i="1"/>
  <c r="K19" i="1"/>
  <c r="H103" i="1"/>
  <c r="G103" i="1"/>
  <c r="F103" i="1"/>
  <c r="M103" i="1"/>
  <c r="L103" i="1"/>
  <c r="K103" i="1"/>
  <c r="J103" i="1"/>
  <c r="I103" i="1"/>
  <c r="M42" i="1"/>
  <c r="L42" i="1"/>
  <c r="K42" i="1"/>
  <c r="J42" i="1"/>
  <c r="I42" i="1"/>
  <c r="F42" i="1"/>
  <c r="H42" i="1"/>
  <c r="G42" i="1"/>
  <c r="M107" i="1"/>
  <c r="L107" i="1"/>
  <c r="K107" i="1"/>
  <c r="J107" i="1"/>
  <c r="I107" i="1"/>
  <c r="H107" i="1"/>
  <c r="G107" i="1"/>
  <c r="F107" i="1"/>
  <c r="M10" i="1"/>
  <c r="L10" i="1"/>
  <c r="J10" i="1"/>
  <c r="I10" i="1"/>
  <c r="H10" i="1"/>
  <c r="K10" i="1"/>
  <c r="G10" i="1"/>
  <c r="F10" i="1"/>
  <c r="M28" i="1"/>
  <c r="L28" i="1"/>
  <c r="K28" i="1"/>
  <c r="J28" i="1"/>
  <c r="I28" i="1"/>
  <c r="H28" i="1"/>
  <c r="G28" i="1"/>
  <c r="F28" i="1"/>
  <c r="G21" i="1"/>
  <c r="F21" i="1"/>
  <c r="M21" i="1"/>
  <c r="H21" i="1"/>
  <c r="L21" i="1"/>
  <c r="K21" i="1"/>
  <c r="J21" i="1"/>
  <c r="I21" i="1"/>
  <c r="E106" i="1"/>
  <c r="C106" i="1"/>
  <c r="D116" i="1" s="1"/>
  <c r="E117" i="1"/>
  <c r="C117" i="1"/>
  <c r="D127" i="1" s="1"/>
  <c r="H13" i="1"/>
  <c r="F13" i="1"/>
  <c r="L13" i="1"/>
  <c r="K13" i="1"/>
  <c r="J13" i="1"/>
  <c r="I13" i="1"/>
  <c r="G13" i="1"/>
  <c r="M13" i="1"/>
  <c r="M39" i="1"/>
  <c r="L39" i="1"/>
  <c r="K39" i="1"/>
  <c r="J39" i="1"/>
  <c r="I39" i="1"/>
  <c r="H39" i="1"/>
  <c r="G39" i="1"/>
  <c r="F39" i="1"/>
  <c r="G23" i="1"/>
  <c r="F23" i="1"/>
  <c r="I23" i="1"/>
  <c r="H23" i="1"/>
  <c r="J23" i="1"/>
  <c r="L23" i="1"/>
  <c r="M23" i="1"/>
  <c r="K23" i="1"/>
  <c r="L96" i="1"/>
  <c r="K96" i="1"/>
  <c r="J96" i="1"/>
  <c r="I96" i="1"/>
  <c r="H96" i="1"/>
  <c r="G96" i="1"/>
  <c r="F96" i="1"/>
  <c r="E115" i="1"/>
  <c r="M96" i="1"/>
  <c r="H7" i="1"/>
  <c r="F7" i="1"/>
  <c r="L7" i="1"/>
  <c r="G7" i="1"/>
  <c r="M7" i="1"/>
  <c r="K7" i="1"/>
  <c r="J7" i="1"/>
  <c r="I7" i="1"/>
  <c r="M50" i="1"/>
  <c r="L50" i="1"/>
  <c r="K50" i="1"/>
  <c r="J50" i="1"/>
  <c r="I50" i="1"/>
  <c r="H50" i="1"/>
  <c r="G50" i="1"/>
  <c r="F50" i="1"/>
  <c r="F36" i="1"/>
  <c r="E55" i="1"/>
  <c r="M36" i="1"/>
  <c r="L36" i="1"/>
  <c r="K36" i="1"/>
  <c r="J36" i="1"/>
  <c r="I36" i="1"/>
  <c r="H36" i="1"/>
  <c r="G36" i="1"/>
  <c r="M61" i="1"/>
  <c r="L61" i="1"/>
  <c r="K61" i="1"/>
  <c r="J61" i="1"/>
  <c r="I61" i="1"/>
  <c r="H61" i="1"/>
  <c r="G61" i="1"/>
  <c r="F61" i="1"/>
  <c r="F47" i="1"/>
  <c r="H47" i="1"/>
  <c r="K47" i="1"/>
  <c r="M47" i="1"/>
  <c r="L47" i="1"/>
  <c r="J47" i="1"/>
  <c r="I47" i="1"/>
  <c r="G47" i="1"/>
  <c r="M72" i="1"/>
  <c r="L72" i="1"/>
  <c r="K72" i="1"/>
  <c r="J72" i="1"/>
  <c r="I72" i="1"/>
  <c r="H72" i="1"/>
  <c r="G72" i="1"/>
  <c r="F72" i="1"/>
  <c r="F58" i="1"/>
  <c r="L58" i="1"/>
  <c r="I58" i="1"/>
  <c r="J58" i="1"/>
  <c r="H58" i="1"/>
  <c r="G58" i="1"/>
  <c r="K58" i="1"/>
  <c r="M58" i="1"/>
  <c r="M71" i="1"/>
  <c r="J71" i="1"/>
  <c r="G71" i="1"/>
  <c r="L71" i="1"/>
  <c r="K71" i="1"/>
  <c r="I71" i="1"/>
  <c r="H71" i="1"/>
  <c r="F71" i="1"/>
  <c r="M83" i="1"/>
  <c r="L83" i="1"/>
  <c r="K83" i="1"/>
  <c r="J83" i="1"/>
  <c r="I83" i="1"/>
  <c r="H83" i="1"/>
  <c r="G83" i="1"/>
  <c r="F83" i="1"/>
  <c r="F69" i="1"/>
  <c r="L69" i="1"/>
  <c r="I69" i="1"/>
  <c r="M69" i="1"/>
  <c r="K69" i="1"/>
  <c r="J69" i="1"/>
  <c r="H69" i="1"/>
  <c r="G69" i="1"/>
  <c r="M6" i="1"/>
  <c r="L6" i="1"/>
  <c r="J6" i="1"/>
  <c r="I6" i="1"/>
  <c r="F6" i="1"/>
  <c r="K6" i="1"/>
  <c r="H6" i="1"/>
  <c r="G6" i="1"/>
  <c r="M27" i="1"/>
  <c r="L27" i="1"/>
  <c r="I27" i="1"/>
  <c r="K27" i="1"/>
  <c r="G27" i="1"/>
  <c r="J27" i="1"/>
  <c r="H27" i="1"/>
  <c r="F27" i="1"/>
  <c r="M62" i="1"/>
  <c r="L62" i="1"/>
  <c r="K62" i="1"/>
  <c r="H62" i="1"/>
  <c r="J62" i="1"/>
  <c r="I62" i="1"/>
  <c r="G62" i="1"/>
  <c r="F62" i="1"/>
  <c r="K30" i="1"/>
  <c r="J30" i="1"/>
  <c r="I30" i="1"/>
  <c r="H30" i="1"/>
  <c r="G30" i="1"/>
  <c r="F30" i="1"/>
  <c r="L30" i="1"/>
  <c r="M30" i="1"/>
  <c r="F80" i="1"/>
  <c r="M80" i="1"/>
  <c r="L80" i="1"/>
  <c r="K80" i="1"/>
  <c r="I80" i="1"/>
  <c r="G80" i="1"/>
  <c r="H80" i="1"/>
  <c r="J80" i="1"/>
  <c r="M12" i="1"/>
  <c r="L12" i="1"/>
  <c r="J12" i="1"/>
  <c r="I12" i="1"/>
  <c r="H12" i="1"/>
  <c r="G12" i="1"/>
  <c r="K12" i="1"/>
  <c r="F12" i="1"/>
  <c r="M99" i="1"/>
  <c r="L99" i="1"/>
  <c r="K99" i="1"/>
  <c r="J99" i="1"/>
  <c r="I99" i="1"/>
  <c r="H99" i="1"/>
  <c r="G99" i="1"/>
  <c r="F99" i="1"/>
  <c r="M73" i="1"/>
  <c r="L73" i="1"/>
  <c r="K73" i="1"/>
  <c r="H73" i="1"/>
  <c r="F73" i="1"/>
  <c r="G73" i="1"/>
  <c r="J73" i="1"/>
  <c r="I73" i="1"/>
  <c r="K41" i="1"/>
  <c r="J41" i="1"/>
  <c r="I41" i="1"/>
  <c r="H41" i="1"/>
  <c r="G41" i="1"/>
  <c r="F41" i="1"/>
  <c r="M41" i="1"/>
  <c r="L41" i="1"/>
  <c r="G91" i="1"/>
  <c r="F91" i="1"/>
  <c r="M91" i="1"/>
  <c r="L91" i="1"/>
  <c r="K91" i="1"/>
  <c r="I91" i="1"/>
  <c r="J91" i="1"/>
  <c r="H91" i="1"/>
  <c r="M112" i="1"/>
  <c r="L112" i="1"/>
  <c r="K112" i="1"/>
  <c r="J112" i="1"/>
  <c r="I112" i="1"/>
  <c r="H112" i="1"/>
  <c r="G112" i="1"/>
  <c r="F112" i="1"/>
  <c r="M82" i="1"/>
  <c r="L82" i="1"/>
  <c r="K82" i="1"/>
  <c r="J82" i="1"/>
  <c r="I82" i="1"/>
  <c r="G82" i="1"/>
  <c r="H82" i="1"/>
  <c r="F82" i="1"/>
  <c r="M66" i="1"/>
  <c r="L66" i="1"/>
  <c r="K66" i="1"/>
  <c r="J66" i="1"/>
  <c r="I66" i="1"/>
  <c r="H66" i="1"/>
  <c r="E85" i="1"/>
  <c r="G66" i="1"/>
  <c r="F66" i="1"/>
  <c r="K52" i="1"/>
  <c r="J52" i="1"/>
  <c r="I52" i="1"/>
  <c r="H52" i="1"/>
  <c r="G52" i="1"/>
  <c r="F52" i="1"/>
  <c r="M52" i="1"/>
  <c r="L52" i="1"/>
  <c r="M93" i="1"/>
  <c r="L93" i="1"/>
  <c r="K93" i="1"/>
  <c r="J93" i="1"/>
  <c r="I93" i="1"/>
  <c r="G93" i="1"/>
  <c r="H93" i="1"/>
  <c r="F93" i="1"/>
  <c r="L101" i="1"/>
  <c r="K101" i="1"/>
  <c r="J101" i="1"/>
  <c r="I101" i="1"/>
  <c r="H101" i="1"/>
  <c r="G101" i="1"/>
  <c r="F101" i="1"/>
  <c r="M101" i="1"/>
  <c r="E122" i="1"/>
  <c r="C122" i="1"/>
  <c r="D132" i="1" s="1"/>
  <c r="AN30" i="5" l="1"/>
  <c r="AN68" i="5"/>
  <c r="AN49" i="5"/>
  <c r="AN79" i="5"/>
  <c r="AN26" i="5"/>
  <c r="AN89" i="5"/>
  <c r="AN33" i="5"/>
  <c r="AN91" i="5"/>
  <c r="AN94" i="5"/>
  <c r="AN71" i="5"/>
  <c r="AN92" i="5"/>
  <c r="AN27" i="5"/>
  <c r="AN51" i="5"/>
  <c r="AN39" i="5"/>
  <c r="AN56" i="5"/>
  <c r="AN40" i="5"/>
  <c r="AN69" i="5"/>
  <c r="AN84" i="5"/>
  <c r="AN28" i="5"/>
  <c r="AN72" i="5"/>
  <c r="AN93" i="5"/>
  <c r="AN63" i="5"/>
  <c r="AN41" i="5"/>
  <c r="AN38" i="5"/>
  <c r="AN34" i="5"/>
  <c r="AN44" i="5"/>
  <c r="AN46" i="5"/>
  <c r="AN50" i="5"/>
  <c r="AN29" i="5"/>
  <c r="AN9" i="5"/>
  <c r="AN8" i="5"/>
  <c r="AN16" i="5"/>
  <c r="AN7" i="5"/>
  <c r="AN43" i="5"/>
  <c r="AN73" i="5"/>
  <c r="AN45" i="5"/>
  <c r="AN17" i="5"/>
  <c r="AN37" i="5"/>
  <c r="AN23" i="5"/>
  <c r="AN47" i="5"/>
  <c r="AN78" i="5"/>
  <c r="AN21" i="5"/>
  <c r="AN70" i="5"/>
  <c r="AN76" i="5"/>
  <c r="AN57" i="5"/>
  <c r="AN20" i="5"/>
  <c r="AN6" i="5"/>
  <c r="M111" i="1"/>
  <c r="L111" i="1"/>
  <c r="K111" i="1"/>
  <c r="J111" i="1"/>
  <c r="I111" i="1"/>
  <c r="H111" i="1"/>
  <c r="G111" i="1"/>
  <c r="F111" i="1"/>
  <c r="E121" i="1"/>
  <c r="C121" i="1"/>
  <c r="D131" i="1" s="1"/>
  <c r="E132" i="1"/>
  <c r="C132" i="1"/>
  <c r="D142" i="1" s="1"/>
  <c r="E118" i="1"/>
  <c r="C118" i="1"/>
  <c r="D128" i="1" s="1"/>
  <c r="F122" i="1"/>
  <c r="M122" i="1"/>
  <c r="L122" i="1"/>
  <c r="K122" i="1"/>
  <c r="J122" i="1"/>
  <c r="I122" i="1"/>
  <c r="H122" i="1"/>
  <c r="G122" i="1"/>
  <c r="E123" i="1"/>
  <c r="C123" i="1"/>
  <c r="D133" i="1" s="1"/>
  <c r="K108" i="1"/>
  <c r="J108" i="1"/>
  <c r="I108" i="1"/>
  <c r="H108" i="1"/>
  <c r="G108" i="1"/>
  <c r="F108" i="1"/>
  <c r="M108" i="1"/>
  <c r="L108" i="1"/>
  <c r="K113" i="1"/>
  <c r="J113" i="1"/>
  <c r="I113" i="1"/>
  <c r="H113" i="1"/>
  <c r="G113" i="1"/>
  <c r="F113" i="1"/>
  <c r="M113" i="1"/>
  <c r="L113" i="1"/>
  <c r="E127" i="1"/>
  <c r="C127" i="1"/>
  <c r="D137" i="1" s="1"/>
  <c r="F117" i="1"/>
  <c r="M117" i="1"/>
  <c r="L117" i="1"/>
  <c r="K117" i="1"/>
  <c r="J117" i="1"/>
  <c r="I117" i="1"/>
  <c r="H117" i="1"/>
  <c r="G117" i="1"/>
  <c r="E116" i="1"/>
  <c r="C116" i="1"/>
  <c r="D126" i="1" s="1"/>
  <c r="E130" i="1"/>
  <c r="C130" i="1"/>
  <c r="D140" i="1" s="1"/>
  <c r="M106" i="1"/>
  <c r="L106" i="1"/>
  <c r="K106" i="1"/>
  <c r="J106" i="1"/>
  <c r="I106" i="1"/>
  <c r="H106" i="1"/>
  <c r="G106" i="1"/>
  <c r="F106" i="1"/>
  <c r="E125" i="1"/>
  <c r="J120" i="1"/>
  <c r="I120" i="1"/>
  <c r="H120" i="1"/>
  <c r="G120" i="1"/>
  <c r="F120" i="1"/>
  <c r="M120" i="1"/>
  <c r="L120" i="1"/>
  <c r="K120" i="1"/>
  <c r="E129" i="1"/>
  <c r="C129" i="1"/>
  <c r="D139" i="1" s="1"/>
  <c r="M119" i="1"/>
  <c r="L119" i="1"/>
  <c r="K119" i="1"/>
  <c r="J119" i="1"/>
  <c r="I119" i="1"/>
  <c r="H119" i="1"/>
  <c r="G119" i="1"/>
  <c r="F119" i="1"/>
  <c r="E140" i="1" l="1"/>
  <c r="C140" i="1"/>
  <c r="D150" i="1" s="1"/>
  <c r="E128" i="1"/>
  <c r="C128" i="1"/>
  <c r="D138" i="1" s="1"/>
  <c r="E139" i="1"/>
  <c r="C139" i="1"/>
  <c r="D149" i="1" s="1"/>
  <c r="M130" i="1"/>
  <c r="L130" i="1"/>
  <c r="K130" i="1"/>
  <c r="J130" i="1"/>
  <c r="I130" i="1"/>
  <c r="H130" i="1"/>
  <c r="G130" i="1"/>
  <c r="F130" i="1"/>
  <c r="M118" i="1"/>
  <c r="L118" i="1"/>
  <c r="K118" i="1"/>
  <c r="J118" i="1"/>
  <c r="I118" i="1"/>
  <c r="H118" i="1"/>
  <c r="G118" i="1"/>
  <c r="F118" i="1"/>
  <c r="M129" i="1"/>
  <c r="L129" i="1"/>
  <c r="K129" i="1"/>
  <c r="J129" i="1"/>
  <c r="I129" i="1"/>
  <c r="H129" i="1"/>
  <c r="G129" i="1"/>
  <c r="F129" i="1"/>
  <c r="E126" i="1"/>
  <c r="C126" i="1"/>
  <c r="D136" i="1" s="1"/>
  <c r="E142" i="1"/>
  <c r="C142" i="1"/>
  <c r="D152" i="1" s="1"/>
  <c r="E135" i="1"/>
  <c r="M116" i="1"/>
  <c r="L116" i="1"/>
  <c r="K116" i="1"/>
  <c r="J116" i="1"/>
  <c r="I116" i="1"/>
  <c r="H116" i="1"/>
  <c r="G116" i="1"/>
  <c r="F116" i="1"/>
  <c r="I132" i="1"/>
  <c r="H132" i="1"/>
  <c r="G132" i="1"/>
  <c r="F132" i="1"/>
  <c r="M132" i="1"/>
  <c r="L132" i="1"/>
  <c r="K132" i="1"/>
  <c r="J132" i="1"/>
  <c r="E131" i="1"/>
  <c r="C131" i="1"/>
  <c r="D141" i="1" s="1"/>
  <c r="M121" i="1"/>
  <c r="L121" i="1"/>
  <c r="K121" i="1"/>
  <c r="J121" i="1"/>
  <c r="I121" i="1"/>
  <c r="H121" i="1"/>
  <c r="G121" i="1"/>
  <c r="F121" i="1"/>
  <c r="E133" i="1"/>
  <c r="C133" i="1"/>
  <c r="D143" i="1" s="1"/>
  <c r="M123" i="1"/>
  <c r="L123" i="1"/>
  <c r="K123" i="1"/>
  <c r="J123" i="1"/>
  <c r="I123" i="1"/>
  <c r="H123" i="1"/>
  <c r="G123" i="1"/>
  <c r="F123" i="1"/>
  <c r="E137" i="1"/>
  <c r="C137" i="1"/>
  <c r="D147" i="1" s="1"/>
  <c r="I127" i="1"/>
  <c r="H127" i="1"/>
  <c r="G127" i="1"/>
  <c r="F127" i="1"/>
  <c r="M127" i="1"/>
  <c r="L127" i="1"/>
  <c r="K127" i="1"/>
  <c r="J127" i="1"/>
  <c r="E152" i="1" l="1"/>
  <c r="C152" i="1"/>
  <c r="D162" i="1" s="1"/>
  <c r="E147" i="1"/>
  <c r="C147" i="1"/>
  <c r="D157" i="1" s="1"/>
  <c r="C141" i="1"/>
  <c r="D151" i="1" s="1"/>
  <c r="E141" i="1"/>
  <c r="L142" i="1"/>
  <c r="K142" i="1"/>
  <c r="J142" i="1"/>
  <c r="I142" i="1"/>
  <c r="H142" i="1"/>
  <c r="G142" i="1"/>
  <c r="F142" i="1"/>
  <c r="M142" i="1"/>
  <c r="L137" i="1"/>
  <c r="K137" i="1"/>
  <c r="J137" i="1"/>
  <c r="I137" i="1"/>
  <c r="H137" i="1"/>
  <c r="G137" i="1"/>
  <c r="F137" i="1"/>
  <c r="M137" i="1"/>
  <c r="M131" i="1"/>
  <c r="L131" i="1"/>
  <c r="K131" i="1"/>
  <c r="J131" i="1"/>
  <c r="I131" i="1"/>
  <c r="H131" i="1"/>
  <c r="G131" i="1"/>
  <c r="F131" i="1"/>
  <c r="C136" i="1"/>
  <c r="D146" i="1" s="1"/>
  <c r="E136" i="1"/>
  <c r="E145" i="1"/>
  <c r="M126" i="1"/>
  <c r="L126" i="1"/>
  <c r="K126" i="1"/>
  <c r="J126" i="1"/>
  <c r="I126" i="1"/>
  <c r="H126" i="1"/>
  <c r="G126" i="1"/>
  <c r="F126" i="1"/>
  <c r="E149" i="1"/>
  <c r="C149" i="1"/>
  <c r="D159" i="1" s="1"/>
  <c r="H139" i="1"/>
  <c r="G139" i="1"/>
  <c r="F139" i="1"/>
  <c r="M139" i="1"/>
  <c r="L139" i="1"/>
  <c r="K139" i="1"/>
  <c r="J139" i="1"/>
  <c r="I139" i="1"/>
  <c r="E138" i="1"/>
  <c r="C138" i="1"/>
  <c r="D148" i="1" s="1"/>
  <c r="E143" i="1"/>
  <c r="C143" i="1"/>
  <c r="D153" i="1" s="1"/>
  <c r="M128" i="1"/>
  <c r="L128" i="1"/>
  <c r="K128" i="1"/>
  <c r="J128" i="1"/>
  <c r="I128" i="1"/>
  <c r="H128" i="1"/>
  <c r="G128" i="1"/>
  <c r="F128" i="1"/>
  <c r="M133" i="1"/>
  <c r="L133" i="1"/>
  <c r="K133" i="1"/>
  <c r="J133" i="1"/>
  <c r="I133" i="1"/>
  <c r="H133" i="1"/>
  <c r="G133" i="1"/>
  <c r="F133" i="1"/>
  <c r="E150" i="1"/>
  <c r="C150" i="1"/>
  <c r="D160" i="1" s="1"/>
  <c r="M140" i="1"/>
  <c r="L140" i="1"/>
  <c r="K140" i="1"/>
  <c r="J140" i="1"/>
  <c r="I140" i="1"/>
  <c r="H140" i="1"/>
  <c r="G140" i="1"/>
  <c r="F140" i="1"/>
  <c r="C153" i="1" l="1"/>
  <c r="D163" i="1" s="1"/>
  <c r="E153" i="1"/>
  <c r="M143" i="1"/>
  <c r="L143" i="1"/>
  <c r="K143" i="1"/>
  <c r="J143" i="1"/>
  <c r="I143" i="1"/>
  <c r="H143" i="1"/>
  <c r="G143" i="1"/>
  <c r="F143" i="1"/>
  <c r="E160" i="1"/>
  <c r="C160" i="1"/>
  <c r="D170" i="1" s="1"/>
  <c r="C148" i="1"/>
  <c r="D158" i="1" s="1"/>
  <c r="E148" i="1"/>
  <c r="M150" i="1"/>
  <c r="L150" i="1"/>
  <c r="K150" i="1"/>
  <c r="J150" i="1"/>
  <c r="I150" i="1"/>
  <c r="H150" i="1"/>
  <c r="G150" i="1"/>
  <c r="F150" i="1"/>
  <c r="M138" i="1"/>
  <c r="L138" i="1"/>
  <c r="K138" i="1"/>
  <c r="J138" i="1"/>
  <c r="I138" i="1"/>
  <c r="H138" i="1"/>
  <c r="G138" i="1"/>
  <c r="F138" i="1"/>
  <c r="E155" i="1"/>
  <c r="M136" i="1"/>
  <c r="L136" i="1"/>
  <c r="K136" i="1"/>
  <c r="J136" i="1"/>
  <c r="I136" i="1"/>
  <c r="H136" i="1"/>
  <c r="G136" i="1"/>
  <c r="F136" i="1"/>
  <c r="E146" i="1"/>
  <c r="C146" i="1"/>
  <c r="D156" i="1" s="1"/>
  <c r="M141" i="1"/>
  <c r="L141" i="1"/>
  <c r="K141" i="1"/>
  <c r="J141" i="1"/>
  <c r="I141" i="1"/>
  <c r="H141" i="1"/>
  <c r="G141" i="1"/>
  <c r="F141" i="1"/>
  <c r="E151" i="1"/>
  <c r="C151" i="1"/>
  <c r="D161" i="1" s="1"/>
  <c r="E157" i="1"/>
  <c r="C157" i="1"/>
  <c r="D167" i="1" s="1"/>
  <c r="E159" i="1"/>
  <c r="C159" i="1"/>
  <c r="D169" i="1" s="1"/>
  <c r="M147" i="1"/>
  <c r="L147" i="1"/>
  <c r="K147" i="1"/>
  <c r="J147" i="1"/>
  <c r="I147" i="1"/>
  <c r="H147" i="1"/>
  <c r="G147" i="1"/>
  <c r="F147" i="1"/>
  <c r="K149" i="1"/>
  <c r="J149" i="1"/>
  <c r="I149" i="1"/>
  <c r="H149" i="1"/>
  <c r="G149" i="1"/>
  <c r="F149" i="1"/>
  <c r="M149" i="1"/>
  <c r="L149" i="1"/>
  <c r="E162" i="1"/>
  <c r="C162" i="1"/>
  <c r="D172" i="1" s="1"/>
  <c r="M152" i="1"/>
  <c r="L152" i="1"/>
  <c r="K152" i="1"/>
  <c r="J152" i="1"/>
  <c r="I152" i="1"/>
  <c r="H152" i="1"/>
  <c r="G152" i="1"/>
  <c r="F152" i="1"/>
  <c r="G146" i="1" l="1"/>
  <c r="F146" i="1"/>
  <c r="E165" i="1"/>
  <c r="M146" i="1"/>
  <c r="L146" i="1"/>
  <c r="K146" i="1"/>
  <c r="J146" i="1"/>
  <c r="I146" i="1"/>
  <c r="H146" i="1"/>
  <c r="E172" i="1"/>
  <c r="C172" i="1"/>
  <c r="D182" i="1" s="1"/>
  <c r="M162" i="1"/>
  <c r="L162" i="1"/>
  <c r="K162" i="1"/>
  <c r="J162" i="1"/>
  <c r="I162" i="1"/>
  <c r="H162" i="1"/>
  <c r="G162" i="1"/>
  <c r="F162" i="1"/>
  <c r="E161" i="1"/>
  <c r="C161" i="1"/>
  <c r="D171" i="1" s="1"/>
  <c r="E167" i="1"/>
  <c r="C167" i="1"/>
  <c r="D177" i="1" s="1"/>
  <c r="E169" i="1"/>
  <c r="C169" i="1"/>
  <c r="D179" i="1" s="1"/>
  <c r="E158" i="1"/>
  <c r="C158" i="1"/>
  <c r="D168" i="1" s="1"/>
  <c r="M160" i="1"/>
  <c r="L160" i="1"/>
  <c r="K160" i="1"/>
  <c r="J160" i="1"/>
  <c r="I160" i="1"/>
  <c r="H160" i="1"/>
  <c r="G160" i="1"/>
  <c r="F160" i="1"/>
  <c r="M148" i="1"/>
  <c r="L148" i="1"/>
  <c r="K148" i="1"/>
  <c r="J148" i="1"/>
  <c r="I148" i="1"/>
  <c r="H148" i="1"/>
  <c r="G148" i="1"/>
  <c r="F148" i="1"/>
  <c r="E170" i="1"/>
  <c r="C170" i="1"/>
  <c r="D180" i="1" s="1"/>
  <c r="G151" i="1"/>
  <c r="F151" i="1"/>
  <c r="M151" i="1"/>
  <c r="L151" i="1"/>
  <c r="K151" i="1"/>
  <c r="J151" i="1"/>
  <c r="I151" i="1"/>
  <c r="H151" i="1"/>
  <c r="M153" i="1"/>
  <c r="L153" i="1"/>
  <c r="K153" i="1"/>
  <c r="J153" i="1"/>
  <c r="I153" i="1"/>
  <c r="H153" i="1"/>
  <c r="G153" i="1"/>
  <c r="F153" i="1"/>
  <c r="M159" i="1"/>
  <c r="L159" i="1"/>
  <c r="K159" i="1"/>
  <c r="J159" i="1"/>
  <c r="I159" i="1"/>
  <c r="H159" i="1"/>
  <c r="G159" i="1"/>
  <c r="F159" i="1"/>
  <c r="M157" i="1"/>
  <c r="L157" i="1"/>
  <c r="K157" i="1"/>
  <c r="J157" i="1"/>
  <c r="I157" i="1"/>
  <c r="H157" i="1"/>
  <c r="G157" i="1"/>
  <c r="F157" i="1"/>
  <c r="E156" i="1"/>
  <c r="C156" i="1"/>
  <c r="D166" i="1" s="1"/>
  <c r="E163" i="1"/>
  <c r="C163" i="1"/>
  <c r="D173" i="1" s="1"/>
  <c r="E182" i="1" l="1"/>
  <c r="C182" i="1"/>
  <c r="D192" i="1" s="1"/>
  <c r="M172" i="1"/>
  <c r="L172" i="1"/>
  <c r="K172" i="1"/>
  <c r="J172" i="1"/>
  <c r="I172" i="1"/>
  <c r="H172" i="1"/>
  <c r="G172" i="1"/>
  <c r="F172" i="1"/>
  <c r="J161" i="1"/>
  <c r="I161" i="1"/>
  <c r="H161" i="1"/>
  <c r="G161" i="1"/>
  <c r="F161" i="1"/>
  <c r="M161" i="1"/>
  <c r="L161" i="1"/>
  <c r="K161" i="1"/>
  <c r="J156" i="1"/>
  <c r="I156" i="1"/>
  <c r="H156" i="1"/>
  <c r="G156" i="1"/>
  <c r="F156" i="1"/>
  <c r="M156" i="1"/>
  <c r="E175" i="1"/>
  <c r="L156" i="1"/>
  <c r="K156" i="1"/>
  <c r="E168" i="1"/>
  <c r="C168" i="1"/>
  <c r="D178" i="1" s="1"/>
  <c r="F158" i="1"/>
  <c r="M158" i="1"/>
  <c r="L158" i="1"/>
  <c r="K158" i="1"/>
  <c r="J158" i="1"/>
  <c r="I158" i="1"/>
  <c r="H158" i="1"/>
  <c r="G158" i="1"/>
  <c r="E166" i="1"/>
  <c r="C166" i="1"/>
  <c r="D176" i="1" s="1"/>
  <c r="E180" i="1"/>
  <c r="C180" i="1"/>
  <c r="D190" i="1" s="1"/>
  <c r="C179" i="1"/>
  <c r="D189" i="1" s="1"/>
  <c r="E179" i="1"/>
  <c r="M170" i="1"/>
  <c r="L170" i="1"/>
  <c r="K170" i="1"/>
  <c r="J170" i="1"/>
  <c r="I170" i="1"/>
  <c r="H170" i="1"/>
  <c r="G170" i="1"/>
  <c r="F170" i="1"/>
  <c r="M169" i="1"/>
  <c r="L169" i="1"/>
  <c r="K169" i="1"/>
  <c r="J169" i="1"/>
  <c r="I169" i="1"/>
  <c r="H169" i="1"/>
  <c r="G169" i="1"/>
  <c r="F169" i="1"/>
  <c r="F163" i="1"/>
  <c r="M163" i="1"/>
  <c r="L163" i="1"/>
  <c r="K163" i="1"/>
  <c r="J163" i="1"/>
  <c r="I163" i="1"/>
  <c r="H163" i="1"/>
  <c r="G163" i="1"/>
  <c r="E177" i="1"/>
  <c r="C177" i="1"/>
  <c r="D187" i="1" s="1"/>
  <c r="M167" i="1"/>
  <c r="L167" i="1"/>
  <c r="K167" i="1"/>
  <c r="J167" i="1"/>
  <c r="I167" i="1"/>
  <c r="H167" i="1"/>
  <c r="G167" i="1"/>
  <c r="F167" i="1"/>
  <c r="E173" i="1"/>
  <c r="C173" i="1"/>
  <c r="D183" i="1" s="1"/>
  <c r="E171" i="1"/>
  <c r="C171" i="1"/>
  <c r="D181" i="1" s="1"/>
  <c r="E176" i="1" l="1"/>
  <c r="C176" i="1"/>
  <c r="D186" i="1" s="1"/>
  <c r="M171" i="1"/>
  <c r="L171" i="1"/>
  <c r="K171" i="1"/>
  <c r="J171" i="1"/>
  <c r="I171" i="1"/>
  <c r="H171" i="1"/>
  <c r="G171" i="1"/>
  <c r="F171" i="1"/>
  <c r="I168" i="1"/>
  <c r="H168" i="1"/>
  <c r="G168" i="1"/>
  <c r="F168" i="1"/>
  <c r="M168" i="1"/>
  <c r="L168" i="1"/>
  <c r="K168" i="1"/>
  <c r="J168" i="1"/>
  <c r="E185" i="1"/>
  <c r="M166" i="1"/>
  <c r="L166" i="1"/>
  <c r="K166" i="1"/>
  <c r="J166" i="1"/>
  <c r="I166" i="1"/>
  <c r="H166" i="1"/>
  <c r="G166" i="1"/>
  <c r="F166" i="1"/>
  <c r="E178" i="1"/>
  <c r="C178" i="1"/>
  <c r="D188" i="1" s="1"/>
  <c r="K180" i="1"/>
  <c r="J180" i="1"/>
  <c r="I180" i="1"/>
  <c r="H180" i="1"/>
  <c r="F180" i="1"/>
  <c r="M180" i="1"/>
  <c r="L180" i="1"/>
  <c r="G180" i="1"/>
  <c r="E187" i="1"/>
  <c r="C187" i="1"/>
  <c r="D197" i="1" s="1"/>
  <c r="G177" i="1"/>
  <c r="M177" i="1"/>
  <c r="L177" i="1"/>
  <c r="K177" i="1"/>
  <c r="J177" i="1"/>
  <c r="I177" i="1"/>
  <c r="H177" i="1"/>
  <c r="F177" i="1"/>
  <c r="E189" i="1"/>
  <c r="C189" i="1"/>
  <c r="D199" i="1" s="1"/>
  <c r="E192" i="1"/>
  <c r="C192" i="1"/>
  <c r="D202" i="1" s="1"/>
  <c r="E183" i="1"/>
  <c r="C183" i="1"/>
  <c r="D193" i="1" s="1"/>
  <c r="L173" i="1"/>
  <c r="F173" i="1"/>
  <c r="M173" i="1"/>
  <c r="K173" i="1"/>
  <c r="J173" i="1"/>
  <c r="I173" i="1"/>
  <c r="H173" i="1"/>
  <c r="G173" i="1"/>
  <c r="M179" i="1"/>
  <c r="L179" i="1"/>
  <c r="K179" i="1"/>
  <c r="J179" i="1"/>
  <c r="I179" i="1"/>
  <c r="H179" i="1"/>
  <c r="G179" i="1"/>
  <c r="F179" i="1"/>
  <c r="E181" i="1"/>
  <c r="C181" i="1"/>
  <c r="D191" i="1" s="1"/>
  <c r="E190" i="1"/>
  <c r="C190" i="1"/>
  <c r="D200" i="1" s="1"/>
  <c r="G182" i="1"/>
  <c r="F182" i="1"/>
  <c r="M182" i="1"/>
  <c r="L182" i="1"/>
  <c r="K182" i="1"/>
  <c r="J182" i="1"/>
  <c r="I182" i="1"/>
  <c r="H182" i="1"/>
  <c r="C197" i="1" l="1"/>
  <c r="D207" i="1" s="1"/>
  <c r="E197" i="1"/>
  <c r="E193" i="1"/>
  <c r="C193" i="1"/>
  <c r="D203" i="1" s="1"/>
  <c r="E202" i="1"/>
  <c r="C202" i="1"/>
  <c r="D212" i="1" s="1"/>
  <c r="M183" i="1"/>
  <c r="L183" i="1"/>
  <c r="J183" i="1"/>
  <c r="I183" i="1"/>
  <c r="H183" i="1"/>
  <c r="F183" i="1"/>
  <c r="K183" i="1"/>
  <c r="G183" i="1"/>
  <c r="C199" i="1"/>
  <c r="D209" i="1" s="1"/>
  <c r="E199" i="1"/>
  <c r="J192" i="1"/>
  <c r="I192" i="1"/>
  <c r="H192" i="1"/>
  <c r="G192" i="1"/>
  <c r="M192" i="1"/>
  <c r="L192" i="1"/>
  <c r="K192" i="1"/>
  <c r="F192" i="1"/>
  <c r="M178" i="1"/>
  <c r="L178" i="1"/>
  <c r="I178" i="1"/>
  <c r="H178" i="1"/>
  <c r="F178" i="1"/>
  <c r="K178" i="1"/>
  <c r="J178" i="1"/>
  <c r="G178" i="1"/>
  <c r="E188" i="1"/>
  <c r="C188" i="1"/>
  <c r="D198" i="1" s="1"/>
  <c r="J187" i="1"/>
  <c r="I187" i="1"/>
  <c r="H187" i="1"/>
  <c r="G187" i="1"/>
  <c r="M187" i="1"/>
  <c r="L187" i="1"/>
  <c r="K187" i="1"/>
  <c r="F187" i="1"/>
  <c r="E200" i="1"/>
  <c r="C200" i="1"/>
  <c r="D210" i="1" s="1"/>
  <c r="E191" i="1"/>
  <c r="C191" i="1"/>
  <c r="D201" i="1" s="1"/>
  <c r="E186" i="1"/>
  <c r="C186" i="1"/>
  <c r="D196" i="1" s="1"/>
  <c r="M190" i="1"/>
  <c r="L190" i="1"/>
  <c r="K190" i="1"/>
  <c r="I190" i="1"/>
  <c r="H190" i="1"/>
  <c r="G190" i="1"/>
  <c r="J190" i="1"/>
  <c r="F190" i="1"/>
  <c r="M181" i="1"/>
  <c r="L181" i="1"/>
  <c r="J181" i="1"/>
  <c r="I181" i="1"/>
  <c r="K181" i="1"/>
  <c r="H181" i="1"/>
  <c r="G181" i="1"/>
  <c r="F181" i="1"/>
  <c r="F189" i="1"/>
  <c r="M189" i="1"/>
  <c r="L189" i="1"/>
  <c r="K189" i="1"/>
  <c r="J189" i="1"/>
  <c r="I189" i="1"/>
  <c r="H189" i="1"/>
  <c r="G189" i="1"/>
  <c r="E195" i="1"/>
  <c r="M176" i="1"/>
  <c r="L176" i="1"/>
  <c r="J176" i="1"/>
  <c r="I176" i="1"/>
  <c r="K176" i="1"/>
  <c r="H176" i="1"/>
  <c r="G176" i="1"/>
  <c r="F176" i="1"/>
  <c r="E198" i="1" l="1"/>
  <c r="C198" i="1"/>
  <c r="D208" i="1" s="1"/>
  <c r="E196" i="1"/>
  <c r="C196" i="1"/>
  <c r="D206" i="1" s="1"/>
  <c r="I199" i="1"/>
  <c r="H199" i="1"/>
  <c r="G199" i="1"/>
  <c r="F199" i="1"/>
  <c r="J199" i="1"/>
  <c r="M199" i="1"/>
  <c r="L199" i="1"/>
  <c r="K199" i="1"/>
  <c r="E209" i="1"/>
  <c r="C209" i="1"/>
  <c r="D219" i="1" s="1"/>
  <c r="M188" i="1"/>
  <c r="L188" i="1"/>
  <c r="K188" i="1"/>
  <c r="I188" i="1"/>
  <c r="H188" i="1"/>
  <c r="F188" i="1"/>
  <c r="J188" i="1"/>
  <c r="G188" i="1"/>
  <c r="E201" i="1"/>
  <c r="C201" i="1"/>
  <c r="D211" i="1" s="1"/>
  <c r="E212" i="1"/>
  <c r="C212" i="1"/>
  <c r="D222" i="1" s="1"/>
  <c r="E203" i="1"/>
  <c r="C203" i="1"/>
  <c r="D213" i="1" s="1"/>
  <c r="M202" i="1"/>
  <c r="L202" i="1"/>
  <c r="K202" i="1"/>
  <c r="J202" i="1"/>
  <c r="H202" i="1"/>
  <c r="G202" i="1"/>
  <c r="F202" i="1"/>
  <c r="I202" i="1"/>
  <c r="L200" i="1"/>
  <c r="K200" i="1"/>
  <c r="J200" i="1"/>
  <c r="I200" i="1"/>
  <c r="H200" i="1"/>
  <c r="G200" i="1"/>
  <c r="M200" i="1"/>
  <c r="F200" i="1"/>
  <c r="M193" i="1"/>
  <c r="L193" i="1"/>
  <c r="K193" i="1"/>
  <c r="I193" i="1"/>
  <c r="H193" i="1"/>
  <c r="J193" i="1"/>
  <c r="G193" i="1"/>
  <c r="F193" i="1"/>
  <c r="E205" i="1"/>
  <c r="M186" i="1"/>
  <c r="L186" i="1"/>
  <c r="K186" i="1"/>
  <c r="J186" i="1"/>
  <c r="I186" i="1"/>
  <c r="H186" i="1"/>
  <c r="G186" i="1"/>
  <c r="F186" i="1"/>
  <c r="M191" i="1"/>
  <c r="L191" i="1"/>
  <c r="G191" i="1"/>
  <c r="F191" i="1"/>
  <c r="K191" i="1"/>
  <c r="J191" i="1"/>
  <c r="I191" i="1"/>
  <c r="H191" i="1"/>
  <c r="M197" i="1"/>
  <c r="L197" i="1"/>
  <c r="K197" i="1"/>
  <c r="J197" i="1"/>
  <c r="H197" i="1"/>
  <c r="G197" i="1"/>
  <c r="F197" i="1"/>
  <c r="I197" i="1"/>
  <c r="E210" i="1"/>
  <c r="C210" i="1"/>
  <c r="D220" i="1" s="1"/>
  <c r="E207" i="1"/>
  <c r="C207" i="1"/>
  <c r="D217" i="1" s="1"/>
  <c r="M207" i="1" l="1"/>
  <c r="K207" i="1"/>
  <c r="J207" i="1"/>
  <c r="I207" i="1"/>
  <c r="H207" i="1"/>
  <c r="G207" i="1"/>
  <c r="F207" i="1"/>
  <c r="L207" i="1"/>
  <c r="M210" i="1"/>
  <c r="L210" i="1"/>
  <c r="K210" i="1"/>
  <c r="J210" i="1"/>
  <c r="I210" i="1"/>
  <c r="H210" i="1"/>
  <c r="G210" i="1"/>
  <c r="F210" i="1"/>
  <c r="E222" i="1"/>
  <c r="C222" i="1"/>
  <c r="D232" i="1" s="1"/>
  <c r="E219" i="1"/>
  <c r="C219" i="1"/>
  <c r="D229" i="1" s="1"/>
  <c r="C213" i="1"/>
  <c r="D223" i="1" s="1"/>
  <c r="E213" i="1"/>
  <c r="E211" i="1"/>
  <c r="C211" i="1"/>
  <c r="D221" i="1" s="1"/>
  <c r="E206" i="1"/>
  <c r="C206" i="1"/>
  <c r="D216" i="1" s="1"/>
  <c r="L209" i="1"/>
  <c r="K209" i="1"/>
  <c r="J209" i="1"/>
  <c r="I209" i="1"/>
  <c r="G209" i="1"/>
  <c r="F209" i="1"/>
  <c r="M209" i="1"/>
  <c r="H209" i="1"/>
  <c r="M203" i="1"/>
  <c r="L203" i="1"/>
  <c r="K203" i="1"/>
  <c r="J203" i="1"/>
  <c r="I203" i="1"/>
  <c r="H203" i="1"/>
  <c r="G203" i="1"/>
  <c r="F203" i="1"/>
  <c r="M201" i="1"/>
  <c r="L201" i="1"/>
  <c r="K201" i="1"/>
  <c r="J201" i="1"/>
  <c r="I201" i="1"/>
  <c r="H201" i="1"/>
  <c r="G201" i="1"/>
  <c r="F201" i="1"/>
  <c r="E215" i="1"/>
  <c r="H196" i="1"/>
  <c r="G196" i="1"/>
  <c r="F196" i="1"/>
  <c r="M196" i="1"/>
  <c r="L196" i="1"/>
  <c r="K196" i="1"/>
  <c r="J196" i="1"/>
  <c r="I196" i="1"/>
  <c r="C208" i="1"/>
  <c r="D218" i="1" s="1"/>
  <c r="E208" i="1"/>
  <c r="C220" i="1"/>
  <c r="D230" i="1" s="1"/>
  <c r="E220" i="1"/>
  <c r="M212" i="1"/>
  <c r="K212" i="1"/>
  <c r="J212" i="1"/>
  <c r="I212" i="1"/>
  <c r="H212" i="1"/>
  <c r="G212" i="1"/>
  <c r="F212" i="1"/>
  <c r="L212" i="1"/>
  <c r="E217" i="1"/>
  <c r="C217" i="1"/>
  <c r="D227" i="1" s="1"/>
  <c r="M198" i="1"/>
  <c r="L198" i="1"/>
  <c r="K198" i="1"/>
  <c r="J198" i="1"/>
  <c r="I198" i="1"/>
  <c r="H198" i="1"/>
  <c r="G198" i="1"/>
  <c r="F198" i="1"/>
  <c r="E218" i="1" l="1"/>
  <c r="C218" i="1"/>
  <c r="D228" i="1" s="1"/>
  <c r="E227" i="1"/>
  <c r="C227" i="1"/>
  <c r="D237" i="1" s="1"/>
  <c r="M217" i="1"/>
  <c r="L217" i="1"/>
  <c r="K217" i="1"/>
  <c r="J217" i="1"/>
  <c r="I217" i="1"/>
  <c r="H217" i="1"/>
  <c r="G217" i="1"/>
  <c r="F217" i="1"/>
  <c r="E229" i="1"/>
  <c r="C229" i="1"/>
  <c r="D239" i="1" s="1"/>
  <c r="M219" i="1"/>
  <c r="L219" i="1"/>
  <c r="J219" i="1"/>
  <c r="I219" i="1"/>
  <c r="H219" i="1"/>
  <c r="G219" i="1"/>
  <c r="F219" i="1"/>
  <c r="K219" i="1"/>
  <c r="H206" i="1"/>
  <c r="G206" i="1"/>
  <c r="F206" i="1"/>
  <c r="M206" i="1"/>
  <c r="L206" i="1"/>
  <c r="K206" i="1"/>
  <c r="J206" i="1"/>
  <c r="I206" i="1"/>
  <c r="E225" i="1"/>
  <c r="H211" i="1"/>
  <c r="G211" i="1"/>
  <c r="F211" i="1"/>
  <c r="M211" i="1"/>
  <c r="L211" i="1"/>
  <c r="K211" i="1"/>
  <c r="J211" i="1"/>
  <c r="I211" i="1"/>
  <c r="M222" i="1"/>
  <c r="L222" i="1"/>
  <c r="K222" i="1"/>
  <c r="J222" i="1"/>
  <c r="I222" i="1"/>
  <c r="H222" i="1"/>
  <c r="G222" i="1"/>
  <c r="F222" i="1"/>
  <c r="E221" i="1"/>
  <c r="C221" i="1"/>
  <c r="D231" i="1" s="1"/>
  <c r="E230" i="1"/>
  <c r="C230" i="1"/>
  <c r="D240" i="1" s="1"/>
  <c r="M213" i="1"/>
  <c r="L213" i="1"/>
  <c r="K213" i="1"/>
  <c r="J213" i="1"/>
  <c r="I213" i="1"/>
  <c r="H213" i="1"/>
  <c r="G213" i="1"/>
  <c r="F213" i="1"/>
  <c r="E232" i="1"/>
  <c r="C232" i="1"/>
  <c r="D242" i="1" s="1"/>
  <c r="E216" i="1"/>
  <c r="C216" i="1"/>
  <c r="D226" i="1" s="1"/>
  <c r="M220" i="1"/>
  <c r="L220" i="1"/>
  <c r="K220" i="1"/>
  <c r="J220" i="1"/>
  <c r="I220" i="1"/>
  <c r="H220" i="1"/>
  <c r="G220" i="1"/>
  <c r="F220" i="1"/>
  <c r="M208" i="1"/>
  <c r="L208" i="1"/>
  <c r="K208" i="1"/>
  <c r="J208" i="1"/>
  <c r="I208" i="1"/>
  <c r="H208" i="1"/>
  <c r="G208" i="1"/>
  <c r="F208" i="1"/>
  <c r="E223" i="1"/>
  <c r="C223" i="1"/>
  <c r="D233" i="1" s="1"/>
  <c r="C239" i="1" l="1"/>
  <c r="D249" i="1" s="1"/>
  <c r="E239" i="1"/>
  <c r="M229" i="1"/>
  <c r="L229" i="1"/>
  <c r="K229" i="1"/>
  <c r="J229" i="1"/>
  <c r="I229" i="1"/>
  <c r="H229" i="1"/>
  <c r="G229" i="1"/>
  <c r="F229" i="1"/>
  <c r="M232" i="1"/>
  <c r="L232" i="1"/>
  <c r="K232" i="1"/>
  <c r="J232" i="1"/>
  <c r="I232" i="1"/>
  <c r="H232" i="1"/>
  <c r="G232" i="1"/>
  <c r="F232" i="1"/>
  <c r="E240" i="1"/>
  <c r="C240" i="1"/>
  <c r="D250" i="1" s="1"/>
  <c r="F230" i="1"/>
  <c r="H230" i="1"/>
  <c r="M230" i="1"/>
  <c r="L230" i="1"/>
  <c r="K230" i="1"/>
  <c r="J230" i="1"/>
  <c r="I230" i="1"/>
  <c r="G230" i="1"/>
  <c r="E231" i="1"/>
  <c r="C231" i="1"/>
  <c r="D241" i="1" s="1"/>
  <c r="G223" i="1"/>
  <c r="F223" i="1"/>
  <c r="H223" i="1"/>
  <c r="M223" i="1"/>
  <c r="L223" i="1"/>
  <c r="K223" i="1"/>
  <c r="J223" i="1"/>
  <c r="I223" i="1"/>
  <c r="K221" i="1"/>
  <c r="J221" i="1"/>
  <c r="I221" i="1"/>
  <c r="H221" i="1"/>
  <c r="F221" i="1"/>
  <c r="M221" i="1"/>
  <c r="L221" i="1"/>
  <c r="G221" i="1"/>
  <c r="E237" i="1"/>
  <c r="C237" i="1"/>
  <c r="D247" i="1" s="1"/>
  <c r="E226" i="1"/>
  <c r="C226" i="1"/>
  <c r="D236" i="1" s="1"/>
  <c r="M227" i="1"/>
  <c r="L227" i="1"/>
  <c r="K227" i="1"/>
  <c r="J227" i="1"/>
  <c r="I227" i="1"/>
  <c r="H227" i="1"/>
  <c r="G227" i="1"/>
  <c r="F227" i="1"/>
  <c r="K216" i="1"/>
  <c r="J216" i="1"/>
  <c r="I216" i="1"/>
  <c r="H216" i="1"/>
  <c r="F216" i="1"/>
  <c r="E235" i="1"/>
  <c r="G216" i="1"/>
  <c r="M216" i="1"/>
  <c r="L216" i="1"/>
  <c r="E228" i="1"/>
  <c r="C228" i="1"/>
  <c r="D238" i="1" s="1"/>
  <c r="E233" i="1"/>
  <c r="C233" i="1"/>
  <c r="D243" i="1" s="1"/>
  <c r="E242" i="1"/>
  <c r="C242" i="1"/>
  <c r="D252" i="1" s="1"/>
  <c r="G218" i="1"/>
  <c r="F218" i="1"/>
  <c r="M218" i="1"/>
  <c r="L218" i="1"/>
  <c r="K218" i="1"/>
  <c r="J218" i="1"/>
  <c r="I218" i="1"/>
  <c r="H218" i="1"/>
  <c r="I240" i="1" l="1"/>
  <c r="H240" i="1"/>
  <c r="G240" i="1"/>
  <c r="F240" i="1"/>
  <c r="K240" i="1"/>
  <c r="L240" i="1"/>
  <c r="J240" i="1"/>
  <c r="M240" i="1"/>
  <c r="E250" i="1"/>
  <c r="C250" i="1"/>
  <c r="D260" i="1" s="1"/>
  <c r="E252" i="1"/>
  <c r="C252" i="1"/>
  <c r="D262" i="1" s="1"/>
  <c r="M242" i="1"/>
  <c r="L242" i="1"/>
  <c r="J242" i="1"/>
  <c r="G242" i="1"/>
  <c r="K242" i="1"/>
  <c r="I242" i="1"/>
  <c r="H242" i="1"/>
  <c r="F242" i="1"/>
  <c r="E243" i="1"/>
  <c r="C243" i="1"/>
  <c r="D253" i="1" s="1"/>
  <c r="J233" i="1"/>
  <c r="I233" i="1"/>
  <c r="H233" i="1"/>
  <c r="G233" i="1"/>
  <c r="F233" i="1"/>
  <c r="L233" i="1"/>
  <c r="M233" i="1"/>
  <c r="K233" i="1"/>
  <c r="E236" i="1"/>
  <c r="C236" i="1"/>
  <c r="D246" i="1" s="1"/>
  <c r="E241" i="1"/>
  <c r="C241" i="1"/>
  <c r="D251" i="1" s="1"/>
  <c r="E238" i="1"/>
  <c r="C238" i="1"/>
  <c r="D248" i="1" s="1"/>
  <c r="M226" i="1"/>
  <c r="L226" i="1"/>
  <c r="K226" i="1"/>
  <c r="J226" i="1"/>
  <c r="I226" i="1"/>
  <c r="H226" i="1"/>
  <c r="G226" i="1"/>
  <c r="F226" i="1"/>
  <c r="E245" i="1"/>
  <c r="M231" i="1"/>
  <c r="L231" i="1"/>
  <c r="K231" i="1"/>
  <c r="J231" i="1"/>
  <c r="I231" i="1"/>
  <c r="H231" i="1"/>
  <c r="G231" i="1"/>
  <c r="F231" i="1"/>
  <c r="J228" i="1"/>
  <c r="I228" i="1"/>
  <c r="H228" i="1"/>
  <c r="G228" i="1"/>
  <c r="F228" i="1"/>
  <c r="L228" i="1"/>
  <c r="M228" i="1"/>
  <c r="K228" i="1"/>
  <c r="E247" i="1"/>
  <c r="C247" i="1"/>
  <c r="D257" i="1" s="1"/>
  <c r="M237" i="1"/>
  <c r="J237" i="1"/>
  <c r="G237" i="1"/>
  <c r="L237" i="1"/>
  <c r="K237" i="1"/>
  <c r="I237" i="1"/>
  <c r="H237" i="1"/>
  <c r="F237" i="1"/>
  <c r="M239" i="1"/>
  <c r="L239" i="1"/>
  <c r="K239" i="1"/>
  <c r="J239" i="1"/>
  <c r="I239" i="1"/>
  <c r="F239" i="1"/>
  <c r="H239" i="1"/>
  <c r="G239" i="1"/>
  <c r="C249" i="1"/>
  <c r="D259" i="1" s="1"/>
  <c r="E249" i="1"/>
  <c r="E248" i="1" l="1"/>
  <c r="C248" i="1"/>
  <c r="D258" i="1" s="1"/>
  <c r="M238" i="1"/>
  <c r="L238" i="1"/>
  <c r="K238" i="1"/>
  <c r="J238" i="1"/>
  <c r="I238" i="1"/>
  <c r="H238" i="1"/>
  <c r="G238" i="1"/>
  <c r="F238" i="1"/>
  <c r="E251" i="1"/>
  <c r="C251" i="1"/>
  <c r="D261" i="1" s="1"/>
  <c r="M241" i="1"/>
  <c r="L241" i="1"/>
  <c r="K241" i="1"/>
  <c r="J241" i="1"/>
  <c r="I241" i="1"/>
  <c r="H241" i="1"/>
  <c r="G241" i="1"/>
  <c r="F241" i="1"/>
  <c r="E246" i="1"/>
  <c r="C246" i="1"/>
  <c r="D256" i="1" s="1"/>
  <c r="E262" i="1"/>
  <c r="C262" i="1"/>
  <c r="D272" i="1" s="1"/>
  <c r="E259" i="1"/>
  <c r="C259" i="1"/>
  <c r="D269" i="1" s="1"/>
  <c r="E255" i="1"/>
  <c r="M236" i="1"/>
  <c r="L236" i="1"/>
  <c r="K236" i="1"/>
  <c r="J236" i="1"/>
  <c r="I236" i="1"/>
  <c r="H236" i="1"/>
  <c r="G236" i="1"/>
  <c r="F236" i="1"/>
  <c r="H252" i="1"/>
  <c r="G252" i="1"/>
  <c r="F252" i="1"/>
  <c r="M252" i="1"/>
  <c r="J252" i="1"/>
  <c r="L252" i="1"/>
  <c r="K252" i="1"/>
  <c r="I252" i="1"/>
  <c r="E260" i="1"/>
  <c r="C260" i="1"/>
  <c r="D270" i="1" s="1"/>
  <c r="L250" i="1"/>
  <c r="K250" i="1"/>
  <c r="J250" i="1"/>
  <c r="I250" i="1"/>
  <c r="H250" i="1"/>
  <c r="G250" i="1"/>
  <c r="F250" i="1"/>
  <c r="M250" i="1"/>
  <c r="E257" i="1"/>
  <c r="C257" i="1"/>
  <c r="D267" i="1" s="1"/>
  <c r="H247" i="1"/>
  <c r="G247" i="1"/>
  <c r="F247" i="1"/>
  <c r="M247" i="1"/>
  <c r="J247" i="1"/>
  <c r="L247" i="1"/>
  <c r="K247" i="1"/>
  <c r="I247" i="1"/>
  <c r="E253" i="1"/>
  <c r="C253" i="1"/>
  <c r="D263" i="1" s="1"/>
  <c r="M249" i="1"/>
  <c r="L249" i="1"/>
  <c r="K249" i="1"/>
  <c r="I249" i="1"/>
  <c r="F249" i="1"/>
  <c r="J249" i="1"/>
  <c r="H249" i="1"/>
  <c r="G249" i="1"/>
  <c r="M243" i="1"/>
  <c r="L243" i="1"/>
  <c r="K243" i="1"/>
  <c r="J243" i="1"/>
  <c r="I243" i="1"/>
  <c r="H243" i="1"/>
  <c r="G243" i="1"/>
  <c r="F243" i="1"/>
  <c r="E267" i="1" l="1"/>
  <c r="C267" i="1"/>
  <c r="D277" i="1" s="1"/>
  <c r="K257" i="1"/>
  <c r="J257" i="1"/>
  <c r="I257" i="1"/>
  <c r="H257" i="1"/>
  <c r="G257" i="1"/>
  <c r="F257" i="1"/>
  <c r="M257" i="1"/>
  <c r="L257" i="1"/>
  <c r="C261" i="1"/>
  <c r="D271" i="1" s="1"/>
  <c r="E261" i="1"/>
  <c r="M251" i="1"/>
  <c r="L251" i="1"/>
  <c r="K251" i="1"/>
  <c r="J251" i="1"/>
  <c r="I251" i="1"/>
  <c r="H251" i="1"/>
  <c r="G251" i="1"/>
  <c r="F251" i="1"/>
  <c r="E269" i="1"/>
  <c r="C269" i="1"/>
  <c r="D279" i="1" s="1"/>
  <c r="C263" i="1"/>
  <c r="D273" i="1" s="1"/>
  <c r="E263" i="1"/>
  <c r="E270" i="1"/>
  <c r="C270" i="1"/>
  <c r="D280" i="1" s="1"/>
  <c r="G259" i="1"/>
  <c r="F259" i="1"/>
  <c r="L259" i="1"/>
  <c r="K259" i="1"/>
  <c r="I259" i="1"/>
  <c r="M259" i="1"/>
  <c r="J259" i="1"/>
  <c r="H259" i="1"/>
  <c r="M253" i="1"/>
  <c r="L253" i="1"/>
  <c r="K253" i="1"/>
  <c r="J253" i="1"/>
  <c r="I253" i="1"/>
  <c r="H253" i="1"/>
  <c r="G253" i="1"/>
  <c r="F253" i="1"/>
  <c r="M260" i="1"/>
  <c r="L260" i="1"/>
  <c r="K260" i="1"/>
  <c r="J260" i="1"/>
  <c r="I260" i="1"/>
  <c r="H260" i="1"/>
  <c r="G260" i="1"/>
  <c r="F260" i="1"/>
  <c r="E272" i="1"/>
  <c r="C272" i="1"/>
  <c r="D282" i="1" s="1"/>
  <c r="K262" i="1"/>
  <c r="J262" i="1"/>
  <c r="I262" i="1"/>
  <c r="H262" i="1"/>
  <c r="G262" i="1"/>
  <c r="F262" i="1"/>
  <c r="M262" i="1"/>
  <c r="L262" i="1"/>
  <c r="C256" i="1"/>
  <c r="D266" i="1" s="1"/>
  <c r="E256" i="1"/>
  <c r="C258" i="1"/>
  <c r="D268" i="1" s="1"/>
  <c r="E258" i="1"/>
  <c r="E265" i="1"/>
  <c r="M246" i="1"/>
  <c r="L246" i="1"/>
  <c r="K246" i="1"/>
  <c r="J246" i="1"/>
  <c r="I246" i="1"/>
  <c r="H246" i="1"/>
  <c r="G246" i="1"/>
  <c r="F246" i="1"/>
  <c r="M248" i="1"/>
  <c r="L248" i="1"/>
  <c r="K248" i="1"/>
  <c r="J248" i="1"/>
  <c r="I248" i="1"/>
  <c r="H248" i="1"/>
  <c r="G248" i="1"/>
  <c r="F248" i="1"/>
  <c r="E282" i="1" l="1"/>
  <c r="C282" i="1"/>
  <c r="D292" i="1" s="1"/>
  <c r="M261" i="1"/>
  <c r="L261" i="1"/>
  <c r="K261" i="1"/>
  <c r="J261" i="1"/>
  <c r="H261" i="1"/>
  <c r="G261" i="1"/>
  <c r="I261" i="1"/>
  <c r="F261" i="1"/>
  <c r="M272" i="1"/>
  <c r="L272" i="1"/>
  <c r="K272" i="1"/>
  <c r="J272" i="1"/>
  <c r="I272" i="1"/>
  <c r="H272" i="1"/>
  <c r="G272" i="1"/>
  <c r="F272" i="1"/>
  <c r="E271" i="1"/>
  <c r="C271" i="1"/>
  <c r="D281" i="1" s="1"/>
  <c r="E280" i="1"/>
  <c r="C280" i="1"/>
  <c r="D290" i="1" s="1"/>
  <c r="M258" i="1"/>
  <c r="L258" i="1"/>
  <c r="K258" i="1"/>
  <c r="J258" i="1"/>
  <c r="I258" i="1"/>
  <c r="H258" i="1"/>
  <c r="G258" i="1"/>
  <c r="F258" i="1"/>
  <c r="M263" i="1"/>
  <c r="L263" i="1"/>
  <c r="K263" i="1"/>
  <c r="J263" i="1"/>
  <c r="I263" i="1"/>
  <c r="H263" i="1"/>
  <c r="G263" i="1"/>
  <c r="F263" i="1"/>
  <c r="M270" i="1"/>
  <c r="L270" i="1"/>
  <c r="K270" i="1"/>
  <c r="J270" i="1"/>
  <c r="I270" i="1"/>
  <c r="H270" i="1"/>
  <c r="G270" i="1"/>
  <c r="F270" i="1"/>
  <c r="E268" i="1"/>
  <c r="C268" i="1"/>
  <c r="D278" i="1" s="1"/>
  <c r="E273" i="1"/>
  <c r="C273" i="1"/>
  <c r="D283" i="1" s="1"/>
  <c r="E275" i="1"/>
  <c r="M256" i="1"/>
  <c r="L256" i="1"/>
  <c r="K256" i="1"/>
  <c r="J256" i="1"/>
  <c r="H256" i="1"/>
  <c r="G256" i="1"/>
  <c r="I256" i="1"/>
  <c r="F256" i="1"/>
  <c r="E279" i="1"/>
  <c r="C279" i="1"/>
  <c r="D289" i="1" s="1"/>
  <c r="E277" i="1"/>
  <c r="C277" i="1"/>
  <c r="D287" i="1" s="1"/>
  <c r="E266" i="1"/>
  <c r="C266" i="1"/>
  <c r="D276" i="1" s="1"/>
  <c r="J269" i="1"/>
  <c r="I269" i="1"/>
  <c r="H269" i="1"/>
  <c r="G269" i="1"/>
  <c r="F269" i="1"/>
  <c r="M269" i="1"/>
  <c r="L269" i="1"/>
  <c r="K269" i="1"/>
  <c r="M267" i="1"/>
  <c r="L267" i="1"/>
  <c r="K267" i="1"/>
  <c r="J267" i="1"/>
  <c r="I267" i="1"/>
  <c r="H267" i="1"/>
  <c r="G267" i="1"/>
  <c r="F267" i="1"/>
  <c r="E283" i="1" l="1"/>
  <c r="C283" i="1"/>
  <c r="D293" i="1" s="1"/>
  <c r="M273" i="1"/>
  <c r="L273" i="1"/>
  <c r="K273" i="1"/>
  <c r="J273" i="1"/>
  <c r="I273" i="1"/>
  <c r="G273" i="1"/>
  <c r="F273" i="1"/>
  <c r="H273" i="1"/>
  <c r="F271" i="1"/>
  <c r="M271" i="1"/>
  <c r="K271" i="1"/>
  <c r="J271" i="1"/>
  <c r="I271" i="1"/>
  <c r="H271" i="1"/>
  <c r="L271" i="1"/>
  <c r="G271" i="1"/>
  <c r="E278" i="1"/>
  <c r="C278" i="1"/>
  <c r="D288" i="1" s="1"/>
  <c r="M268" i="1"/>
  <c r="L268" i="1"/>
  <c r="K268" i="1"/>
  <c r="J268" i="1"/>
  <c r="I268" i="1"/>
  <c r="G268" i="1"/>
  <c r="F268" i="1"/>
  <c r="H268" i="1"/>
  <c r="M279" i="1"/>
  <c r="L279" i="1"/>
  <c r="K279" i="1"/>
  <c r="J279" i="1"/>
  <c r="I279" i="1"/>
  <c r="H279" i="1"/>
  <c r="G279" i="1"/>
  <c r="F279" i="1"/>
  <c r="E276" i="1"/>
  <c r="C276" i="1"/>
  <c r="D286" i="1" s="1"/>
  <c r="E281" i="1"/>
  <c r="C281" i="1"/>
  <c r="D291" i="1" s="1"/>
  <c r="F266" i="1"/>
  <c r="E285" i="1"/>
  <c r="M266" i="1"/>
  <c r="K266" i="1"/>
  <c r="J266" i="1"/>
  <c r="I266" i="1"/>
  <c r="H266" i="1"/>
  <c r="L266" i="1"/>
  <c r="G266" i="1"/>
  <c r="E287" i="1"/>
  <c r="C287" i="1"/>
  <c r="D297" i="1" s="1"/>
  <c r="M277" i="1"/>
  <c r="L277" i="1"/>
  <c r="K277" i="1"/>
  <c r="J277" i="1"/>
  <c r="I277" i="1"/>
  <c r="H277" i="1"/>
  <c r="G277" i="1"/>
  <c r="F277" i="1"/>
  <c r="C290" i="1"/>
  <c r="D300" i="1" s="1"/>
  <c r="E290" i="1"/>
  <c r="E292" i="1"/>
  <c r="C292" i="1"/>
  <c r="D302" i="1" s="1"/>
  <c r="E289" i="1"/>
  <c r="C289" i="1"/>
  <c r="D299" i="1" s="1"/>
  <c r="M280" i="1"/>
  <c r="L280" i="1"/>
  <c r="K280" i="1"/>
  <c r="J280" i="1"/>
  <c r="I280" i="1"/>
  <c r="H280" i="1"/>
  <c r="F280" i="1"/>
  <c r="G280" i="1"/>
  <c r="M282" i="1"/>
  <c r="L282" i="1"/>
  <c r="K282" i="1"/>
  <c r="J282" i="1"/>
  <c r="I282" i="1"/>
  <c r="H282" i="1"/>
  <c r="G282" i="1"/>
  <c r="F282" i="1"/>
  <c r="M278" i="1" l="1"/>
  <c r="L278" i="1"/>
  <c r="J278" i="1"/>
  <c r="I278" i="1"/>
  <c r="H278" i="1"/>
  <c r="G278" i="1"/>
  <c r="F278" i="1"/>
  <c r="K278" i="1"/>
  <c r="I276" i="1"/>
  <c r="H276" i="1"/>
  <c r="G276" i="1"/>
  <c r="F276" i="1"/>
  <c r="E295" i="1"/>
  <c r="M276" i="1"/>
  <c r="L276" i="1"/>
  <c r="K276" i="1"/>
  <c r="J276" i="1"/>
  <c r="E291" i="1"/>
  <c r="C291" i="1"/>
  <c r="D301" i="1" s="1"/>
  <c r="E286" i="1"/>
  <c r="C286" i="1"/>
  <c r="D296" i="1" s="1"/>
  <c r="C297" i="1"/>
  <c r="D307" i="1" s="1"/>
  <c r="E297" i="1"/>
  <c r="E300" i="1"/>
  <c r="C300" i="1"/>
  <c r="D310" i="1" s="1"/>
  <c r="M287" i="1"/>
  <c r="L287" i="1"/>
  <c r="K287" i="1"/>
  <c r="J287" i="1"/>
  <c r="I287" i="1"/>
  <c r="H287" i="1"/>
  <c r="G287" i="1"/>
  <c r="F287" i="1"/>
  <c r="I281" i="1"/>
  <c r="H281" i="1"/>
  <c r="G281" i="1"/>
  <c r="F281" i="1"/>
  <c r="M281" i="1"/>
  <c r="L281" i="1"/>
  <c r="K281" i="1"/>
  <c r="J281" i="1"/>
  <c r="C299" i="1"/>
  <c r="D309" i="1" s="1"/>
  <c r="E299" i="1"/>
  <c r="E288" i="1"/>
  <c r="C288" i="1"/>
  <c r="D298" i="1" s="1"/>
  <c r="M289" i="1"/>
  <c r="L289" i="1"/>
  <c r="K289" i="1"/>
  <c r="J289" i="1"/>
  <c r="I289" i="1"/>
  <c r="H289" i="1"/>
  <c r="G289" i="1"/>
  <c r="F289" i="1"/>
  <c r="C302" i="1"/>
  <c r="D312" i="1" s="1"/>
  <c r="E302" i="1"/>
  <c r="M292" i="1"/>
  <c r="L292" i="1"/>
  <c r="K292" i="1"/>
  <c r="J292" i="1"/>
  <c r="I292" i="1"/>
  <c r="H292" i="1"/>
  <c r="G292" i="1"/>
  <c r="F292" i="1"/>
  <c r="E293" i="1"/>
  <c r="C293" i="1"/>
  <c r="D303" i="1" s="1"/>
  <c r="M290" i="1"/>
  <c r="L290" i="1"/>
  <c r="K290" i="1"/>
  <c r="I290" i="1"/>
  <c r="H290" i="1"/>
  <c r="G290" i="1"/>
  <c r="F290" i="1"/>
  <c r="J290" i="1"/>
  <c r="M283" i="1"/>
  <c r="L283" i="1"/>
  <c r="J283" i="1"/>
  <c r="I283" i="1"/>
  <c r="H283" i="1"/>
  <c r="G283" i="1"/>
  <c r="K283" i="1"/>
  <c r="F283" i="1"/>
  <c r="L291" i="1" l="1"/>
  <c r="K291" i="1"/>
  <c r="J291" i="1"/>
  <c r="I291" i="1"/>
  <c r="H291" i="1"/>
  <c r="G291" i="1"/>
  <c r="F291" i="1"/>
  <c r="M291" i="1"/>
  <c r="E301" i="1"/>
  <c r="C301" i="1"/>
  <c r="D311" i="1" s="1"/>
  <c r="L286" i="1"/>
  <c r="K286" i="1"/>
  <c r="J286" i="1"/>
  <c r="I286" i="1"/>
  <c r="H286" i="1"/>
  <c r="G286" i="1"/>
  <c r="F286" i="1"/>
  <c r="E305" i="1"/>
  <c r="M286" i="1"/>
  <c r="M302" i="1"/>
  <c r="L302" i="1"/>
  <c r="K302" i="1"/>
  <c r="J302" i="1"/>
  <c r="H302" i="1"/>
  <c r="G302" i="1"/>
  <c r="F302" i="1"/>
  <c r="I302" i="1"/>
  <c r="E312" i="1"/>
  <c r="C312" i="1"/>
  <c r="D322" i="1" s="1"/>
  <c r="E303" i="1"/>
  <c r="C303" i="1"/>
  <c r="D313" i="1" s="1"/>
  <c r="E298" i="1"/>
  <c r="C298" i="1"/>
  <c r="D308" i="1" s="1"/>
  <c r="E310" i="1"/>
  <c r="C310" i="1"/>
  <c r="D320" i="1" s="1"/>
  <c r="H293" i="1"/>
  <c r="G293" i="1"/>
  <c r="F293" i="1"/>
  <c r="M293" i="1"/>
  <c r="L293" i="1"/>
  <c r="K293" i="1"/>
  <c r="J293" i="1"/>
  <c r="I293" i="1"/>
  <c r="H288" i="1"/>
  <c r="G288" i="1"/>
  <c r="F288" i="1"/>
  <c r="M288" i="1"/>
  <c r="L288" i="1"/>
  <c r="K288" i="1"/>
  <c r="J288" i="1"/>
  <c r="I288" i="1"/>
  <c r="G300" i="1"/>
  <c r="F300" i="1"/>
  <c r="L300" i="1"/>
  <c r="K300" i="1"/>
  <c r="J300" i="1"/>
  <c r="I300" i="1"/>
  <c r="M300" i="1"/>
  <c r="H300" i="1"/>
  <c r="M299" i="1"/>
  <c r="L299" i="1"/>
  <c r="K299" i="1"/>
  <c r="J299" i="1"/>
  <c r="I299" i="1"/>
  <c r="H299" i="1"/>
  <c r="G299" i="1"/>
  <c r="F299" i="1"/>
  <c r="M297" i="1"/>
  <c r="L297" i="1"/>
  <c r="K297" i="1"/>
  <c r="J297" i="1"/>
  <c r="H297" i="1"/>
  <c r="G297" i="1"/>
  <c r="F297" i="1"/>
  <c r="I297" i="1"/>
  <c r="E309" i="1"/>
  <c r="C309" i="1"/>
  <c r="D319" i="1" s="1"/>
  <c r="E307" i="1"/>
  <c r="C307" i="1"/>
  <c r="D317" i="1" s="1"/>
  <c r="E296" i="1"/>
  <c r="C296" i="1"/>
  <c r="D306" i="1" s="1"/>
  <c r="E317" i="1" l="1"/>
  <c r="C317" i="1"/>
  <c r="D327" i="1" s="1"/>
  <c r="M296" i="1"/>
  <c r="L296" i="1"/>
  <c r="K296" i="1"/>
  <c r="J296" i="1"/>
  <c r="I296" i="1"/>
  <c r="H296" i="1"/>
  <c r="G296" i="1"/>
  <c r="F296" i="1"/>
  <c r="E315" i="1"/>
  <c r="E319" i="1"/>
  <c r="C319" i="1"/>
  <c r="D329" i="1" s="1"/>
  <c r="M309" i="1"/>
  <c r="L309" i="1"/>
  <c r="K309" i="1"/>
  <c r="J309" i="1"/>
  <c r="I309" i="1"/>
  <c r="G309" i="1"/>
  <c r="F309" i="1"/>
  <c r="H309" i="1"/>
  <c r="E320" i="1"/>
  <c r="C320" i="1"/>
  <c r="D330" i="1" s="1"/>
  <c r="J310" i="1"/>
  <c r="I310" i="1"/>
  <c r="H310" i="1"/>
  <c r="G310" i="1"/>
  <c r="F310" i="1"/>
  <c r="M310" i="1"/>
  <c r="L310" i="1"/>
  <c r="K310" i="1"/>
  <c r="E308" i="1"/>
  <c r="C308" i="1"/>
  <c r="D318" i="1" s="1"/>
  <c r="K298" i="1"/>
  <c r="J298" i="1"/>
  <c r="I298" i="1"/>
  <c r="H298" i="1"/>
  <c r="G298" i="1"/>
  <c r="F298" i="1"/>
  <c r="M298" i="1"/>
  <c r="L298" i="1"/>
  <c r="E313" i="1"/>
  <c r="C313" i="1"/>
  <c r="D323" i="1" s="1"/>
  <c r="K303" i="1"/>
  <c r="J303" i="1"/>
  <c r="I303" i="1"/>
  <c r="H303" i="1"/>
  <c r="G303" i="1"/>
  <c r="F303" i="1"/>
  <c r="M303" i="1"/>
  <c r="L303" i="1"/>
  <c r="E311" i="1"/>
  <c r="C311" i="1"/>
  <c r="D321" i="1" s="1"/>
  <c r="C322" i="1"/>
  <c r="D332" i="1" s="1"/>
  <c r="E322" i="1"/>
  <c r="M301" i="1"/>
  <c r="L301" i="1"/>
  <c r="K301" i="1"/>
  <c r="J301" i="1"/>
  <c r="I301" i="1"/>
  <c r="H301" i="1"/>
  <c r="G301" i="1"/>
  <c r="F301" i="1"/>
  <c r="F312" i="1"/>
  <c r="M312" i="1"/>
  <c r="K312" i="1"/>
  <c r="J312" i="1"/>
  <c r="I312" i="1"/>
  <c r="H312" i="1"/>
  <c r="L312" i="1"/>
  <c r="G312" i="1"/>
  <c r="F307" i="1"/>
  <c r="M307" i="1"/>
  <c r="K307" i="1"/>
  <c r="J307" i="1"/>
  <c r="I307" i="1"/>
  <c r="H307" i="1"/>
  <c r="L307" i="1"/>
  <c r="G307" i="1"/>
  <c r="E306" i="1"/>
  <c r="C306" i="1"/>
  <c r="D316" i="1" s="1"/>
  <c r="M322" i="1" l="1"/>
  <c r="L322" i="1"/>
  <c r="K322" i="1"/>
  <c r="J322" i="1"/>
  <c r="I322" i="1"/>
  <c r="H322" i="1"/>
  <c r="G322" i="1"/>
  <c r="F322" i="1"/>
  <c r="E332" i="1"/>
  <c r="C332" i="1"/>
  <c r="D342" i="1" s="1"/>
  <c r="E321" i="1"/>
  <c r="C321" i="1"/>
  <c r="D331" i="1" s="1"/>
  <c r="E318" i="1"/>
  <c r="C318" i="1"/>
  <c r="D328" i="1" s="1"/>
  <c r="E329" i="1"/>
  <c r="C329" i="1"/>
  <c r="D339" i="1" s="1"/>
  <c r="M311" i="1"/>
  <c r="L311" i="1"/>
  <c r="K311" i="1"/>
  <c r="J311" i="1"/>
  <c r="I311" i="1"/>
  <c r="H311" i="1"/>
  <c r="G311" i="1"/>
  <c r="F311" i="1"/>
  <c r="M308" i="1"/>
  <c r="L308" i="1"/>
  <c r="K308" i="1"/>
  <c r="J308" i="1"/>
  <c r="I308" i="1"/>
  <c r="H308" i="1"/>
  <c r="G308" i="1"/>
  <c r="F308" i="1"/>
  <c r="M319" i="1"/>
  <c r="L319" i="1"/>
  <c r="J319" i="1"/>
  <c r="I319" i="1"/>
  <c r="H319" i="1"/>
  <c r="G319" i="1"/>
  <c r="K319" i="1"/>
  <c r="F319" i="1"/>
  <c r="M306" i="1"/>
  <c r="L306" i="1"/>
  <c r="K306" i="1"/>
  <c r="J306" i="1"/>
  <c r="I306" i="1"/>
  <c r="H306" i="1"/>
  <c r="G306" i="1"/>
  <c r="F306" i="1"/>
  <c r="E325" i="1"/>
  <c r="E323" i="1"/>
  <c r="C323" i="1"/>
  <c r="D333" i="1" s="1"/>
  <c r="E330" i="1"/>
  <c r="C330" i="1"/>
  <c r="D340" i="1" s="1"/>
  <c r="M313" i="1"/>
  <c r="L313" i="1"/>
  <c r="K313" i="1"/>
  <c r="J313" i="1"/>
  <c r="I313" i="1"/>
  <c r="H313" i="1"/>
  <c r="G313" i="1"/>
  <c r="F313" i="1"/>
  <c r="G320" i="1"/>
  <c r="M320" i="1"/>
  <c r="L320" i="1"/>
  <c r="K320" i="1"/>
  <c r="J320" i="1"/>
  <c r="I320" i="1"/>
  <c r="H320" i="1"/>
  <c r="F320" i="1"/>
  <c r="E327" i="1"/>
  <c r="C327" i="1"/>
  <c r="D337" i="1" s="1"/>
  <c r="E316" i="1"/>
  <c r="C316" i="1"/>
  <c r="D326" i="1" s="1"/>
  <c r="I317" i="1"/>
  <c r="H317" i="1"/>
  <c r="G317" i="1"/>
  <c r="F317" i="1"/>
  <c r="M317" i="1"/>
  <c r="L317" i="1"/>
  <c r="K317" i="1"/>
  <c r="J317" i="1"/>
  <c r="C339" i="1" l="1"/>
  <c r="D349" i="1" s="1"/>
  <c r="E339" i="1"/>
  <c r="K329" i="1"/>
  <c r="M329" i="1"/>
  <c r="L329" i="1"/>
  <c r="J329" i="1"/>
  <c r="I329" i="1"/>
  <c r="H329" i="1"/>
  <c r="G329" i="1"/>
  <c r="F329" i="1"/>
  <c r="C328" i="1"/>
  <c r="D338" i="1" s="1"/>
  <c r="E328" i="1"/>
  <c r="E326" i="1"/>
  <c r="C326" i="1"/>
  <c r="D336" i="1" s="1"/>
  <c r="E340" i="1"/>
  <c r="C340" i="1"/>
  <c r="D350" i="1" s="1"/>
  <c r="M318" i="1"/>
  <c r="L318" i="1"/>
  <c r="K318" i="1"/>
  <c r="J318" i="1"/>
  <c r="I318" i="1"/>
  <c r="H318" i="1"/>
  <c r="G318" i="1"/>
  <c r="F318" i="1"/>
  <c r="E335" i="1"/>
  <c r="M316" i="1"/>
  <c r="L316" i="1"/>
  <c r="K316" i="1"/>
  <c r="J316" i="1"/>
  <c r="I316" i="1"/>
  <c r="H316" i="1"/>
  <c r="F316" i="1"/>
  <c r="G316" i="1"/>
  <c r="I330" i="1"/>
  <c r="G330" i="1"/>
  <c r="F330" i="1"/>
  <c r="M330" i="1"/>
  <c r="K330" i="1"/>
  <c r="J330" i="1"/>
  <c r="H330" i="1"/>
  <c r="L330" i="1"/>
  <c r="E331" i="1"/>
  <c r="C331" i="1"/>
  <c r="D341" i="1" s="1"/>
  <c r="E337" i="1"/>
  <c r="C337" i="1"/>
  <c r="D347" i="1" s="1"/>
  <c r="C333" i="1"/>
  <c r="D343" i="1" s="1"/>
  <c r="E333" i="1"/>
  <c r="M321" i="1"/>
  <c r="K321" i="1"/>
  <c r="I321" i="1"/>
  <c r="F321" i="1"/>
  <c r="L321" i="1"/>
  <c r="J321" i="1"/>
  <c r="H321" i="1"/>
  <c r="G321" i="1"/>
  <c r="J327" i="1"/>
  <c r="I327" i="1"/>
  <c r="H327" i="1"/>
  <c r="G327" i="1"/>
  <c r="F327" i="1"/>
  <c r="M327" i="1"/>
  <c r="L327" i="1"/>
  <c r="K327" i="1"/>
  <c r="K323" i="1"/>
  <c r="I323" i="1"/>
  <c r="G323" i="1"/>
  <c r="J323" i="1"/>
  <c r="H323" i="1"/>
  <c r="F323" i="1"/>
  <c r="M323" i="1"/>
  <c r="L323" i="1"/>
  <c r="E342" i="1"/>
  <c r="C342" i="1"/>
  <c r="D352" i="1" s="1"/>
  <c r="G332" i="1"/>
  <c r="F332" i="1"/>
  <c r="L332" i="1"/>
  <c r="K332" i="1"/>
  <c r="J332" i="1"/>
  <c r="I332" i="1"/>
  <c r="M332" i="1"/>
  <c r="H332" i="1"/>
  <c r="E350" i="1" l="1"/>
  <c r="C350" i="1"/>
  <c r="D360" i="1" s="1"/>
  <c r="K340" i="1"/>
  <c r="J340" i="1"/>
  <c r="I340" i="1"/>
  <c r="H340" i="1"/>
  <c r="G340" i="1"/>
  <c r="M340" i="1"/>
  <c r="L340" i="1"/>
  <c r="F340" i="1"/>
  <c r="E336" i="1"/>
  <c r="C336" i="1"/>
  <c r="D346" i="1" s="1"/>
  <c r="E352" i="1"/>
  <c r="C352" i="1"/>
  <c r="D362" i="1" s="1"/>
  <c r="M326" i="1"/>
  <c r="K326" i="1"/>
  <c r="G326" i="1"/>
  <c r="E345" i="1"/>
  <c r="L326" i="1"/>
  <c r="J326" i="1"/>
  <c r="I326" i="1"/>
  <c r="H326" i="1"/>
  <c r="F326" i="1"/>
  <c r="G342" i="1"/>
  <c r="F342" i="1"/>
  <c r="M342" i="1"/>
  <c r="L342" i="1"/>
  <c r="K342" i="1"/>
  <c r="I342" i="1"/>
  <c r="H342" i="1"/>
  <c r="J342" i="1"/>
  <c r="M328" i="1"/>
  <c r="K328" i="1"/>
  <c r="J328" i="1"/>
  <c r="I328" i="1"/>
  <c r="G328" i="1"/>
  <c r="L328" i="1"/>
  <c r="H328" i="1"/>
  <c r="F328" i="1"/>
  <c r="E338" i="1"/>
  <c r="C338" i="1"/>
  <c r="D348" i="1" s="1"/>
  <c r="M333" i="1"/>
  <c r="L333" i="1"/>
  <c r="K333" i="1"/>
  <c r="J333" i="1"/>
  <c r="I333" i="1"/>
  <c r="G333" i="1"/>
  <c r="H333" i="1"/>
  <c r="F333" i="1"/>
  <c r="E343" i="1"/>
  <c r="C343" i="1"/>
  <c r="D353" i="1" s="1"/>
  <c r="E347" i="1"/>
  <c r="C347" i="1"/>
  <c r="D357" i="1" s="1"/>
  <c r="G337" i="1"/>
  <c r="F337" i="1"/>
  <c r="M337" i="1"/>
  <c r="L337" i="1"/>
  <c r="K337" i="1"/>
  <c r="J337" i="1"/>
  <c r="H337" i="1"/>
  <c r="I337" i="1"/>
  <c r="E341" i="1"/>
  <c r="C341" i="1"/>
  <c r="D351" i="1" s="1"/>
  <c r="M331" i="1"/>
  <c r="K331" i="1"/>
  <c r="G331" i="1"/>
  <c r="L331" i="1"/>
  <c r="J331" i="1"/>
  <c r="I331" i="1"/>
  <c r="H331" i="1"/>
  <c r="F331" i="1"/>
  <c r="M339" i="1"/>
  <c r="L339" i="1"/>
  <c r="J339" i="1"/>
  <c r="I339" i="1"/>
  <c r="H339" i="1"/>
  <c r="G339" i="1"/>
  <c r="F339" i="1"/>
  <c r="K339" i="1"/>
  <c r="E349" i="1"/>
  <c r="C349" i="1"/>
  <c r="D359" i="1" s="1"/>
  <c r="E362" i="1" l="1"/>
  <c r="C362" i="1"/>
  <c r="D372" i="1" s="1"/>
  <c r="E357" i="1"/>
  <c r="C357" i="1"/>
  <c r="D367" i="1" s="1"/>
  <c r="I352" i="1"/>
  <c r="H352" i="1"/>
  <c r="G352" i="1"/>
  <c r="F352" i="1"/>
  <c r="M352" i="1"/>
  <c r="L352" i="1"/>
  <c r="K352" i="1"/>
  <c r="J352" i="1"/>
  <c r="I347" i="1"/>
  <c r="H347" i="1"/>
  <c r="G347" i="1"/>
  <c r="F347" i="1"/>
  <c r="M347" i="1"/>
  <c r="L347" i="1"/>
  <c r="K347" i="1"/>
  <c r="J347" i="1"/>
  <c r="E346" i="1"/>
  <c r="C346" i="1"/>
  <c r="D356" i="1" s="1"/>
  <c r="E353" i="1"/>
  <c r="C353" i="1"/>
  <c r="D363" i="1" s="1"/>
  <c r="E355" i="1"/>
  <c r="M336" i="1"/>
  <c r="I336" i="1"/>
  <c r="H336" i="1"/>
  <c r="G336" i="1"/>
  <c r="F336" i="1"/>
  <c r="L336" i="1"/>
  <c r="K336" i="1"/>
  <c r="J336" i="1"/>
  <c r="H349" i="1"/>
  <c r="G349" i="1"/>
  <c r="F349" i="1"/>
  <c r="M349" i="1"/>
  <c r="L349" i="1"/>
  <c r="K349" i="1"/>
  <c r="J349" i="1"/>
  <c r="I349" i="1"/>
  <c r="M343" i="1"/>
  <c r="L343" i="1"/>
  <c r="K343" i="1"/>
  <c r="I343" i="1"/>
  <c r="G343" i="1"/>
  <c r="J343" i="1"/>
  <c r="H343" i="1"/>
  <c r="F343" i="1"/>
  <c r="M338" i="1"/>
  <c r="L338" i="1"/>
  <c r="K338" i="1"/>
  <c r="I338" i="1"/>
  <c r="J338" i="1"/>
  <c r="H338" i="1"/>
  <c r="G338" i="1"/>
  <c r="F338" i="1"/>
  <c r="E351" i="1"/>
  <c r="C351" i="1"/>
  <c r="D361" i="1" s="1"/>
  <c r="M341" i="1"/>
  <c r="K341" i="1"/>
  <c r="I341" i="1"/>
  <c r="H341" i="1"/>
  <c r="G341" i="1"/>
  <c r="F341" i="1"/>
  <c r="L341" i="1"/>
  <c r="J341" i="1"/>
  <c r="E360" i="1"/>
  <c r="C360" i="1"/>
  <c r="D370" i="1" s="1"/>
  <c r="E359" i="1"/>
  <c r="C359" i="1"/>
  <c r="D369" i="1" s="1"/>
  <c r="E348" i="1"/>
  <c r="C348" i="1"/>
  <c r="D358" i="1" s="1"/>
  <c r="M350" i="1"/>
  <c r="L350" i="1"/>
  <c r="K350" i="1"/>
  <c r="J350" i="1"/>
  <c r="I350" i="1"/>
  <c r="H350" i="1"/>
  <c r="G350" i="1"/>
  <c r="F350" i="1"/>
  <c r="C361" i="1" l="1"/>
  <c r="D371" i="1" s="1"/>
  <c r="E361" i="1"/>
  <c r="M351" i="1"/>
  <c r="L351" i="1"/>
  <c r="K351" i="1"/>
  <c r="J351" i="1"/>
  <c r="I351" i="1"/>
  <c r="H351" i="1"/>
  <c r="G351" i="1"/>
  <c r="F351" i="1"/>
  <c r="C358" i="1"/>
  <c r="D368" i="1" s="1"/>
  <c r="E358" i="1"/>
  <c r="M348" i="1"/>
  <c r="L348" i="1"/>
  <c r="K348" i="1"/>
  <c r="J348" i="1"/>
  <c r="I348" i="1"/>
  <c r="H348" i="1"/>
  <c r="G348" i="1"/>
  <c r="F348" i="1"/>
  <c r="E369" i="1"/>
  <c r="C369" i="1"/>
  <c r="D379" i="1" s="1"/>
  <c r="G359" i="1"/>
  <c r="F359" i="1"/>
  <c r="M359" i="1"/>
  <c r="L359" i="1"/>
  <c r="K359" i="1"/>
  <c r="J359" i="1"/>
  <c r="I359" i="1"/>
  <c r="H359" i="1"/>
  <c r="E370" i="1"/>
  <c r="C370" i="1"/>
  <c r="D380" i="1" s="1"/>
  <c r="M360" i="1"/>
  <c r="L360" i="1"/>
  <c r="K360" i="1"/>
  <c r="J360" i="1"/>
  <c r="I360" i="1"/>
  <c r="H360" i="1"/>
  <c r="G360" i="1"/>
  <c r="F360" i="1"/>
  <c r="E363" i="1"/>
  <c r="C363" i="1"/>
  <c r="D373" i="1" s="1"/>
  <c r="E367" i="1"/>
  <c r="C367" i="1"/>
  <c r="D377" i="1" s="1"/>
  <c r="M353" i="1"/>
  <c r="L353" i="1"/>
  <c r="K353" i="1"/>
  <c r="J353" i="1"/>
  <c r="I353" i="1"/>
  <c r="H353" i="1"/>
  <c r="G353" i="1"/>
  <c r="F353" i="1"/>
  <c r="K357" i="1"/>
  <c r="J357" i="1"/>
  <c r="I357" i="1"/>
  <c r="H357" i="1"/>
  <c r="G357" i="1"/>
  <c r="F357" i="1"/>
  <c r="M357" i="1"/>
  <c r="L357" i="1"/>
  <c r="C356" i="1"/>
  <c r="D366" i="1" s="1"/>
  <c r="E356" i="1"/>
  <c r="E372" i="1"/>
  <c r="C372" i="1"/>
  <c r="D382" i="1" s="1"/>
  <c r="E365" i="1"/>
  <c r="M346" i="1"/>
  <c r="L346" i="1"/>
  <c r="K346" i="1"/>
  <c r="J346" i="1"/>
  <c r="I346" i="1"/>
  <c r="H346" i="1"/>
  <c r="G346" i="1"/>
  <c r="F346" i="1"/>
  <c r="K362" i="1"/>
  <c r="J362" i="1"/>
  <c r="I362" i="1"/>
  <c r="H362" i="1"/>
  <c r="G362" i="1"/>
  <c r="F362" i="1"/>
  <c r="L362" i="1"/>
  <c r="M362" i="1"/>
  <c r="E380" i="1" l="1"/>
  <c r="C380" i="1"/>
  <c r="D390" i="1" s="1"/>
  <c r="M358" i="1"/>
  <c r="L358" i="1"/>
  <c r="K358" i="1"/>
  <c r="J358" i="1"/>
  <c r="I358" i="1"/>
  <c r="H358" i="1"/>
  <c r="G358" i="1"/>
  <c r="F358" i="1"/>
  <c r="M370" i="1"/>
  <c r="L370" i="1"/>
  <c r="K370" i="1"/>
  <c r="J370" i="1"/>
  <c r="I370" i="1"/>
  <c r="H370" i="1"/>
  <c r="G370" i="1"/>
  <c r="F370" i="1"/>
  <c r="C368" i="1"/>
  <c r="D378" i="1" s="1"/>
  <c r="E368" i="1"/>
  <c r="E382" i="1"/>
  <c r="C382" i="1"/>
  <c r="D392" i="1" s="1"/>
  <c r="E377" i="1"/>
  <c r="C377" i="1"/>
  <c r="D387" i="1" s="1"/>
  <c r="M372" i="1"/>
  <c r="L372" i="1"/>
  <c r="K372" i="1"/>
  <c r="J372" i="1"/>
  <c r="I372" i="1"/>
  <c r="H372" i="1"/>
  <c r="G372" i="1"/>
  <c r="F372" i="1"/>
  <c r="M367" i="1"/>
  <c r="L367" i="1"/>
  <c r="K367" i="1"/>
  <c r="J367" i="1"/>
  <c r="I367" i="1"/>
  <c r="H367" i="1"/>
  <c r="G367" i="1"/>
  <c r="F367" i="1"/>
  <c r="E375" i="1"/>
  <c r="M356" i="1"/>
  <c r="L356" i="1"/>
  <c r="K356" i="1"/>
  <c r="J356" i="1"/>
  <c r="I356" i="1"/>
  <c r="H356" i="1"/>
  <c r="G356" i="1"/>
  <c r="F356" i="1"/>
  <c r="E373" i="1"/>
  <c r="C373" i="1"/>
  <c r="D383" i="1" s="1"/>
  <c r="E379" i="1"/>
  <c r="C379" i="1"/>
  <c r="D389" i="1" s="1"/>
  <c r="M361" i="1"/>
  <c r="L361" i="1"/>
  <c r="H361" i="1"/>
  <c r="G361" i="1"/>
  <c r="F361" i="1"/>
  <c r="K361" i="1"/>
  <c r="J361" i="1"/>
  <c r="I361" i="1"/>
  <c r="E366" i="1"/>
  <c r="C366" i="1"/>
  <c r="D376" i="1" s="1"/>
  <c r="M363" i="1"/>
  <c r="L363" i="1"/>
  <c r="K363" i="1"/>
  <c r="J363" i="1"/>
  <c r="I363" i="1"/>
  <c r="H363" i="1"/>
  <c r="G363" i="1"/>
  <c r="F363" i="1"/>
  <c r="I369" i="1"/>
  <c r="H369" i="1"/>
  <c r="G369" i="1"/>
  <c r="F369" i="1"/>
  <c r="M369" i="1"/>
  <c r="L369" i="1"/>
  <c r="K369" i="1"/>
  <c r="J369" i="1"/>
  <c r="E371" i="1"/>
  <c r="C371" i="1"/>
  <c r="D381" i="1" s="1"/>
  <c r="M368" i="1" l="1"/>
  <c r="L368" i="1"/>
  <c r="K368" i="1"/>
  <c r="J368" i="1"/>
  <c r="I368" i="1"/>
  <c r="H368" i="1"/>
  <c r="G368" i="1"/>
  <c r="F368" i="1"/>
  <c r="C378" i="1"/>
  <c r="D388" i="1" s="1"/>
  <c r="E378" i="1"/>
  <c r="E389" i="1"/>
  <c r="C389" i="1"/>
  <c r="D399" i="1" s="1"/>
  <c r="K379" i="1"/>
  <c r="J379" i="1"/>
  <c r="I379" i="1"/>
  <c r="H379" i="1"/>
  <c r="G379" i="1"/>
  <c r="F379" i="1"/>
  <c r="M379" i="1"/>
  <c r="L379" i="1"/>
  <c r="C383" i="1"/>
  <c r="D393" i="1" s="1"/>
  <c r="E383" i="1"/>
  <c r="M373" i="1"/>
  <c r="L373" i="1"/>
  <c r="K373" i="1"/>
  <c r="J373" i="1"/>
  <c r="I373" i="1"/>
  <c r="H373" i="1"/>
  <c r="G373" i="1"/>
  <c r="F373" i="1"/>
  <c r="E387" i="1"/>
  <c r="C387" i="1"/>
  <c r="D397" i="1" s="1"/>
  <c r="M371" i="1"/>
  <c r="G371" i="1"/>
  <c r="F371" i="1"/>
  <c r="L371" i="1"/>
  <c r="K371" i="1"/>
  <c r="J371" i="1"/>
  <c r="I371" i="1"/>
  <c r="H371" i="1"/>
  <c r="E376" i="1"/>
  <c r="C376" i="1"/>
  <c r="D386" i="1" s="1"/>
  <c r="M377" i="1"/>
  <c r="L377" i="1"/>
  <c r="K377" i="1"/>
  <c r="J377" i="1"/>
  <c r="I377" i="1"/>
  <c r="H377" i="1"/>
  <c r="G377" i="1"/>
  <c r="F377" i="1"/>
  <c r="E385" i="1"/>
  <c r="L366" i="1"/>
  <c r="K366" i="1"/>
  <c r="J366" i="1"/>
  <c r="I366" i="1"/>
  <c r="H366" i="1"/>
  <c r="G366" i="1"/>
  <c r="F366" i="1"/>
  <c r="M366" i="1"/>
  <c r="E392" i="1"/>
  <c r="C392" i="1"/>
  <c r="D402" i="1" s="1"/>
  <c r="C390" i="1"/>
  <c r="D400" i="1" s="1"/>
  <c r="E390" i="1"/>
  <c r="E381" i="1"/>
  <c r="C381" i="1"/>
  <c r="D391" i="1" s="1"/>
  <c r="M382" i="1"/>
  <c r="L382" i="1"/>
  <c r="K382" i="1"/>
  <c r="J382" i="1"/>
  <c r="I382" i="1"/>
  <c r="H382" i="1"/>
  <c r="G382" i="1"/>
  <c r="F382" i="1"/>
  <c r="M380" i="1"/>
  <c r="L380" i="1"/>
  <c r="K380" i="1"/>
  <c r="J380" i="1"/>
  <c r="I380" i="1"/>
  <c r="H380" i="1"/>
  <c r="G380" i="1"/>
  <c r="F380" i="1"/>
  <c r="E397" i="1" l="1"/>
  <c r="C397" i="1"/>
  <c r="D407" i="1" s="1"/>
  <c r="E399" i="1"/>
  <c r="C399" i="1"/>
  <c r="D409" i="1" s="1"/>
  <c r="M392" i="1"/>
  <c r="L392" i="1"/>
  <c r="K392" i="1"/>
  <c r="J392" i="1"/>
  <c r="I392" i="1"/>
  <c r="H392" i="1"/>
  <c r="G392" i="1"/>
  <c r="F392" i="1"/>
  <c r="M387" i="1"/>
  <c r="L387" i="1"/>
  <c r="K387" i="1"/>
  <c r="J387" i="1"/>
  <c r="I387" i="1"/>
  <c r="H387" i="1"/>
  <c r="G387" i="1"/>
  <c r="F387" i="1"/>
  <c r="M389" i="1"/>
  <c r="L389" i="1"/>
  <c r="K389" i="1"/>
  <c r="J389" i="1"/>
  <c r="I389" i="1"/>
  <c r="H389" i="1"/>
  <c r="G389" i="1"/>
  <c r="F389" i="1"/>
  <c r="M378" i="1"/>
  <c r="L378" i="1"/>
  <c r="K378" i="1"/>
  <c r="J378" i="1"/>
  <c r="I378" i="1"/>
  <c r="H378" i="1"/>
  <c r="F378" i="1"/>
  <c r="G378" i="1"/>
  <c r="E388" i="1"/>
  <c r="C388" i="1"/>
  <c r="D398" i="1" s="1"/>
  <c r="E391" i="1"/>
  <c r="C391" i="1"/>
  <c r="D401" i="1" s="1"/>
  <c r="G381" i="1"/>
  <c r="F381" i="1"/>
  <c r="I381" i="1"/>
  <c r="J381" i="1"/>
  <c r="H381" i="1"/>
  <c r="M381" i="1"/>
  <c r="L381" i="1"/>
  <c r="K381" i="1"/>
  <c r="M390" i="1"/>
  <c r="L390" i="1"/>
  <c r="K390" i="1"/>
  <c r="J390" i="1"/>
  <c r="I390" i="1"/>
  <c r="G390" i="1"/>
  <c r="H390" i="1"/>
  <c r="F390" i="1"/>
  <c r="C400" i="1"/>
  <c r="D410" i="1" s="1"/>
  <c r="E400" i="1"/>
  <c r="E386" i="1"/>
  <c r="C386" i="1"/>
  <c r="D396" i="1" s="1"/>
  <c r="M383" i="1"/>
  <c r="L383" i="1"/>
  <c r="K383" i="1"/>
  <c r="J383" i="1"/>
  <c r="I383" i="1"/>
  <c r="H383" i="1"/>
  <c r="G383" i="1"/>
  <c r="F383" i="1"/>
  <c r="E402" i="1"/>
  <c r="C402" i="1"/>
  <c r="D412" i="1" s="1"/>
  <c r="G376" i="1"/>
  <c r="F376" i="1"/>
  <c r="E395" i="1"/>
  <c r="M376" i="1"/>
  <c r="L376" i="1"/>
  <c r="K376" i="1"/>
  <c r="J376" i="1"/>
  <c r="I376" i="1"/>
  <c r="H376" i="1"/>
  <c r="E393" i="1"/>
  <c r="C393" i="1"/>
  <c r="D403" i="1" s="1"/>
  <c r="I386" i="1" l="1"/>
  <c r="H386" i="1"/>
  <c r="G386" i="1"/>
  <c r="F386" i="1"/>
  <c r="E405" i="1"/>
  <c r="K386" i="1"/>
  <c r="M386" i="1"/>
  <c r="L386" i="1"/>
  <c r="J386" i="1"/>
  <c r="I391" i="1"/>
  <c r="H391" i="1"/>
  <c r="G391" i="1"/>
  <c r="F391" i="1"/>
  <c r="K391" i="1"/>
  <c r="M391" i="1"/>
  <c r="L391" i="1"/>
  <c r="J391" i="1"/>
  <c r="M400" i="1"/>
  <c r="L400" i="1"/>
  <c r="K400" i="1"/>
  <c r="I400" i="1"/>
  <c r="G400" i="1"/>
  <c r="J400" i="1"/>
  <c r="H400" i="1"/>
  <c r="F400" i="1"/>
  <c r="E398" i="1"/>
  <c r="C398" i="1"/>
  <c r="D408" i="1" s="1"/>
  <c r="E401" i="1"/>
  <c r="C401" i="1"/>
  <c r="D411" i="1" s="1"/>
  <c r="E410" i="1"/>
  <c r="C410" i="1"/>
  <c r="D420" i="1" s="1"/>
  <c r="M388" i="1"/>
  <c r="G388" i="1"/>
  <c r="F388" i="1"/>
  <c r="L388" i="1"/>
  <c r="K388" i="1"/>
  <c r="J388" i="1"/>
  <c r="I388" i="1"/>
  <c r="H388" i="1"/>
  <c r="M393" i="1"/>
  <c r="K393" i="1"/>
  <c r="G393" i="1"/>
  <c r="H393" i="1"/>
  <c r="F393" i="1"/>
  <c r="L393" i="1"/>
  <c r="J393" i="1"/>
  <c r="I393" i="1"/>
  <c r="E412" i="1"/>
  <c r="C412" i="1"/>
  <c r="D422" i="1" s="1"/>
  <c r="E396" i="1"/>
  <c r="C396" i="1"/>
  <c r="D406" i="1" s="1"/>
  <c r="M402" i="1"/>
  <c r="L402" i="1"/>
  <c r="K402" i="1"/>
  <c r="J402" i="1"/>
  <c r="I402" i="1"/>
  <c r="H402" i="1"/>
  <c r="G402" i="1"/>
  <c r="F402" i="1"/>
  <c r="E409" i="1"/>
  <c r="C409" i="1"/>
  <c r="D419" i="1" s="1"/>
  <c r="M399" i="1"/>
  <c r="L399" i="1"/>
  <c r="K399" i="1"/>
  <c r="J399" i="1"/>
  <c r="I399" i="1"/>
  <c r="H399" i="1"/>
  <c r="G399" i="1"/>
  <c r="F399" i="1"/>
  <c r="E407" i="1"/>
  <c r="C407" i="1"/>
  <c r="D417" i="1" s="1"/>
  <c r="E403" i="1"/>
  <c r="C403" i="1"/>
  <c r="D413" i="1" s="1"/>
  <c r="M397" i="1"/>
  <c r="L397" i="1"/>
  <c r="K397" i="1"/>
  <c r="J397" i="1"/>
  <c r="I397" i="1"/>
  <c r="H397" i="1"/>
  <c r="G397" i="1"/>
  <c r="F397" i="1"/>
  <c r="M409" i="1" l="1"/>
  <c r="L409" i="1"/>
  <c r="K409" i="1"/>
  <c r="J409" i="1"/>
  <c r="I409" i="1"/>
  <c r="H409" i="1"/>
  <c r="G409" i="1"/>
  <c r="F409" i="1"/>
  <c r="E413" i="1"/>
  <c r="C413" i="1"/>
  <c r="D423" i="1" s="1"/>
  <c r="G403" i="1"/>
  <c r="F403" i="1"/>
  <c r="M403" i="1"/>
  <c r="K403" i="1"/>
  <c r="I403" i="1"/>
  <c r="J403" i="1"/>
  <c r="H403" i="1"/>
  <c r="L403" i="1"/>
  <c r="C417" i="1"/>
  <c r="D427" i="1" s="1"/>
  <c r="E417" i="1"/>
  <c r="E406" i="1"/>
  <c r="C406" i="1"/>
  <c r="D416" i="1" s="1"/>
  <c r="E420" i="1"/>
  <c r="C420" i="1"/>
  <c r="D430" i="1" s="1"/>
  <c r="M407" i="1"/>
  <c r="L407" i="1"/>
  <c r="K407" i="1"/>
  <c r="J407" i="1"/>
  <c r="I407" i="1"/>
  <c r="H407" i="1"/>
  <c r="G407" i="1"/>
  <c r="F407" i="1"/>
  <c r="K396" i="1"/>
  <c r="J396" i="1"/>
  <c r="I396" i="1"/>
  <c r="H396" i="1"/>
  <c r="G396" i="1"/>
  <c r="F396" i="1"/>
  <c r="E415" i="1"/>
  <c r="M396" i="1"/>
  <c r="L396" i="1"/>
  <c r="M410" i="1"/>
  <c r="L410" i="1"/>
  <c r="K410" i="1"/>
  <c r="J410" i="1"/>
  <c r="I410" i="1"/>
  <c r="G410" i="1"/>
  <c r="H410" i="1"/>
  <c r="F410" i="1"/>
  <c r="C422" i="1"/>
  <c r="D432" i="1" s="1"/>
  <c r="E422" i="1"/>
  <c r="E411" i="1"/>
  <c r="C411" i="1"/>
  <c r="D421" i="1" s="1"/>
  <c r="M412" i="1"/>
  <c r="L412" i="1"/>
  <c r="K412" i="1"/>
  <c r="J412" i="1"/>
  <c r="I412" i="1"/>
  <c r="H412" i="1"/>
  <c r="G412" i="1"/>
  <c r="F412" i="1"/>
  <c r="K401" i="1"/>
  <c r="J401" i="1"/>
  <c r="I401" i="1"/>
  <c r="H401" i="1"/>
  <c r="G401" i="1"/>
  <c r="F401" i="1"/>
  <c r="M401" i="1"/>
  <c r="L401" i="1"/>
  <c r="E408" i="1"/>
  <c r="C408" i="1"/>
  <c r="D418" i="1" s="1"/>
  <c r="G398" i="1"/>
  <c r="F398" i="1"/>
  <c r="M398" i="1"/>
  <c r="K398" i="1"/>
  <c r="I398" i="1"/>
  <c r="L398" i="1"/>
  <c r="J398" i="1"/>
  <c r="H398" i="1"/>
  <c r="E419" i="1"/>
  <c r="C419" i="1"/>
  <c r="D429" i="1" s="1"/>
  <c r="E427" i="1" l="1"/>
  <c r="C427" i="1"/>
  <c r="D437" i="1" s="1"/>
  <c r="M419" i="1"/>
  <c r="L419" i="1"/>
  <c r="K419" i="1"/>
  <c r="J419" i="1"/>
  <c r="I419" i="1"/>
  <c r="H419" i="1"/>
  <c r="G419" i="1"/>
  <c r="F419" i="1"/>
  <c r="E421" i="1"/>
  <c r="C421" i="1"/>
  <c r="D431" i="1" s="1"/>
  <c r="M411" i="1"/>
  <c r="L411" i="1"/>
  <c r="K411" i="1"/>
  <c r="J411" i="1"/>
  <c r="I411" i="1"/>
  <c r="H411" i="1"/>
  <c r="G411" i="1"/>
  <c r="F411" i="1"/>
  <c r="E418" i="1"/>
  <c r="C418" i="1"/>
  <c r="D428" i="1" s="1"/>
  <c r="M422" i="1"/>
  <c r="L422" i="1"/>
  <c r="K422" i="1"/>
  <c r="J422" i="1"/>
  <c r="I422" i="1"/>
  <c r="H422" i="1"/>
  <c r="G422" i="1"/>
  <c r="F422" i="1"/>
  <c r="I408" i="1"/>
  <c r="H408" i="1"/>
  <c r="G408" i="1"/>
  <c r="F408" i="1"/>
  <c r="M408" i="1"/>
  <c r="K408" i="1"/>
  <c r="L408" i="1"/>
  <c r="J408" i="1"/>
  <c r="E432" i="1"/>
  <c r="C432" i="1"/>
  <c r="D442" i="1" s="1"/>
  <c r="E423" i="1"/>
  <c r="C423" i="1"/>
  <c r="D433" i="1" s="1"/>
  <c r="I413" i="1"/>
  <c r="H413" i="1"/>
  <c r="G413" i="1"/>
  <c r="F413" i="1"/>
  <c r="M413" i="1"/>
  <c r="K413" i="1"/>
  <c r="L413" i="1"/>
  <c r="J413" i="1"/>
  <c r="M417" i="1"/>
  <c r="L417" i="1"/>
  <c r="K417" i="1"/>
  <c r="J417" i="1"/>
  <c r="I417" i="1"/>
  <c r="H417" i="1"/>
  <c r="G417" i="1"/>
  <c r="F417" i="1"/>
  <c r="E430" i="1"/>
  <c r="C430" i="1"/>
  <c r="D440" i="1" s="1"/>
  <c r="G420" i="1"/>
  <c r="F420" i="1"/>
  <c r="M420" i="1"/>
  <c r="L420" i="1"/>
  <c r="K420" i="1"/>
  <c r="J420" i="1"/>
  <c r="I420" i="1"/>
  <c r="H420" i="1"/>
  <c r="E416" i="1"/>
  <c r="C416" i="1"/>
  <c r="D426" i="1" s="1"/>
  <c r="E429" i="1"/>
  <c r="C429" i="1"/>
  <c r="D439" i="1" s="1"/>
  <c r="M406" i="1"/>
  <c r="L406" i="1"/>
  <c r="K406" i="1"/>
  <c r="J406" i="1"/>
  <c r="I406" i="1"/>
  <c r="H406" i="1"/>
  <c r="G406" i="1"/>
  <c r="F406" i="1"/>
  <c r="E425" i="1"/>
  <c r="I430" i="1" l="1"/>
  <c r="H430" i="1"/>
  <c r="G430" i="1"/>
  <c r="F430" i="1"/>
  <c r="M430" i="1"/>
  <c r="L430" i="1"/>
  <c r="K430" i="1"/>
  <c r="J430" i="1"/>
  <c r="M432" i="1"/>
  <c r="L432" i="1"/>
  <c r="K432" i="1"/>
  <c r="J432" i="1"/>
  <c r="I432" i="1"/>
  <c r="H432" i="1"/>
  <c r="G432" i="1"/>
  <c r="F432" i="1"/>
  <c r="E440" i="1"/>
  <c r="C440" i="1"/>
  <c r="D450" i="1" s="1"/>
  <c r="C439" i="1"/>
  <c r="D449" i="1" s="1"/>
  <c r="E439" i="1"/>
  <c r="E431" i="1"/>
  <c r="C431" i="1"/>
  <c r="D441" i="1" s="1"/>
  <c r="M429" i="1"/>
  <c r="L429" i="1"/>
  <c r="K429" i="1"/>
  <c r="J429" i="1"/>
  <c r="I429" i="1"/>
  <c r="H429" i="1"/>
  <c r="G429" i="1"/>
  <c r="F429" i="1"/>
  <c r="M421" i="1"/>
  <c r="L421" i="1"/>
  <c r="K421" i="1"/>
  <c r="J421" i="1"/>
  <c r="I421" i="1"/>
  <c r="H421" i="1"/>
  <c r="G421" i="1"/>
  <c r="F421" i="1"/>
  <c r="E426" i="1"/>
  <c r="C426" i="1"/>
  <c r="D436" i="1" s="1"/>
  <c r="M416" i="1"/>
  <c r="L416" i="1"/>
  <c r="K416" i="1"/>
  <c r="J416" i="1"/>
  <c r="I416" i="1"/>
  <c r="H416" i="1"/>
  <c r="G416" i="1"/>
  <c r="F416" i="1"/>
  <c r="E435" i="1"/>
  <c r="E442" i="1"/>
  <c r="C442" i="1"/>
  <c r="D452" i="1" s="1"/>
  <c r="E433" i="1"/>
  <c r="C433" i="1"/>
  <c r="D443" i="1" s="1"/>
  <c r="E428" i="1"/>
  <c r="C428" i="1"/>
  <c r="D438" i="1" s="1"/>
  <c r="E437" i="1"/>
  <c r="C437" i="1"/>
  <c r="D447" i="1" s="1"/>
  <c r="K423" i="1"/>
  <c r="J423" i="1"/>
  <c r="I423" i="1"/>
  <c r="H423" i="1"/>
  <c r="G423" i="1"/>
  <c r="F423" i="1"/>
  <c r="M423" i="1"/>
  <c r="L423" i="1"/>
  <c r="K418" i="1"/>
  <c r="J418" i="1"/>
  <c r="I418" i="1"/>
  <c r="H418" i="1"/>
  <c r="G418" i="1"/>
  <c r="F418" i="1"/>
  <c r="M418" i="1"/>
  <c r="L418" i="1"/>
  <c r="M427" i="1"/>
  <c r="L427" i="1"/>
  <c r="K427" i="1"/>
  <c r="J427" i="1"/>
  <c r="I427" i="1"/>
  <c r="H427" i="1"/>
  <c r="G427" i="1"/>
  <c r="F427" i="1"/>
  <c r="M426" i="1" l="1"/>
  <c r="L426" i="1"/>
  <c r="K426" i="1"/>
  <c r="J426" i="1"/>
  <c r="I426" i="1"/>
  <c r="H426" i="1"/>
  <c r="G426" i="1"/>
  <c r="F426" i="1"/>
  <c r="E445" i="1"/>
  <c r="E449" i="1"/>
  <c r="C449" i="1"/>
  <c r="D459" i="1" s="1"/>
  <c r="E450" i="1"/>
  <c r="C450" i="1"/>
  <c r="D460" i="1" s="1"/>
  <c r="E447" i="1"/>
  <c r="C447" i="1"/>
  <c r="D457" i="1" s="1"/>
  <c r="K440" i="1"/>
  <c r="J440" i="1"/>
  <c r="I440" i="1"/>
  <c r="H440" i="1"/>
  <c r="G440" i="1"/>
  <c r="F440" i="1"/>
  <c r="M440" i="1"/>
  <c r="L440" i="1"/>
  <c r="G437" i="1"/>
  <c r="F437" i="1"/>
  <c r="M437" i="1"/>
  <c r="L437" i="1"/>
  <c r="K437" i="1"/>
  <c r="J437" i="1"/>
  <c r="I437" i="1"/>
  <c r="H437" i="1"/>
  <c r="E438" i="1"/>
  <c r="C438" i="1"/>
  <c r="D448" i="1" s="1"/>
  <c r="M428" i="1"/>
  <c r="L428" i="1"/>
  <c r="K428" i="1"/>
  <c r="J428" i="1"/>
  <c r="I428" i="1"/>
  <c r="H428" i="1"/>
  <c r="G428" i="1"/>
  <c r="F428" i="1"/>
  <c r="M439" i="1"/>
  <c r="L439" i="1"/>
  <c r="K439" i="1"/>
  <c r="J439" i="1"/>
  <c r="I439" i="1"/>
  <c r="H439" i="1"/>
  <c r="G439" i="1"/>
  <c r="F439" i="1"/>
  <c r="E443" i="1"/>
  <c r="C443" i="1"/>
  <c r="D453" i="1" s="1"/>
  <c r="M433" i="1"/>
  <c r="L433" i="1"/>
  <c r="K433" i="1"/>
  <c r="J433" i="1"/>
  <c r="I433" i="1"/>
  <c r="H433" i="1"/>
  <c r="G433" i="1"/>
  <c r="F433" i="1"/>
  <c r="E452" i="1"/>
  <c r="C452" i="1"/>
  <c r="D462" i="1" s="1"/>
  <c r="G442" i="1"/>
  <c r="F442" i="1"/>
  <c r="M442" i="1"/>
  <c r="L442" i="1"/>
  <c r="K442" i="1"/>
  <c r="J442" i="1"/>
  <c r="I442" i="1"/>
  <c r="H442" i="1"/>
  <c r="E436" i="1"/>
  <c r="C436" i="1"/>
  <c r="D446" i="1" s="1"/>
  <c r="E441" i="1"/>
  <c r="C441" i="1"/>
  <c r="D451" i="1" s="1"/>
  <c r="M431" i="1"/>
  <c r="L431" i="1"/>
  <c r="K431" i="1"/>
  <c r="J431" i="1"/>
  <c r="I431" i="1"/>
  <c r="H431" i="1"/>
  <c r="G431" i="1"/>
  <c r="F431" i="1"/>
  <c r="I452" i="1" l="1"/>
  <c r="G452" i="1"/>
  <c r="M452" i="1"/>
  <c r="L452" i="1"/>
  <c r="K452" i="1"/>
  <c r="J452" i="1"/>
  <c r="H452" i="1"/>
  <c r="F452" i="1"/>
  <c r="E457" i="1"/>
  <c r="C457" i="1"/>
  <c r="D467" i="1" s="1"/>
  <c r="I447" i="1"/>
  <c r="H447" i="1"/>
  <c r="G447" i="1"/>
  <c r="F447" i="1"/>
  <c r="M447" i="1"/>
  <c r="L447" i="1"/>
  <c r="K447" i="1"/>
  <c r="J447" i="1"/>
  <c r="E451" i="1"/>
  <c r="C451" i="1"/>
  <c r="D461" i="1" s="1"/>
  <c r="E448" i="1"/>
  <c r="C448" i="1"/>
  <c r="D458" i="1" s="1"/>
  <c r="E460" i="1"/>
  <c r="C460" i="1"/>
  <c r="D470" i="1" s="1"/>
  <c r="M441" i="1"/>
  <c r="L441" i="1"/>
  <c r="K441" i="1"/>
  <c r="J441" i="1"/>
  <c r="I441" i="1"/>
  <c r="H441" i="1"/>
  <c r="G441" i="1"/>
  <c r="F441" i="1"/>
  <c r="M438" i="1"/>
  <c r="L438" i="1"/>
  <c r="K438" i="1"/>
  <c r="J438" i="1"/>
  <c r="I438" i="1"/>
  <c r="H438" i="1"/>
  <c r="G438" i="1"/>
  <c r="F438" i="1"/>
  <c r="M450" i="1"/>
  <c r="L450" i="1"/>
  <c r="K450" i="1"/>
  <c r="J450" i="1"/>
  <c r="I450" i="1"/>
  <c r="H450" i="1"/>
  <c r="G450" i="1"/>
  <c r="F450" i="1"/>
  <c r="E446" i="1"/>
  <c r="C446" i="1"/>
  <c r="D456" i="1" s="1"/>
  <c r="C453" i="1"/>
  <c r="D463" i="1" s="1"/>
  <c r="E453" i="1"/>
  <c r="E459" i="1"/>
  <c r="C459" i="1"/>
  <c r="D469" i="1" s="1"/>
  <c r="M436" i="1"/>
  <c r="L436" i="1"/>
  <c r="K436" i="1"/>
  <c r="J436" i="1"/>
  <c r="I436" i="1"/>
  <c r="E455" i="1"/>
  <c r="H436" i="1"/>
  <c r="G436" i="1"/>
  <c r="F436" i="1"/>
  <c r="M443" i="1"/>
  <c r="L443" i="1"/>
  <c r="K443" i="1"/>
  <c r="J443" i="1"/>
  <c r="I443" i="1"/>
  <c r="H443" i="1"/>
  <c r="G443" i="1"/>
  <c r="F443" i="1"/>
  <c r="M449" i="1"/>
  <c r="L449" i="1"/>
  <c r="K449" i="1"/>
  <c r="J449" i="1"/>
  <c r="I449" i="1"/>
  <c r="H449" i="1"/>
  <c r="G449" i="1"/>
  <c r="F449" i="1"/>
  <c r="E462" i="1"/>
  <c r="C462" i="1"/>
  <c r="D472" i="1" s="1"/>
  <c r="M451" i="1" l="1"/>
  <c r="L451" i="1"/>
  <c r="K451" i="1"/>
  <c r="J451" i="1"/>
  <c r="I451" i="1"/>
  <c r="H451" i="1"/>
  <c r="G451" i="1"/>
  <c r="F451" i="1"/>
  <c r="E469" i="1"/>
  <c r="C469" i="1"/>
  <c r="D479" i="1" s="1"/>
  <c r="K462" i="1"/>
  <c r="I462" i="1"/>
  <c r="G462" i="1"/>
  <c r="M462" i="1"/>
  <c r="L462" i="1"/>
  <c r="J462" i="1"/>
  <c r="H462" i="1"/>
  <c r="F462" i="1"/>
  <c r="G459" i="1"/>
  <c r="H459" i="1"/>
  <c r="F459" i="1"/>
  <c r="M459" i="1"/>
  <c r="L459" i="1"/>
  <c r="K459" i="1"/>
  <c r="J459" i="1"/>
  <c r="I459" i="1"/>
  <c r="M453" i="1"/>
  <c r="K453" i="1"/>
  <c r="I453" i="1"/>
  <c r="L453" i="1"/>
  <c r="J453" i="1"/>
  <c r="H453" i="1"/>
  <c r="G453" i="1"/>
  <c r="F453" i="1"/>
  <c r="C461" i="1"/>
  <c r="D471" i="1" s="1"/>
  <c r="E461" i="1"/>
  <c r="E463" i="1"/>
  <c r="C463" i="1"/>
  <c r="D473" i="1" s="1"/>
  <c r="C456" i="1"/>
  <c r="D466" i="1" s="1"/>
  <c r="E456" i="1"/>
  <c r="E467" i="1"/>
  <c r="C467" i="1"/>
  <c r="D477" i="1" s="1"/>
  <c r="M446" i="1"/>
  <c r="L446" i="1"/>
  <c r="K446" i="1"/>
  <c r="J446" i="1"/>
  <c r="I446" i="1"/>
  <c r="H446" i="1"/>
  <c r="G446" i="1"/>
  <c r="F446" i="1"/>
  <c r="E465" i="1"/>
  <c r="K457" i="1"/>
  <c r="I457" i="1"/>
  <c r="G457" i="1"/>
  <c r="M457" i="1"/>
  <c r="L457" i="1"/>
  <c r="J457" i="1"/>
  <c r="H457" i="1"/>
  <c r="F457" i="1"/>
  <c r="E470" i="1"/>
  <c r="C470" i="1"/>
  <c r="D480" i="1" s="1"/>
  <c r="M460" i="1"/>
  <c r="K460" i="1"/>
  <c r="I460" i="1"/>
  <c r="G460" i="1"/>
  <c r="L460" i="1"/>
  <c r="J460" i="1"/>
  <c r="H460" i="1"/>
  <c r="F460" i="1"/>
  <c r="E458" i="1"/>
  <c r="C458" i="1"/>
  <c r="D468" i="1" s="1"/>
  <c r="E472" i="1"/>
  <c r="C472" i="1"/>
  <c r="D482" i="1" s="1"/>
  <c r="M448" i="1"/>
  <c r="L448" i="1"/>
  <c r="K448" i="1"/>
  <c r="J448" i="1"/>
  <c r="I448" i="1"/>
  <c r="H448" i="1"/>
  <c r="G448" i="1"/>
  <c r="F448" i="1"/>
  <c r="E466" i="1" l="1"/>
  <c r="C466" i="1"/>
  <c r="D476" i="1" s="1"/>
  <c r="E473" i="1"/>
  <c r="C473" i="1"/>
  <c r="D483" i="1" s="1"/>
  <c r="M463" i="1"/>
  <c r="K463" i="1"/>
  <c r="J463" i="1"/>
  <c r="I463" i="1"/>
  <c r="H463" i="1"/>
  <c r="G463" i="1"/>
  <c r="F463" i="1"/>
  <c r="L463" i="1"/>
  <c r="I461" i="1"/>
  <c r="H461" i="1"/>
  <c r="G461" i="1"/>
  <c r="F461" i="1"/>
  <c r="M461" i="1"/>
  <c r="L461" i="1"/>
  <c r="K461" i="1"/>
  <c r="J461" i="1"/>
  <c r="E471" i="1"/>
  <c r="C471" i="1"/>
  <c r="D481" i="1" s="1"/>
  <c r="M470" i="1"/>
  <c r="L470" i="1"/>
  <c r="K470" i="1"/>
  <c r="J470" i="1"/>
  <c r="I470" i="1"/>
  <c r="G470" i="1"/>
  <c r="H470" i="1"/>
  <c r="F470" i="1"/>
  <c r="E482" i="1"/>
  <c r="C482" i="1"/>
  <c r="D492" i="1" s="1"/>
  <c r="M472" i="1"/>
  <c r="K472" i="1"/>
  <c r="J472" i="1"/>
  <c r="I472" i="1"/>
  <c r="H472" i="1"/>
  <c r="G472" i="1"/>
  <c r="F472" i="1"/>
  <c r="L472" i="1"/>
  <c r="E468" i="1"/>
  <c r="C468" i="1"/>
  <c r="D478" i="1" s="1"/>
  <c r="M458" i="1"/>
  <c r="K458" i="1"/>
  <c r="L458" i="1"/>
  <c r="J458" i="1"/>
  <c r="I458" i="1"/>
  <c r="H458" i="1"/>
  <c r="G458" i="1"/>
  <c r="F458" i="1"/>
  <c r="E479" i="1"/>
  <c r="C479" i="1"/>
  <c r="D489" i="1" s="1"/>
  <c r="J469" i="1"/>
  <c r="I469" i="1"/>
  <c r="G469" i="1"/>
  <c r="M469" i="1"/>
  <c r="L469" i="1"/>
  <c r="K469" i="1"/>
  <c r="H469" i="1"/>
  <c r="F469" i="1"/>
  <c r="E475" i="1"/>
  <c r="M456" i="1"/>
  <c r="L456" i="1"/>
  <c r="K456" i="1"/>
  <c r="J456" i="1"/>
  <c r="I456" i="1"/>
  <c r="H456" i="1"/>
  <c r="G456" i="1"/>
  <c r="F456" i="1"/>
  <c r="E477" i="1"/>
  <c r="C477" i="1"/>
  <c r="D487" i="1" s="1"/>
  <c r="E480" i="1"/>
  <c r="C480" i="1"/>
  <c r="D490" i="1" s="1"/>
  <c r="M467" i="1"/>
  <c r="K467" i="1"/>
  <c r="I467" i="1"/>
  <c r="H467" i="1"/>
  <c r="G467" i="1"/>
  <c r="L467" i="1"/>
  <c r="J467" i="1"/>
  <c r="F467" i="1"/>
  <c r="E490" i="1" l="1"/>
  <c r="C490" i="1"/>
  <c r="D500" i="1" s="1"/>
  <c r="M480" i="1"/>
  <c r="L480" i="1"/>
  <c r="K480" i="1"/>
  <c r="J480" i="1"/>
  <c r="I480" i="1"/>
  <c r="H480" i="1"/>
  <c r="G480" i="1"/>
  <c r="F480" i="1"/>
  <c r="E489" i="1"/>
  <c r="C489" i="1"/>
  <c r="D499" i="1" s="1"/>
  <c r="C492" i="1"/>
  <c r="D502" i="1" s="1"/>
  <c r="E492" i="1"/>
  <c r="E487" i="1"/>
  <c r="C487" i="1"/>
  <c r="D497" i="1" s="1"/>
  <c r="L479" i="1"/>
  <c r="K479" i="1"/>
  <c r="J479" i="1"/>
  <c r="I479" i="1"/>
  <c r="H479" i="1"/>
  <c r="G479" i="1"/>
  <c r="F479" i="1"/>
  <c r="M479" i="1"/>
  <c r="M482" i="1"/>
  <c r="L482" i="1"/>
  <c r="K482" i="1"/>
  <c r="J482" i="1"/>
  <c r="I482" i="1"/>
  <c r="H482" i="1"/>
  <c r="G482" i="1"/>
  <c r="F482" i="1"/>
  <c r="M477" i="1"/>
  <c r="L477" i="1"/>
  <c r="K477" i="1"/>
  <c r="J477" i="1"/>
  <c r="I477" i="1"/>
  <c r="H477" i="1"/>
  <c r="G477" i="1"/>
  <c r="F477" i="1"/>
  <c r="C483" i="1"/>
  <c r="D493" i="1" s="1"/>
  <c r="E483" i="1"/>
  <c r="M473" i="1"/>
  <c r="K473" i="1"/>
  <c r="L473" i="1"/>
  <c r="J473" i="1"/>
  <c r="I473" i="1"/>
  <c r="H473" i="1"/>
  <c r="G473" i="1"/>
  <c r="F473" i="1"/>
  <c r="C478" i="1"/>
  <c r="D488" i="1" s="1"/>
  <c r="E478" i="1"/>
  <c r="E481" i="1"/>
  <c r="C481" i="1"/>
  <c r="D491" i="1" s="1"/>
  <c r="E476" i="1"/>
  <c r="C476" i="1"/>
  <c r="D486" i="1" s="1"/>
  <c r="M468" i="1"/>
  <c r="K468" i="1"/>
  <c r="L468" i="1"/>
  <c r="J468" i="1"/>
  <c r="I468" i="1"/>
  <c r="H468" i="1"/>
  <c r="G468" i="1"/>
  <c r="F468" i="1"/>
  <c r="F471" i="1"/>
  <c r="M471" i="1"/>
  <c r="L471" i="1"/>
  <c r="K471" i="1"/>
  <c r="J471" i="1"/>
  <c r="I471" i="1"/>
  <c r="H471" i="1"/>
  <c r="G471" i="1"/>
  <c r="F466" i="1"/>
  <c r="E485" i="1"/>
  <c r="M466" i="1"/>
  <c r="L466" i="1"/>
  <c r="K466" i="1"/>
  <c r="J466" i="1"/>
  <c r="I466" i="1"/>
  <c r="H466" i="1"/>
  <c r="G466" i="1"/>
  <c r="E486" i="1" l="1"/>
  <c r="C486" i="1"/>
  <c r="D496" i="1" s="1"/>
  <c r="E497" i="1"/>
  <c r="C497" i="1"/>
  <c r="D507" i="1" s="1"/>
  <c r="H476" i="1"/>
  <c r="G476" i="1"/>
  <c r="F476" i="1"/>
  <c r="E495" i="1"/>
  <c r="M476" i="1"/>
  <c r="L476" i="1"/>
  <c r="K476" i="1"/>
  <c r="J476" i="1"/>
  <c r="I476" i="1"/>
  <c r="M487" i="1"/>
  <c r="L487" i="1"/>
  <c r="K487" i="1"/>
  <c r="J487" i="1"/>
  <c r="I487" i="1"/>
  <c r="H487" i="1"/>
  <c r="G487" i="1"/>
  <c r="F487" i="1"/>
  <c r="E491" i="1"/>
  <c r="C491" i="1"/>
  <c r="D501" i="1" s="1"/>
  <c r="M492" i="1"/>
  <c r="L492" i="1"/>
  <c r="K492" i="1"/>
  <c r="J492" i="1"/>
  <c r="I492" i="1"/>
  <c r="H492" i="1"/>
  <c r="G492" i="1"/>
  <c r="F492" i="1"/>
  <c r="H481" i="1"/>
  <c r="G481" i="1"/>
  <c r="F481" i="1"/>
  <c r="M481" i="1"/>
  <c r="L481" i="1"/>
  <c r="K481" i="1"/>
  <c r="J481" i="1"/>
  <c r="I481" i="1"/>
  <c r="E502" i="1"/>
  <c r="C502" i="1"/>
  <c r="D512" i="1" s="1"/>
  <c r="M478" i="1"/>
  <c r="L478" i="1"/>
  <c r="K478" i="1"/>
  <c r="J478" i="1"/>
  <c r="I478" i="1"/>
  <c r="H478" i="1"/>
  <c r="G478" i="1"/>
  <c r="F478" i="1"/>
  <c r="E499" i="1"/>
  <c r="C499" i="1"/>
  <c r="D509" i="1" s="1"/>
  <c r="E488" i="1"/>
  <c r="C488" i="1"/>
  <c r="D498" i="1" s="1"/>
  <c r="M489" i="1"/>
  <c r="L489" i="1"/>
  <c r="K489" i="1"/>
  <c r="J489" i="1"/>
  <c r="I489" i="1"/>
  <c r="H489" i="1"/>
  <c r="G489" i="1"/>
  <c r="F489" i="1"/>
  <c r="M483" i="1"/>
  <c r="F483" i="1"/>
  <c r="L483" i="1"/>
  <c r="K483" i="1"/>
  <c r="J483" i="1"/>
  <c r="I483" i="1"/>
  <c r="H483" i="1"/>
  <c r="G483" i="1"/>
  <c r="C500" i="1"/>
  <c r="D510" i="1" s="1"/>
  <c r="E500" i="1"/>
  <c r="E493" i="1"/>
  <c r="C493" i="1"/>
  <c r="D503" i="1" s="1"/>
  <c r="M490" i="1"/>
  <c r="L490" i="1"/>
  <c r="K490" i="1"/>
  <c r="J490" i="1"/>
  <c r="I490" i="1"/>
  <c r="H490" i="1"/>
  <c r="G490" i="1"/>
  <c r="F490" i="1"/>
  <c r="M502" i="1" l="1"/>
  <c r="L502" i="1"/>
  <c r="K502" i="1"/>
  <c r="J502" i="1"/>
  <c r="I502" i="1"/>
  <c r="G502" i="1"/>
  <c r="H502" i="1"/>
  <c r="F502" i="1"/>
  <c r="E503" i="1"/>
  <c r="C503" i="1"/>
  <c r="D513" i="1" s="1"/>
  <c r="E498" i="1"/>
  <c r="C498" i="1"/>
  <c r="D508" i="1" s="1"/>
  <c r="F493" i="1"/>
  <c r="M493" i="1"/>
  <c r="L493" i="1"/>
  <c r="K493" i="1"/>
  <c r="J493" i="1"/>
  <c r="I493" i="1"/>
  <c r="H493" i="1"/>
  <c r="G493" i="1"/>
  <c r="F488" i="1"/>
  <c r="J488" i="1"/>
  <c r="I488" i="1"/>
  <c r="H488" i="1"/>
  <c r="G488" i="1"/>
  <c r="M488" i="1"/>
  <c r="L488" i="1"/>
  <c r="K488" i="1"/>
  <c r="M500" i="1"/>
  <c r="L500" i="1"/>
  <c r="K500" i="1"/>
  <c r="J500" i="1"/>
  <c r="I500" i="1"/>
  <c r="H500" i="1"/>
  <c r="G500" i="1"/>
  <c r="F500" i="1"/>
  <c r="E509" i="1"/>
  <c r="C509" i="1"/>
  <c r="D519" i="1" s="1"/>
  <c r="E510" i="1"/>
  <c r="C510" i="1"/>
  <c r="D520" i="1" s="1"/>
  <c r="M499" i="1"/>
  <c r="L499" i="1"/>
  <c r="K499" i="1"/>
  <c r="J499" i="1"/>
  <c r="I499" i="1"/>
  <c r="H499" i="1"/>
  <c r="G499" i="1"/>
  <c r="F499" i="1"/>
  <c r="E507" i="1"/>
  <c r="C507" i="1"/>
  <c r="D517" i="1" s="1"/>
  <c r="E501" i="1"/>
  <c r="C501" i="1"/>
  <c r="D511" i="1" s="1"/>
  <c r="M497" i="1"/>
  <c r="L497" i="1"/>
  <c r="K497" i="1"/>
  <c r="J497" i="1"/>
  <c r="I497" i="1"/>
  <c r="H497" i="1"/>
  <c r="G497" i="1"/>
  <c r="F497" i="1"/>
  <c r="J491" i="1"/>
  <c r="I491" i="1"/>
  <c r="H491" i="1"/>
  <c r="G491" i="1"/>
  <c r="F491" i="1"/>
  <c r="M491" i="1"/>
  <c r="L491" i="1"/>
  <c r="K491" i="1"/>
  <c r="E496" i="1"/>
  <c r="C496" i="1"/>
  <c r="D506" i="1" s="1"/>
  <c r="E512" i="1"/>
  <c r="C512" i="1"/>
  <c r="D522" i="1" s="1"/>
  <c r="J486" i="1"/>
  <c r="I486" i="1"/>
  <c r="H486" i="1"/>
  <c r="G486" i="1"/>
  <c r="F486" i="1"/>
  <c r="E505" i="1"/>
  <c r="M486" i="1"/>
  <c r="L486" i="1"/>
  <c r="K486" i="1"/>
  <c r="F510" i="1" l="1"/>
  <c r="M510" i="1"/>
  <c r="K510" i="1"/>
  <c r="L510" i="1"/>
  <c r="J510" i="1"/>
  <c r="I510" i="1"/>
  <c r="H510" i="1"/>
  <c r="G510" i="1"/>
  <c r="E519" i="1"/>
  <c r="C519" i="1"/>
  <c r="D529" i="1" s="1"/>
  <c r="M509" i="1"/>
  <c r="L509" i="1"/>
  <c r="K509" i="1"/>
  <c r="J509" i="1"/>
  <c r="I509" i="1"/>
  <c r="H509" i="1"/>
  <c r="G509" i="1"/>
  <c r="F509" i="1"/>
  <c r="E520" i="1"/>
  <c r="C520" i="1"/>
  <c r="D530" i="1" s="1"/>
  <c r="C522" i="1"/>
  <c r="D532" i="1" s="1"/>
  <c r="E522" i="1"/>
  <c r="E511" i="1"/>
  <c r="C511" i="1"/>
  <c r="D521" i="1" s="1"/>
  <c r="E508" i="1"/>
  <c r="C508" i="1"/>
  <c r="D518" i="1" s="1"/>
  <c r="M512" i="1"/>
  <c r="L512" i="1"/>
  <c r="K512" i="1"/>
  <c r="J512" i="1"/>
  <c r="I512" i="1"/>
  <c r="G512" i="1"/>
  <c r="F512" i="1"/>
  <c r="H512" i="1"/>
  <c r="L501" i="1"/>
  <c r="K501" i="1"/>
  <c r="J501" i="1"/>
  <c r="I501" i="1"/>
  <c r="H501" i="1"/>
  <c r="G501" i="1"/>
  <c r="F501" i="1"/>
  <c r="M501" i="1"/>
  <c r="H498" i="1"/>
  <c r="G498" i="1"/>
  <c r="F498" i="1"/>
  <c r="M498" i="1"/>
  <c r="L498" i="1"/>
  <c r="K498" i="1"/>
  <c r="J498" i="1"/>
  <c r="I498" i="1"/>
  <c r="E506" i="1"/>
  <c r="C506" i="1"/>
  <c r="D516" i="1" s="1"/>
  <c r="C517" i="1"/>
  <c r="D527" i="1" s="1"/>
  <c r="E517" i="1"/>
  <c r="E513" i="1"/>
  <c r="C513" i="1"/>
  <c r="D523" i="1" s="1"/>
  <c r="L496" i="1"/>
  <c r="K496" i="1"/>
  <c r="J496" i="1"/>
  <c r="I496" i="1"/>
  <c r="H496" i="1"/>
  <c r="G496" i="1"/>
  <c r="F496" i="1"/>
  <c r="M496" i="1"/>
  <c r="E515" i="1"/>
  <c r="M507" i="1"/>
  <c r="L507" i="1"/>
  <c r="K507" i="1"/>
  <c r="I507" i="1"/>
  <c r="H507" i="1"/>
  <c r="G507" i="1"/>
  <c r="F507" i="1"/>
  <c r="J507" i="1"/>
  <c r="H503" i="1"/>
  <c r="G503" i="1"/>
  <c r="F503" i="1"/>
  <c r="M503" i="1"/>
  <c r="L503" i="1"/>
  <c r="K503" i="1"/>
  <c r="J503" i="1"/>
  <c r="I503" i="1"/>
  <c r="H520" i="1" l="1"/>
  <c r="G520" i="1"/>
  <c r="F520" i="1"/>
  <c r="M520" i="1"/>
  <c r="J520" i="1"/>
  <c r="K520" i="1"/>
  <c r="I520" i="1"/>
  <c r="L520" i="1"/>
  <c r="E523" i="1"/>
  <c r="C523" i="1"/>
  <c r="D533" i="1" s="1"/>
  <c r="J513" i="1"/>
  <c r="I513" i="1"/>
  <c r="H513" i="1"/>
  <c r="G513" i="1"/>
  <c r="F513" i="1"/>
  <c r="L513" i="1"/>
  <c r="M513" i="1"/>
  <c r="K513" i="1"/>
  <c r="M517" i="1"/>
  <c r="L517" i="1"/>
  <c r="K517" i="1"/>
  <c r="I517" i="1"/>
  <c r="F517" i="1"/>
  <c r="J517" i="1"/>
  <c r="H517" i="1"/>
  <c r="G517" i="1"/>
  <c r="E527" i="1"/>
  <c r="C527" i="1"/>
  <c r="D537" i="1" s="1"/>
  <c r="E516" i="1"/>
  <c r="C516" i="1"/>
  <c r="D526" i="1" s="1"/>
  <c r="M506" i="1"/>
  <c r="L506" i="1"/>
  <c r="K506" i="1"/>
  <c r="J506" i="1"/>
  <c r="I506" i="1"/>
  <c r="H506" i="1"/>
  <c r="G506" i="1"/>
  <c r="F506" i="1"/>
  <c r="E525" i="1"/>
  <c r="E529" i="1"/>
  <c r="C529" i="1"/>
  <c r="D539" i="1" s="1"/>
  <c r="M519" i="1"/>
  <c r="L519" i="1"/>
  <c r="K519" i="1"/>
  <c r="J519" i="1"/>
  <c r="I519" i="1"/>
  <c r="H519" i="1"/>
  <c r="G519" i="1"/>
  <c r="F519" i="1"/>
  <c r="E530" i="1"/>
  <c r="C530" i="1"/>
  <c r="D540" i="1" s="1"/>
  <c r="E518" i="1"/>
  <c r="C518" i="1"/>
  <c r="D528" i="1" s="1"/>
  <c r="J508" i="1"/>
  <c r="I508" i="1"/>
  <c r="H508" i="1"/>
  <c r="G508" i="1"/>
  <c r="F508" i="1"/>
  <c r="M508" i="1"/>
  <c r="L508" i="1"/>
  <c r="K508" i="1"/>
  <c r="E521" i="1"/>
  <c r="C521" i="1"/>
  <c r="D531" i="1" s="1"/>
  <c r="M511" i="1"/>
  <c r="L511" i="1"/>
  <c r="K511" i="1"/>
  <c r="J511" i="1"/>
  <c r="I511" i="1"/>
  <c r="H511" i="1"/>
  <c r="G511" i="1"/>
  <c r="F511" i="1"/>
  <c r="M522" i="1"/>
  <c r="L522" i="1"/>
  <c r="K522" i="1"/>
  <c r="J522" i="1"/>
  <c r="I522" i="1"/>
  <c r="F522" i="1"/>
  <c r="H522" i="1"/>
  <c r="G522" i="1"/>
  <c r="E532" i="1"/>
  <c r="C532" i="1"/>
  <c r="D542" i="1" s="1"/>
  <c r="M529" i="1" l="1"/>
  <c r="L529" i="1"/>
  <c r="K529" i="1"/>
  <c r="J529" i="1"/>
  <c r="I529" i="1"/>
  <c r="H529" i="1"/>
  <c r="G529" i="1"/>
  <c r="F529" i="1"/>
  <c r="E528" i="1"/>
  <c r="C528" i="1"/>
  <c r="D538" i="1" s="1"/>
  <c r="L518" i="1"/>
  <c r="K518" i="1"/>
  <c r="J518" i="1"/>
  <c r="I518" i="1"/>
  <c r="H518" i="1"/>
  <c r="G518" i="1"/>
  <c r="F518" i="1"/>
  <c r="M518" i="1"/>
  <c r="E540" i="1"/>
  <c r="C540" i="1"/>
  <c r="D550" i="1" s="1"/>
  <c r="J530" i="1"/>
  <c r="I530" i="1"/>
  <c r="H530" i="1"/>
  <c r="G530" i="1"/>
  <c r="F530" i="1"/>
  <c r="M530" i="1"/>
  <c r="L530" i="1"/>
  <c r="K530" i="1"/>
  <c r="E526" i="1"/>
  <c r="C526" i="1"/>
  <c r="D536" i="1" s="1"/>
  <c r="E533" i="1"/>
  <c r="C533" i="1"/>
  <c r="D543" i="1" s="1"/>
  <c r="M516" i="1"/>
  <c r="L516" i="1"/>
  <c r="K516" i="1"/>
  <c r="J516" i="1"/>
  <c r="I516" i="1"/>
  <c r="H516" i="1"/>
  <c r="G516" i="1"/>
  <c r="F516" i="1"/>
  <c r="E535" i="1"/>
  <c r="L523" i="1"/>
  <c r="K523" i="1"/>
  <c r="J523" i="1"/>
  <c r="I523" i="1"/>
  <c r="H523" i="1"/>
  <c r="G523" i="1"/>
  <c r="F523" i="1"/>
  <c r="M523" i="1"/>
  <c r="E537" i="1"/>
  <c r="C537" i="1"/>
  <c r="D547" i="1" s="1"/>
  <c r="F527" i="1"/>
  <c r="M527" i="1"/>
  <c r="L527" i="1"/>
  <c r="K527" i="1"/>
  <c r="H527" i="1"/>
  <c r="J527" i="1"/>
  <c r="I527" i="1"/>
  <c r="G527" i="1"/>
  <c r="E531" i="1"/>
  <c r="C531" i="1"/>
  <c r="D541" i="1" s="1"/>
  <c r="M521" i="1"/>
  <c r="L521" i="1"/>
  <c r="K521" i="1"/>
  <c r="J521" i="1"/>
  <c r="I521" i="1"/>
  <c r="H521" i="1"/>
  <c r="G521" i="1"/>
  <c r="F521" i="1"/>
  <c r="F532" i="1"/>
  <c r="M532" i="1"/>
  <c r="L532" i="1"/>
  <c r="K532" i="1"/>
  <c r="J532" i="1"/>
  <c r="I532" i="1"/>
  <c r="H532" i="1"/>
  <c r="G532" i="1"/>
  <c r="E542" i="1"/>
  <c r="C542" i="1"/>
  <c r="D552" i="1" s="1"/>
  <c r="C539" i="1"/>
  <c r="D549" i="1" s="1"/>
  <c r="E539" i="1"/>
  <c r="E552" i="1" l="1"/>
  <c r="C552" i="1"/>
  <c r="D562" i="1" s="1"/>
  <c r="L540" i="1"/>
  <c r="K540" i="1"/>
  <c r="J540" i="1"/>
  <c r="I540" i="1"/>
  <c r="H540" i="1"/>
  <c r="G540" i="1"/>
  <c r="F540" i="1"/>
  <c r="M540" i="1"/>
  <c r="H542" i="1"/>
  <c r="G542" i="1"/>
  <c r="F542" i="1"/>
  <c r="M542" i="1"/>
  <c r="L542" i="1"/>
  <c r="K542" i="1"/>
  <c r="J542" i="1"/>
  <c r="I542" i="1"/>
  <c r="M531" i="1"/>
  <c r="L531" i="1"/>
  <c r="K531" i="1"/>
  <c r="J531" i="1"/>
  <c r="I531" i="1"/>
  <c r="H531" i="1"/>
  <c r="G531" i="1"/>
  <c r="F531" i="1"/>
  <c r="E550" i="1"/>
  <c r="C550" i="1"/>
  <c r="D560" i="1" s="1"/>
  <c r="E543" i="1"/>
  <c r="C543" i="1"/>
  <c r="D553" i="1" s="1"/>
  <c r="E547" i="1"/>
  <c r="C547" i="1"/>
  <c r="D557" i="1" s="1"/>
  <c r="M533" i="1"/>
  <c r="L533" i="1"/>
  <c r="K533" i="1"/>
  <c r="J533" i="1"/>
  <c r="I533" i="1"/>
  <c r="H533" i="1"/>
  <c r="G533" i="1"/>
  <c r="F533" i="1"/>
  <c r="H537" i="1"/>
  <c r="G537" i="1"/>
  <c r="F537" i="1"/>
  <c r="M537" i="1"/>
  <c r="L537" i="1"/>
  <c r="K537" i="1"/>
  <c r="J537" i="1"/>
  <c r="I537" i="1"/>
  <c r="E536" i="1"/>
  <c r="C536" i="1"/>
  <c r="D546" i="1" s="1"/>
  <c r="E538" i="1"/>
  <c r="C538" i="1"/>
  <c r="D548" i="1" s="1"/>
  <c r="E545" i="1"/>
  <c r="M526" i="1"/>
  <c r="L526" i="1"/>
  <c r="K526" i="1"/>
  <c r="J526" i="1"/>
  <c r="I526" i="1"/>
  <c r="H526" i="1"/>
  <c r="G526" i="1"/>
  <c r="F526" i="1"/>
  <c r="M528" i="1"/>
  <c r="L528" i="1"/>
  <c r="K528" i="1"/>
  <c r="J528" i="1"/>
  <c r="I528" i="1"/>
  <c r="H528" i="1"/>
  <c r="G528" i="1"/>
  <c r="F528" i="1"/>
  <c r="E549" i="1"/>
  <c r="C549" i="1"/>
  <c r="D559" i="1" s="1"/>
  <c r="M539" i="1"/>
  <c r="L539" i="1"/>
  <c r="K539" i="1"/>
  <c r="J539" i="1"/>
  <c r="I539" i="1"/>
  <c r="H539" i="1"/>
  <c r="G539" i="1"/>
  <c r="F539" i="1"/>
  <c r="E541" i="1"/>
  <c r="C541" i="1"/>
  <c r="D551" i="1" s="1"/>
  <c r="E548" i="1" l="1"/>
  <c r="C548" i="1"/>
  <c r="D558" i="1" s="1"/>
  <c r="E557" i="1"/>
  <c r="C557" i="1"/>
  <c r="D567" i="1" s="1"/>
  <c r="E559" i="1"/>
  <c r="C559" i="1"/>
  <c r="D569" i="1" s="1"/>
  <c r="M538" i="1"/>
  <c r="L538" i="1"/>
  <c r="K538" i="1"/>
  <c r="J538" i="1"/>
  <c r="I538" i="1"/>
  <c r="H538" i="1"/>
  <c r="G538" i="1"/>
  <c r="F538" i="1"/>
  <c r="J547" i="1"/>
  <c r="I547" i="1"/>
  <c r="H547" i="1"/>
  <c r="G547" i="1"/>
  <c r="F547" i="1"/>
  <c r="M547" i="1"/>
  <c r="L547" i="1"/>
  <c r="K547" i="1"/>
  <c r="F549" i="1"/>
  <c r="M549" i="1"/>
  <c r="L549" i="1"/>
  <c r="K549" i="1"/>
  <c r="J549" i="1"/>
  <c r="I549" i="1"/>
  <c r="H549" i="1"/>
  <c r="G549" i="1"/>
  <c r="E546" i="1"/>
  <c r="C546" i="1"/>
  <c r="D556" i="1" s="1"/>
  <c r="E553" i="1"/>
  <c r="C553" i="1"/>
  <c r="D563" i="1" s="1"/>
  <c r="E555" i="1"/>
  <c r="M536" i="1"/>
  <c r="L536" i="1"/>
  <c r="K536" i="1"/>
  <c r="J536" i="1"/>
  <c r="I536" i="1"/>
  <c r="H536" i="1"/>
  <c r="G536" i="1"/>
  <c r="F536" i="1"/>
  <c r="M543" i="1"/>
  <c r="L543" i="1"/>
  <c r="K543" i="1"/>
  <c r="J543" i="1"/>
  <c r="I543" i="1"/>
  <c r="H543" i="1"/>
  <c r="G543" i="1"/>
  <c r="F543" i="1"/>
  <c r="E560" i="1"/>
  <c r="C560" i="1"/>
  <c r="D570" i="1" s="1"/>
  <c r="M550" i="1"/>
  <c r="L550" i="1"/>
  <c r="K550" i="1"/>
  <c r="J550" i="1"/>
  <c r="I550" i="1"/>
  <c r="H550" i="1"/>
  <c r="G550" i="1"/>
  <c r="F550" i="1"/>
  <c r="M541" i="1"/>
  <c r="L541" i="1"/>
  <c r="K541" i="1"/>
  <c r="J541" i="1"/>
  <c r="I541" i="1"/>
  <c r="H541" i="1"/>
  <c r="G541" i="1"/>
  <c r="F541" i="1"/>
  <c r="E562" i="1"/>
  <c r="C562" i="1"/>
  <c r="D572" i="1" s="1"/>
  <c r="E551" i="1"/>
  <c r="C551" i="1"/>
  <c r="D561" i="1" s="1"/>
  <c r="J552" i="1"/>
  <c r="I552" i="1"/>
  <c r="H552" i="1"/>
  <c r="G552" i="1"/>
  <c r="F552" i="1"/>
  <c r="M552" i="1"/>
  <c r="L552" i="1"/>
  <c r="K552" i="1"/>
  <c r="E563" i="1" l="1"/>
  <c r="C563" i="1"/>
  <c r="D573" i="1" s="1"/>
  <c r="C561" i="1"/>
  <c r="D571" i="1" s="1"/>
  <c r="E561" i="1"/>
  <c r="E570" i="1"/>
  <c r="C570" i="1"/>
  <c r="D580" i="1" s="1"/>
  <c r="M553" i="1"/>
  <c r="L553" i="1"/>
  <c r="K553" i="1"/>
  <c r="J553" i="1"/>
  <c r="I553" i="1"/>
  <c r="H553" i="1"/>
  <c r="G553" i="1"/>
  <c r="F553" i="1"/>
  <c r="M551" i="1"/>
  <c r="L551" i="1"/>
  <c r="K551" i="1"/>
  <c r="J551" i="1"/>
  <c r="I551" i="1"/>
  <c r="H551" i="1"/>
  <c r="G551" i="1"/>
  <c r="F551" i="1"/>
  <c r="M560" i="1"/>
  <c r="L560" i="1"/>
  <c r="K560" i="1"/>
  <c r="J560" i="1"/>
  <c r="I560" i="1"/>
  <c r="H560" i="1"/>
  <c r="G560" i="1"/>
  <c r="F560" i="1"/>
  <c r="C556" i="1"/>
  <c r="D566" i="1" s="1"/>
  <c r="E556" i="1"/>
  <c r="E572" i="1"/>
  <c r="C572" i="1"/>
  <c r="D582" i="1" s="1"/>
  <c r="E565" i="1"/>
  <c r="M546" i="1"/>
  <c r="L546" i="1"/>
  <c r="K546" i="1"/>
  <c r="J546" i="1"/>
  <c r="I546" i="1"/>
  <c r="H546" i="1"/>
  <c r="G546" i="1"/>
  <c r="F546" i="1"/>
  <c r="L562" i="1"/>
  <c r="K562" i="1"/>
  <c r="J562" i="1"/>
  <c r="I562" i="1"/>
  <c r="H562" i="1"/>
  <c r="G562" i="1"/>
  <c r="F562" i="1"/>
  <c r="M562" i="1"/>
  <c r="E569" i="1"/>
  <c r="C569" i="1"/>
  <c r="D579" i="1" s="1"/>
  <c r="H559" i="1"/>
  <c r="G559" i="1"/>
  <c r="F559" i="1"/>
  <c r="M559" i="1"/>
  <c r="L559" i="1"/>
  <c r="K559" i="1"/>
  <c r="J559" i="1"/>
  <c r="I559" i="1"/>
  <c r="E567" i="1"/>
  <c r="C567" i="1"/>
  <c r="D577" i="1" s="1"/>
  <c r="L557" i="1"/>
  <c r="K557" i="1"/>
  <c r="J557" i="1"/>
  <c r="I557" i="1"/>
  <c r="H557" i="1"/>
  <c r="G557" i="1"/>
  <c r="F557" i="1"/>
  <c r="M557" i="1"/>
  <c r="E558" i="1"/>
  <c r="C558" i="1"/>
  <c r="D568" i="1" s="1"/>
  <c r="M548" i="1"/>
  <c r="L548" i="1"/>
  <c r="K548" i="1"/>
  <c r="J548" i="1"/>
  <c r="I548" i="1"/>
  <c r="H548" i="1"/>
  <c r="G548" i="1"/>
  <c r="F548" i="1"/>
  <c r="E582" i="1" l="1"/>
  <c r="C582" i="1"/>
  <c r="D592" i="1" s="1"/>
  <c r="E568" i="1"/>
  <c r="C568" i="1"/>
  <c r="D578" i="1" s="1"/>
  <c r="E579" i="1"/>
  <c r="C579" i="1"/>
  <c r="D589" i="1" s="1"/>
  <c r="M572" i="1"/>
  <c r="L572" i="1"/>
  <c r="K572" i="1"/>
  <c r="J572" i="1"/>
  <c r="I572" i="1"/>
  <c r="H572" i="1"/>
  <c r="G572" i="1"/>
  <c r="F572" i="1"/>
  <c r="M558" i="1"/>
  <c r="L558" i="1"/>
  <c r="K558" i="1"/>
  <c r="J558" i="1"/>
  <c r="I558" i="1"/>
  <c r="H558" i="1"/>
  <c r="G558" i="1"/>
  <c r="F558" i="1"/>
  <c r="J569" i="1"/>
  <c r="I569" i="1"/>
  <c r="H569" i="1"/>
  <c r="G569" i="1"/>
  <c r="F569" i="1"/>
  <c r="M569" i="1"/>
  <c r="L569" i="1"/>
  <c r="K569" i="1"/>
  <c r="E575" i="1"/>
  <c r="M556" i="1"/>
  <c r="L556" i="1"/>
  <c r="K556" i="1"/>
  <c r="J556" i="1"/>
  <c r="I556" i="1"/>
  <c r="H556" i="1"/>
  <c r="G556" i="1"/>
  <c r="F556" i="1"/>
  <c r="E566" i="1"/>
  <c r="C566" i="1"/>
  <c r="D576" i="1" s="1"/>
  <c r="E580" i="1"/>
  <c r="C580" i="1"/>
  <c r="D590" i="1" s="1"/>
  <c r="M570" i="1"/>
  <c r="L570" i="1"/>
  <c r="K570" i="1"/>
  <c r="J570" i="1"/>
  <c r="I570" i="1"/>
  <c r="H570" i="1"/>
  <c r="G570" i="1"/>
  <c r="F570" i="1"/>
  <c r="M561" i="1"/>
  <c r="L561" i="1"/>
  <c r="K561" i="1"/>
  <c r="J561" i="1"/>
  <c r="I561" i="1"/>
  <c r="H561" i="1"/>
  <c r="G561" i="1"/>
  <c r="F561" i="1"/>
  <c r="E577" i="1"/>
  <c r="C577" i="1"/>
  <c r="D587" i="1" s="1"/>
  <c r="E571" i="1"/>
  <c r="C571" i="1"/>
  <c r="D581" i="1" s="1"/>
  <c r="M567" i="1"/>
  <c r="L567" i="1"/>
  <c r="K567" i="1"/>
  <c r="J567" i="1"/>
  <c r="I567" i="1"/>
  <c r="H567" i="1"/>
  <c r="G567" i="1"/>
  <c r="F567" i="1"/>
  <c r="E573" i="1"/>
  <c r="C573" i="1"/>
  <c r="D583" i="1" s="1"/>
  <c r="M563" i="1"/>
  <c r="L563" i="1"/>
  <c r="K563" i="1"/>
  <c r="J563" i="1"/>
  <c r="I563" i="1"/>
  <c r="H563" i="1"/>
  <c r="G563" i="1"/>
  <c r="F563" i="1"/>
  <c r="F566" i="1" l="1"/>
  <c r="E585" i="1"/>
  <c r="M566" i="1"/>
  <c r="L566" i="1"/>
  <c r="K566" i="1"/>
  <c r="J566" i="1"/>
  <c r="I566" i="1"/>
  <c r="H566" i="1"/>
  <c r="G566" i="1"/>
  <c r="C583" i="1"/>
  <c r="D593" i="1" s="1"/>
  <c r="E583" i="1"/>
  <c r="M573" i="1"/>
  <c r="L573" i="1"/>
  <c r="K573" i="1"/>
  <c r="J573" i="1"/>
  <c r="I573" i="1"/>
  <c r="H573" i="1"/>
  <c r="G573" i="1"/>
  <c r="F573" i="1"/>
  <c r="E589" i="1"/>
  <c r="C589" i="1"/>
  <c r="D599" i="1" s="1"/>
  <c r="L579" i="1"/>
  <c r="K579" i="1"/>
  <c r="J579" i="1"/>
  <c r="I579" i="1"/>
  <c r="H579" i="1"/>
  <c r="G579" i="1"/>
  <c r="F579" i="1"/>
  <c r="M579" i="1"/>
  <c r="C578" i="1"/>
  <c r="D588" i="1" s="1"/>
  <c r="E578" i="1"/>
  <c r="M577" i="1"/>
  <c r="L577" i="1"/>
  <c r="K577" i="1"/>
  <c r="J577" i="1"/>
  <c r="I577" i="1"/>
  <c r="H577" i="1"/>
  <c r="G577" i="1"/>
  <c r="F577" i="1"/>
  <c r="E581" i="1"/>
  <c r="C581" i="1"/>
  <c r="D591" i="1" s="1"/>
  <c r="E590" i="1"/>
  <c r="C590" i="1"/>
  <c r="D600" i="1" s="1"/>
  <c r="M568" i="1"/>
  <c r="L568" i="1"/>
  <c r="K568" i="1"/>
  <c r="J568" i="1"/>
  <c r="I568" i="1"/>
  <c r="H568" i="1"/>
  <c r="G568" i="1"/>
  <c r="F568" i="1"/>
  <c r="F571" i="1"/>
  <c r="M571" i="1"/>
  <c r="L571" i="1"/>
  <c r="K571" i="1"/>
  <c r="J571" i="1"/>
  <c r="I571" i="1"/>
  <c r="H571" i="1"/>
  <c r="G571" i="1"/>
  <c r="M580" i="1"/>
  <c r="L580" i="1"/>
  <c r="K580" i="1"/>
  <c r="J580" i="1"/>
  <c r="I580" i="1"/>
  <c r="H580" i="1"/>
  <c r="G580" i="1"/>
  <c r="F580" i="1"/>
  <c r="E592" i="1"/>
  <c r="C592" i="1"/>
  <c r="D602" i="1" s="1"/>
  <c r="E587" i="1"/>
  <c r="C587" i="1"/>
  <c r="D597" i="1" s="1"/>
  <c r="E576" i="1"/>
  <c r="C576" i="1"/>
  <c r="D586" i="1" s="1"/>
  <c r="M582" i="1"/>
  <c r="L582" i="1"/>
  <c r="K582" i="1"/>
  <c r="J582" i="1"/>
  <c r="I582" i="1"/>
  <c r="H582" i="1"/>
  <c r="G582" i="1"/>
  <c r="F582" i="1"/>
  <c r="H581" i="1" l="1"/>
  <c r="G581" i="1"/>
  <c r="F581" i="1"/>
  <c r="M581" i="1"/>
  <c r="L581" i="1"/>
  <c r="K581" i="1"/>
  <c r="J581" i="1"/>
  <c r="I581" i="1"/>
  <c r="E586" i="1"/>
  <c r="C586" i="1"/>
  <c r="D596" i="1" s="1"/>
  <c r="H576" i="1"/>
  <c r="G576" i="1"/>
  <c r="F576" i="1"/>
  <c r="E595" i="1"/>
  <c r="M576" i="1"/>
  <c r="L576" i="1"/>
  <c r="K576" i="1"/>
  <c r="J576" i="1"/>
  <c r="I576" i="1"/>
  <c r="E597" i="1"/>
  <c r="C597" i="1"/>
  <c r="D607" i="1" s="1"/>
  <c r="M578" i="1"/>
  <c r="L578" i="1"/>
  <c r="K578" i="1"/>
  <c r="J578" i="1"/>
  <c r="I578" i="1"/>
  <c r="H578" i="1"/>
  <c r="G578" i="1"/>
  <c r="F578" i="1"/>
  <c r="M583" i="1"/>
  <c r="L583" i="1"/>
  <c r="K583" i="1"/>
  <c r="J583" i="1"/>
  <c r="I583" i="1"/>
  <c r="H583" i="1"/>
  <c r="G583" i="1"/>
  <c r="F583" i="1"/>
  <c r="M587" i="1"/>
  <c r="L587" i="1"/>
  <c r="K587" i="1"/>
  <c r="J587" i="1"/>
  <c r="I587" i="1"/>
  <c r="H587" i="1"/>
  <c r="G587" i="1"/>
  <c r="F587" i="1"/>
  <c r="E588" i="1"/>
  <c r="C588" i="1"/>
  <c r="D598" i="1" s="1"/>
  <c r="E593" i="1"/>
  <c r="C593" i="1"/>
  <c r="D603" i="1" s="1"/>
  <c r="C602" i="1"/>
  <c r="D612" i="1" s="1"/>
  <c r="E602" i="1"/>
  <c r="M592" i="1"/>
  <c r="L592" i="1"/>
  <c r="K592" i="1"/>
  <c r="J592" i="1"/>
  <c r="I592" i="1"/>
  <c r="H592" i="1"/>
  <c r="G592" i="1"/>
  <c r="F592" i="1"/>
  <c r="M589" i="1"/>
  <c r="L589" i="1"/>
  <c r="K589" i="1"/>
  <c r="J589" i="1"/>
  <c r="I589" i="1"/>
  <c r="H589" i="1"/>
  <c r="G589" i="1"/>
  <c r="F589" i="1"/>
  <c r="E600" i="1"/>
  <c r="C600" i="1"/>
  <c r="D610" i="1" s="1"/>
  <c r="M590" i="1"/>
  <c r="L590" i="1"/>
  <c r="K590" i="1"/>
  <c r="J590" i="1"/>
  <c r="I590" i="1"/>
  <c r="H590" i="1"/>
  <c r="G590" i="1"/>
  <c r="F590" i="1"/>
  <c r="E591" i="1"/>
  <c r="C591" i="1"/>
  <c r="D601" i="1" s="1"/>
  <c r="E599" i="1"/>
  <c r="C599" i="1"/>
  <c r="D609" i="1" s="1"/>
  <c r="E601" i="1" l="1"/>
  <c r="C601" i="1"/>
  <c r="D611" i="1" s="1"/>
  <c r="J591" i="1"/>
  <c r="I591" i="1"/>
  <c r="H591" i="1"/>
  <c r="G591" i="1"/>
  <c r="F591" i="1"/>
  <c r="M591" i="1"/>
  <c r="L591" i="1"/>
  <c r="K591" i="1"/>
  <c r="M599" i="1"/>
  <c r="K599" i="1"/>
  <c r="L599" i="1"/>
  <c r="J599" i="1"/>
  <c r="I599" i="1"/>
  <c r="H599" i="1"/>
  <c r="G599" i="1"/>
  <c r="F599" i="1"/>
  <c r="M597" i="1"/>
  <c r="L597" i="1"/>
  <c r="K597" i="1"/>
  <c r="J597" i="1"/>
  <c r="I597" i="1"/>
  <c r="H597" i="1"/>
  <c r="G597" i="1"/>
  <c r="F597" i="1"/>
  <c r="H602" i="1"/>
  <c r="G602" i="1"/>
  <c r="F602" i="1"/>
  <c r="M602" i="1"/>
  <c r="L602" i="1"/>
  <c r="K602" i="1"/>
  <c r="J602" i="1"/>
  <c r="I602" i="1"/>
  <c r="E612" i="1"/>
  <c r="C612" i="1"/>
  <c r="D622" i="1" s="1"/>
  <c r="E596" i="1"/>
  <c r="C596" i="1"/>
  <c r="D606" i="1" s="1"/>
  <c r="E610" i="1"/>
  <c r="C610" i="1"/>
  <c r="D620" i="1" s="1"/>
  <c r="E603" i="1"/>
  <c r="C603" i="1"/>
  <c r="D613" i="1" s="1"/>
  <c r="J586" i="1"/>
  <c r="I586" i="1"/>
  <c r="H586" i="1"/>
  <c r="G586" i="1"/>
  <c r="F586" i="1"/>
  <c r="E605" i="1"/>
  <c r="M586" i="1"/>
  <c r="L586" i="1"/>
  <c r="K586" i="1"/>
  <c r="G600" i="1"/>
  <c r="F600" i="1"/>
  <c r="M600" i="1"/>
  <c r="L600" i="1"/>
  <c r="K600" i="1"/>
  <c r="J600" i="1"/>
  <c r="I600" i="1"/>
  <c r="H600" i="1"/>
  <c r="F593" i="1"/>
  <c r="M593" i="1"/>
  <c r="L593" i="1"/>
  <c r="K593" i="1"/>
  <c r="J593" i="1"/>
  <c r="I593" i="1"/>
  <c r="H593" i="1"/>
  <c r="G593" i="1"/>
  <c r="E598" i="1"/>
  <c r="C598" i="1"/>
  <c r="D608" i="1" s="1"/>
  <c r="F588" i="1"/>
  <c r="M588" i="1"/>
  <c r="L588" i="1"/>
  <c r="K588" i="1"/>
  <c r="J588" i="1"/>
  <c r="I588" i="1"/>
  <c r="H588" i="1"/>
  <c r="G588" i="1"/>
  <c r="E609" i="1"/>
  <c r="C609" i="1"/>
  <c r="D619" i="1" s="1"/>
  <c r="E607" i="1"/>
  <c r="C607" i="1"/>
  <c r="D617" i="1" s="1"/>
  <c r="C619" i="1" l="1"/>
  <c r="D629" i="1" s="1"/>
  <c r="E619" i="1"/>
  <c r="J610" i="1"/>
  <c r="I610" i="1"/>
  <c r="G610" i="1"/>
  <c r="M610" i="1"/>
  <c r="L610" i="1"/>
  <c r="K610" i="1"/>
  <c r="H610" i="1"/>
  <c r="F610" i="1"/>
  <c r="M609" i="1"/>
  <c r="L609" i="1"/>
  <c r="K609" i="1"/>
  <c r="J609" i="1"/>
  <c r="I609" i="1"/>
  <c r="H609" i="1"/>
  <c r="G609" i="1"/>
  <c r="F609" i="1"/>
  <c r="E606" i="1"/>
  <c r="C606" i="1"/>
  <c r="D616" i="1" s="1"/>
  <c r="L596" i="1"/>
  <c r="K596" i="1"/>
  <c r="J596" i="1"/>
  <c r="I596" i="1"/>
  <c r="H596" i="1"/>
  <c r="G596" i="1"/>
  <c r="F596" i="1"/>
  <c r="E615" i="1"/>
  <c r="M596" i="1"/>
  <c r="E622" i="1"/>
  <c r="C622" i="1"/>
  <c r="D632" i="1" s="1"/>
  <c r="F612" i="1"/>
  <c r="M612" i="1"/>
  <c r="L612" i="1"/>
  <c r="K612" i="1"/>
  <c r="J612" i="1"/>
  <c r="I612" i="1"/>
  <c r="H612" i="1"/>
  <c r="G612" i="1"/>
  <c r="E620" i="1"/>
  <c r="C620" i="1"/>
  <c r="D630" i="1" s="1"/>
  <c r="E608" i="1"/>
  <c r="C608" i="1"/>
  <c r="D618" i="1" s="1"/>
  <c r="H598" i="1"/>
  <c r="G598" i="1"/>
  <c r="F598" i="1"/>
  <c r="M598" i="1"/>
  <c r="L598" i="1"/>
  <c r="K598" i="1"/>
  <c r="J598" i="1"/>
  <c r="I598" i="1"/>
  <c r="M607" i="1"/>
  <c r="L607" i="1"/>
  <c r="K607" i="1"/>
  <c r="J607" i="1"/>
  <c r="I607" i="1"/>
  <c r="H607" i="1"/>
  <c r="G607" i="1"/>
  <c r="F607" i="1"/>
  <c r="E613" i="1"/>
  <c r="C613" i="1"/>
  <c r="D623" i="1" s="1"/>
  <c r="C611" i="1"/>
  <c r="D621" i="1" s="1"/>
  <c r="E611" i="1"/>
  <c r="E617" i="1"/>
  <c r="C617" i="1"/>
  <c r="D627" i="1" s="1"/>
  <c r="K603" i="1"/>
  <c r="I603" i="1"/>
  <c r="G603" i="1"/>
  <c r="M603" i="1"/>
  <c r="L603" i="1"/>
  <c r="J603" i="1"/>
  <c r="H603" i="1"/>
  <c r="F603" i="1"/>
  <c r="M601" i="1"/>
  <c r="K601" i="1"/>
  <c r="I601" i="1"/>
  <c r="G601" i="1"/>
  <c r="L601" i="1"/>
  <c r="J601" i="1"/>
  <c r="H601" i="1"/>
  <c r="F601" i="1"/>
  <c r="E625" i="1" l="1"/>
  <c r="M606" i="1"/>
  <c r="K606" i="1"/>
  <c r="I606" i="1"/>
  <c r="G606" i="1"/>
  <c r="F606" i="1"/>
  <c r="L606" i="1"/>
  <c r="J606" i="1"/>
  <c r="H606" i="1"/>
  <c r="E632" i="1"/>
  <c r="C632" i="1"/>
  <c r="D642" i="1" s="1"/>
  <c r="H622" i="1"/>
  <c r="G622" i="1"/>
  <c r="F622" i="1"/>
  <c r="M622" i="1"/>
  <c r="L622" i="1"/>
  <c r="K622" i="1"/>
  <c r="J622" i="1"/>
  <c r="I622" i="1"/>
  <c r="M613" i="1"/>
  <c r="K613" i="1"/>
  <c r="I613" i="1"/>
  <c r="G613" i="1"/>
  <c r="F613" i="1"/>
  <c r="L613" i="1"/>
  <c r="J613" i="1"/>
  <c r="H613" i="1"/>
  <c r="E627" i="1"/>
  <c r="C627" i="1"/>
  <c r="D637" i="1" s="1"/>
  <c r="H617" i="1"/>
  <c r="G617" i="1"/>
  <c r="J617" i="1"/>
  <c r="I617" i="1"/>
  <c r="F617" i="1"/>
  <c r="M617" i="1"/>
  <c r="L617" i="1"/>
  <c r="K617" i="1"/>
  <c r="E616" i="1"/>
  <c r="C616" i="1"/>
  <c r="D626" i="1" s="1"/>
  <c r="M611" i="1"/>
  <c r="K611" i="1"/>
  <c r="I611" i="1"/>
  <c r="L611" i="1"/>
  <c r="J611" i="1"/>
  <c r="H611" i="1"/>
  <c r="G611" i="1"/>
  <c r="F611" i="1"/>
  <c r="E618" i="1"/>
  <c r="C618" i="1"/>
  <c r="D628" i="1" s="1"/>
  <c r="L620" i="1"/>
  <c r="K620" i="1"/>
  <c r="J620" i="1"/>
  <c r="I620" i="1"/>
  <c r="H620" i="1"/>
  <c r="G620" i="1"/>
  <c r="F620" i="1"/>
  <c r="M620" i="1"/>
  <c r="E621" i="1"/>
  <c r="C621" i="1"/>
  <c r="D631" i="1" s="1"/>
  <c r="M608" i="1"/>
  <c r="K608" i="1"/>
  <c r="I608" i="1"/>
  <c r="G608" i="1"/>
  <c r="L608" i="1"/>
  <c r="J608" i="1"/>
  <c r="H608" i="1"/>
  <c r="F608" i="1"/>
  <c r="M619" i="1"/>
  <c r="L619" i="1"/>
  <c r="K619" i="1"/>
  <c r="J619" i="1"/>
  <c r="I619" i="1"/>
  <c r="H619" i="1"/>
  <c r="G619" i="1"/>
  <c r="F619" i="1"/>
  <c r="E623" i="1"/>
  <c r="C623" i="1"/>
  <c r="D633" i="1" s="1"/>
  <c r="E630" i="1"/>
  <c r="C630" i="1"/>
  <c r="D640" i="1" s="1"/>
  <c r="E629" i="1"/>
  <c r="C629" i="1"/>
  <c r="D639" i="1" s="1"/>
  <c r="E640" i="1" l="1"/>
  <c r="C640" i="1"/>
  <c r="D650" i="1" s="1"/>
  <c r="E631" i="1"/>
  <c r="C631" i="1"/>
  <c r="D641" i="1" s="1"/>
  <c r="E626" i="1"/>
  <c r="C626" i="1"/>
  <c r="D636" i="1" s="1"/>
  <c r="M630" i="1"/>
  <c r="L630" i="1"/>
  <c r="K630" i="1"/>
  <c r="J630" i="1"/>
  <c r="I630" i="1"/>
  <c r="H630" i="1"/>
  <c r="G630" i="1"/>
  <c r="F630" i="1"/>
  <c r="M621" i="1"/>
  <c r="L621" i="1"/>
  <c r="K621" i="1"/>
  <c r="J621" i="1"/>
  <c r="I621" i="1"/>
  <c r="H621" i="1"/>
  <c r="G621" i="1"/>
  <c r="F621" i="1"/>
  <c r="E635" i="1"/>
  <c r="M616" i="1"/>
  <c r="K616" i="1"/>
  <c r="L616" i="1"/>
  <c r="J616" i="1"/>
  <c r="I616" i="1"/>
  <c r="H616" i="1"/>
  <c r="G616" i="1"/>
  <c r="F616" i="1"/>
  <c r="E633" i="1"/>
  <c r="C633" i="1"/>
  <c r="D643" i="1" s="1"/>
  <c r="M623" i="1"/>
  <c r="L623" i="1"/>
  <c r="K623" i="1"/>
  <c r="J623" i="1"/>
  <c r="I623" i="1"/>
  <c r="H623" i="1"/>
  <c r="G623" i="1"/>
  <c r="F623" i="1"/>
  <c r="E642" i="1"/>
  <c r="C642" i="1"/>
  <c r="D652" i="1" s="1"/>
  <c r="J632" i="1"/>
  <c r="I632" i="1"/>
  <c r="H632" i="1"/>
  <c r="G632" i="1"/>
  <c r="F632" i="1"/>
  <c r="M632" i="1"/>
  <c r="L632" i="1"/>
  <c r="K632" i="1"/>
  <c r="E628" i="1"/>
  <c r="C628" i="1"/>
  <c r="D638" i="1" s="1"/>
  <c r="E637" i="1"/>
  <c r="C637" i="1"/>
  <c r="D647" i="1" s="1"/>
  <c r="M618" i="1"/>
  <c r="L618" i="1"/>
  <c r="K618" i="1"/>
  <c r="J618" i="1"/>
  <c r="I618" i="1"/>
  <c r="G618" i="1"/>
  <c r="H618" i="1"/>
  <c r="F618" i="1"/>
  <c r="J627" i="1"/>
  <c r="I627" i="1"/>
  <c r="H627" i="1"/>
  <c r="G627" i="1"/>
  <c r="F627" i="1"/>
  <c r="M627" i="1"/>
  <c r="L627" i="1"/>
  <c r="K627" i="1"/>
  <c r="F629" i="1"/>
  <c r="M629" i="1"/>
  <c r="L629" i="1"/>
  <c r="K629" i="1"/>
  <c r="J629" i="1"/>
  <c r="I629" i="1"/>
  <c r="H629" i="1"/>
  <c r="G629" i="1"/>
  <c r="E639" i="1"/>
  <c r="C639" i="1"/>
  <c r="D649" i="1" s="1"/>
  <c r="E647" i="1" l="1"/>
  <c r="C647" i="1"/>
  <c r="D657" i="1" s="1"/>
  <c r="L637" i="1"/>
  <c r="K637" i="1"/>
  <c r="J637" i="1"/>
  <c r="I637" i="1"/>
  <c r="H637" i="1"/>
  <c r="G637" i="1"/>
  <c r="F637" i="1"/>
  <c r="M637" i="1"/>
  <c r="E638" i="1"/>
  <c r="C638" i="1"/>
  <c r="D648" i="1" s="1"/>
  <c r="E643" i="1"/>
  <c r="C643" i="1"/>
  <c r="D653" i="1" s="1"/>
  <c r="M628" i="1"/>
  <c r="L628" i="1"/>
  <c r="K628" i="1"/>
  <c r="J628" i="1"/>
  <c r="I628" i="1"/>
  <c r="H628" i="1"/>
  <c r="G628" i="1"/>
  <c r="F628" i="1"/>
  <c r="M633" i="1"/>
  <c r="L633" i="1"/>
  <c r="K633" i="1"/>
  <c r="J633" i="1"/>
  <c r="I633" i="1"/>
  <c r="G633" i="1"/>
  <c r="H633" i="1"/>
  <c r="F633" i="1"/>
  <c r="C636" i="1"/>
  <c r="D646" i="1" s="1"/>
  <c r="E636" i="1"/>
  <c r="E645" i="1"/>
  <c r="M626" i="1"/>
  <c r="L626" i="1"/>
  <c r="K626" i="1"/>
  <c r="J626" i="1"/>
  <c r="I626" i="1"/>
  <c r="H626" i="1"/>
  <c r="G626" i="1"/>
  <c r="F626" i="1"/>
  <c r="C641" i="1"/>
  <c r="D651" i="1" s="1"/>
  <c r="E641" i="1"/>
  <c r="H639" i="1"/>
  <c r="G639" i="1"/>
  <c r="F639" i="1"/>
  <c r="M639" i="1"/>
  <c r="L639" i="1"/>
  <c r="K639" i="1"/>
  <c r="J639" i="1"/>
  <c r="I639" i="1"/>
  <c r="E652" i="1"/>
  <c r="C652" i="1"/>
  <c r="D662" i="1" s="1"/>
  <c r="M631" i="1"/>
  <c r="K631" i="1"/>
  <c r="H631" i="1"/>
  <c r="G631" i="1"/>
  <c r="F631" i="1"/>
  <c r="L631" i="1"/>
  <c r="J631" i="1"/>
  <c r="I631" i="1"/>
  <c r="L642" i="1"/>
  <c r="K642" i="1"/>
  <c r="J642" i="1"/>
  <c r="I642" i="1"/>
  <c r="H642" i="1"/>
  <c r="G642" i="1"/>
  <c r="F642" i="1"/>
  <c r="M642" i="1"/>
  <c r="E650" i="1"/>
  <c r="C650" i="1"/>
  <c r="D660" i="1" s="1"/>
  <c r="E649" i="1"/>
  <c r="C649" i="1"/>
  <c r="D659" i="1" s="1"/>
  <c r="M640" i="1"/>
  <c r="L640" i="1"/>
  <c r="K640" i="1"/>
  <c r="J640" i="1"/>
  <c r="I640" i="1"/>
  <c r="H640" i="1"/>
  <c r="G640" i="1"/>
  <c r="F640" i="1"/>
  <c r="E653" i="1" l="1"/>
  <c r="C653" i="1"/>
  <c r="D663" i="1" s="1"/>
  <c r="E659" i="1"/>
  <c r="C659" i="1"/>
  <c r="D669" i="1" s="1"/>
  <c r="E662" i="1"/>
  <c r="C662" i="1"/>
  <c r="D672" i="1" s="1"/>
  <c r="M643" i="1"/>
  <c r="L643" i="1"/>
  <c r="K643" i="1"/>
  <c r="J643" i="1"/>
  <c r="I643" i="1"/>
  <c r="H643" i="1"/>
  <c r="G643" i="1"/>
  <c r="F643" i="1"/>
  <c r="J649" i="1"/>
  <c r="I649" i="1"/>
  <c r="H649" i="1"/>
  <c r="G649" i="1"/>
  <c r="F649" i="1"/>
  <c r="K649" i="1"/>
  <c r="M649" i="1"/>
  <c r="L649" i="1"/>
  <c r="M652" i="1"/>
  <c r="L652" i="1"/>
  <c r="K652" i="1"/>
  <c r="J652" i="1"/>
  <c r="I652" i="1"/>
  <c r="H652" i="1"/>
  <c r="G652" i="1"/>
  <c r="F652" i="1"/>
  <c r="E655" i="1"/>
  <c r="M636" i="1"/>
  <c r="J636" i="1"/>
  <c r="I636" i="1"/>
  <c r="H636" i="1"/>
  <c r="G636" i="1"/>
  <c r="F636" i="1"/>
  <c r="L636" i="1"/>
  <c r="K636" i="1"/>
  <c r="E648" i="1"/>
  <c r="C648" i="1"/>
  <c r="D658" i="1" s="1"/>
  <c r="E660" i="1"/>
  <c r="C660" i="1"/>
  <c r="D670" i="1" s="1"/>
  <c r="E646" i="1"/>
  <c r="C646" i="1"/>
  <c r="D656" i="1" s="1"/>
  <c r="M638" i="1"/>
  <c r="L638" i="1"/>
  <c r="K638" i="1"/>
  <c r="I638" i="1"/>
  <c r="J638" i="1"/>
  <c r="H638" i="1"/>
  <c r="G638" i="1"/>
  <c r="F638" i="1"/>
  <c r="M650" i="1"/>
  <c r="L650" i="1"/>
  <c r="K650" i="1"/>
  <c r="J650" i="1"/>
  <c r="I650" i="1"/>
  <c r="H650" i="1"/>
  <c r="G650" i="1"/>
  <c r="F650" i="1"/>
  <c r="M641" i="1"/>
  <c r="L641" i="1"/>
  <c r="K641" i="1"/>
  <c r="J641" i="1"/>
  <c r="I641" i="1"/>
  <c r="H641" i="1"/>
  <c r="G641" i="1"/>
  <c r="F641" i="1"/>
  <c r="E651" i="1"/>
  <c r="C651" i="1"/>
  <c r="D661" i="1" s="1"/>
  <c r="E657" i="1"/>
  <c r="C657" i="1"/>
  <c r="D667" i="1" s="1"/>
  <c r="M647" i="1"/>
  <c r="L647" i="1"/>
  <c r="K647" i="1"/>
  <c r="J647" i="1"/>
  <c r="I647" i="1"/>
  <c r="H647" i="1"/>
  <c r="G647" i="1"/>
  <c r="F647" i="1"/>
  <c r="M648" i="1" l="1"/>
  <c r="L648" i="1"/>
  <c r="K648" i="1"/>
  <c r="J648" i="1"/>
  <c r="I648" i="1"/>
  <c r="H648" i="1"/>
  <c r="G648" i="1"/>
  <c r="F648" i="1"/>
  <c r="E667" i="1"/>
  <c r="C667" i="1"/>
  <c r="D677" i="1" s="1"/>
  <c r="M657" i="1"/>
  <c r="L657" i="1"/>
  <c r="K657" i="1"/>
  <c r="J657" i="1"/>
  <c r="I657" i="1"/>
  <c r="H657" i="1"/>
  <c r="G657" i="1"/>
  <c r="F657" i="1"/>
  <c r="E661" i="1"/>
  <c r="C661" i="1"/>
  <c r="D671" i="1" s="1"/>
  <c r="F651" i="1"/>
  <c r="M651" i="1"/>
  <c r="L651" i="1"/>
  <c r="K651" i="1"/>
  <c r="J651" i="1"/>
  <c r="I651" i="1"/>
  <c r="H651" i="1"/>
  <c r="G651" i="1"/>
  <c r="E672" i="1"/>
  <c r="C672" i="1"/>
  <c r="D682" i="1" s="1"/>
  <c r="E656" i="1"/>
  <c r="C656" i="1"/>
  <c r="D666" i="1" s="1"/>
  <c r="M662" i="1"/>
  <c r="L662" i="1"/>
  <c r="K662" i="1"/>
  <c r="J662" i="1"/>
  <c r="I662" i="1"/>
  <c r="H662" i="1"/>
  <c r="G662" i="1"/>
  <c r="F662" i="1"/>
  <c r="F646" i="1"/>
  <c r="E665" i="1"/>
  <c r="M646" i="1"/>
  <c r="L646" i="1"/>
  <c r="K646" i="1"/>
  <c r="J646" i="1"/>
  <c r="I646" i="1"/>
  <c r="H646" i="1"/>
  <c r="G646" i="1"/>
  <c r="E669" i="1"/>
  <c r="C669" i="1"/>
  <c r="D679" i="1" s="1"/>
  <c r="E670" i="1"/>
  <c r="C670" i="1"/>
  <c r="D680" i="1" s="1"/>
  <c r="L659" i="1"/>
  <c r="K659" i="1"/>
  <c r="J659" i="1"/>
  <c r="I659" i="1"/>
  <c r="H659" i="1"/>
  <c r="G659" i="1"/>
  <c r="F659" i="1"/>
  <c r="M659" i="1"/>
  <c r="M660" i="1"/>
  <c r="L660" i="1"/>
  <c r="K660" i="1"/>
  <c r="J660" i="1"/>
  <c r="I660" i="1"/>
  <c r="G660" i="1"/>
  <c r="H660" i="1"/>
  <c r="F660" i="1"/>
  <c r="C663" i="1"/>
  <c r="D673" i="1" s="1"/>
  <c r="E663" i="1"/>
  <c r="C658" i="1"/>
  <c r="D668" i="1" s="1"/>
  <c r="E658" i="1"/>
  <c r="M653" i="1"/>
  <c r="L653" i="1"/>
  <c r="K653" i="1"/>
  <c r="J653" i="1"/>
  <c r="I653" i="1"/>
  <c r="H653" i="1"/>
  <c r="G653" i="1"/>
  <c r="F653" i="1"/>
  <c r="H661" i="1" l="1"/>
  <c r="G661" i="1"/>
  <c r="F661" i="1"/>
  <c r="M661" i="1"/>
  <c r="L661" i="1"/>
  <c r="K661" i="1"/>
  <c r="J661" i="1"/>
  <c r="I661" i="1"/>
  <c r="E671" i="1"/>
  <c r="C671" i="1"/>
  <c r="D681" i="1" s="1"/>
  <c r="M658" i="1"/>
  <c r="K658" i="1"/>
  <c r="I658" i="1"/>
  <c r="L658" i="1"/>
  <c r="J658" i="1"/>
  <c r="H658" i="1"/>
  <c r="G658" i="1"/>
  <c r="F658" i="1"/>
  <c r="C680" i="1"/>
  <c r="D690" i="1" s="1"/>
  <c r="E680" i="1"/>
  <c r="E668" i="1"/>
  <c r="C668" i="1"/>
  <c r="D678" i="1" s="1"/>
  <c r="M670" i="1"/>
  <c r="L670" i="1"/>
  <c r="K670" i="1"/>
  <c r="J670" i="1"/>
  <c r="I670" i="1"/>
  <c r="H670" i="1"/>
  <c r="G670" i="1"/>
  <c r="F670" i="1"/>
  <c r="E666" i="1"/>
  <c r="C666" i="1"/>
  <c r="D676" i="1" s="1"/>
  <c r="M663" i="1"/>
  <c r="L663" i="1"/>
  <c r="K663" i="1"/>
  <c r="I663" i="1"/>
  <c r="J663" i="1"/>
  <c r="H663" i="1"/>
  <c r="G663" i="1"/>
  <c r="F663" i="1"/>
  <c r="E679" i="1"/>
  <c r="C679" i="1"/>
  <c r="D689" i="1" s="1"/>
  <c r="H656" i="1"/>
  <c r="G656" i="1"/>
  <c r="F656" i="1"/>
  <c r="E675" i="1"/>
  <c r="M656" i="1"/>
  <c r="L656" i="1"/>
  <c r="K656" i="1"/>
  <c r="J656" i="1"/>
  <c r="I656" i="1"/>
  <c r="E673" i="1"/>
  <c r="C673" i="1"/>
  <c r="D683" i="1" s="1"/>
  <c r="M669" i="1"/>
  <c r="L669" i="1"/>
  <c r="K669" i="1"/>
  <c r="J669" i="1"/>
  <c r="I669" i="1"/>
  <c r="H669" i="1"/>
  <c r="G669" i="1"/>
  <c r="F669" i="1"/>
  <c r="E682" i="1"/>
  <c r="C682" i="1"/>
  <c r="D692" i="1" s="1"/>
  <c r="E677" i="1"/>
  <c r="C677" i="1"/>
  <c r="D687" i="1" s="1"/>
  <c r="M672" i="1"/>
  <c r="L672" i="1"/>
  <c r="K672" i="1"/>
  <c r="J672" i="1"/>
  <c r="I672" i="1"/>
  <c r="H672" i="1"/>
  <c r="G672" i="1"/>
  <c r="F672" i="1"/>
  <c r="M667" i="1"/>
  <c r="L667" i="1"/>
  <c r="K667" i="1"/>
  <c r="J667" i="1"/>
  <c r="I667" i="1"/>
  <c r="H667" i="1"/>
  <c r="G667" i="1"/>
  <c r="F667" i="1"/>
  <c r="E690" i="1" l="1"/>
  <c r="C690" i="1"/>
  <c r="D700" i="1" s="1"/>
  <c r="M680" i="1"/>
  <c r="L680" i="1"/>
  <c r="K680" i="1"/>
  <c r="J680" i="1"/>
  <c r="I680" i="1"/>
  <c r="F680" i="1"/>
  <c r="H680" i="1"/>
  <c r="G680" i="1"/>
  <c r="E683" i="1"/>
  <c r="C683" i="1"/>
  <c r="D693" i="1" s="1"/>
  <c r="F673" i="1"/>
  <c r="M673" i="1"/>
  <c r="L673" i="1"/>
  <c r="K673" i="1"/>
  <c r="J673" i="1"/>
  <c r="I673" i="1"/>
  <c r="H673" i="1"/>
  <c r="G673" i="1"/>
  <c r="E676" i="1"/>
  <c r="C676" i="1"/>
  <c r="D686" i="1" s="1"/>
  <c r="J666" i="1"/>
  <c r="I666" i="1"/>
  <c r="H666" i="1"/>
  <c r="G666" i="1"/>
  <c r="F666" i="1"/>
  <c r="E685" i="1"/>
  <c r="M666" i="1"/>
  <c r="L666" i="1"/>
  <c r="K666" i="1"/>
  <c r="E681" i="1"/>
  <c r="C681" i="1"/>
  <c r="D691" i="1" s="1"/>
  <c r="J671" i="1"/>
  <c r="I671" i="1"/>
  <c r="H671" i="1"/>
  <c r="G671" i="1"/>
  <c r="F671" i="1"/>
  <c r="K671" i="1"/>
  <c r="M671" i="1"/>
  <c r="L671" i="1"/>
  <c r="E687" i="1"/>
  <c r="C687" i="1"/>
  <c r="D697" i="1" s="1"/>
  <c r="M677" i="1"/>
  <c r="L677" i="1"/>
  <c r="K677" i="1"/>
  <c r="J677" i="1"/>
  <c r="I677" i="1"/>
  <c r="H677" i="1"/>
  <c r="G677" i="1"/>
  <c r="F677" i="1"/>
  <c r="E692" i="1"/>
  <c r="C692" i="1"/>
  <c r="D702" i="1" s="1"/>
  <c r="M682" i="1"/>
  <c r="L682" i="1"/>
  <c r="K682" i="1"/>
  <c r="J682" i="1"/>
  <c r="I682" i="1"/>
  <c r="H682" i="1"/>
  <c r="G682" i="1"/>
  <c r="F682" i="1"/>
  <c r="E689" i="1"/>
  <c r="C689" i="1"/>
  <c r="D699" i="1" s="1"/>
  <c r="E678" i="1"/>
  <c r="C678" i="1"/>
  <c r="D688" i="1" s="1"/>
  <c r="M679" i="1"/>
  <c r="L679" i="1"/>
  <c r="K679" i="1"/>
  <c r="J679" i="1"/>
  <c r="I679" i="1"/>
  <c r="H679" i="1"/>
  <c r="G679" i="1"/>
  <c r="F679" i="1"/>
  <c r="F668" i="1"/>
  <c r="M668" i="1"/>
  <c r="K668" i="1"/>
  <c r="L668" i="1"/>
  <c r="J668" i="1"/>
  <c r="I668" i="1"/>
  <c r="H668" i="1"/>
  <c r="G668" i="1"/>
  <c r="C702" i="1" l="1"/>
  <c r="D712" i="1" s="1"/>
  <c r="E702" i="1"/>
  <c r="E691" i="1"/>
  <c r="C691" i="1"/>
  <c r="D701" i="1" s="1"/>
  <c r="M692" i="1"/>
  <c r="L692" i="1"/>
  <c r="K692" i="1"/>
  <c r="J692" i="1"/>
  <c r="I692" i="1"/>
  <c r="H692" i="1"/>
  <c r="G692" i="1"/>
  <c r="F692" i="1"/>
  <c r="L681" i="1"/>
  <c r="K681" i="1"/>
  <c r="J681" i="1"/>
  <c r="I681" i="1"/>
  <c r="H681" i="1"/>
  <c r="G681" i="1"/>
  <c r="F681" i="1"/>
  <c r="M681" i="1"/>
  <c r="E693" i="1"/>
  <c r="C693" i="1"/>
  <c r="D703" i="1" s="1"/>
  <c r="H683" i="1"/>
  <c r="G683" i="1"/>
  <c r="F683" i="1"/>
  <c r="M683" i="1"/>
  <c r="J683" i="1"/>
  <c r="L683" i="1"/>
  <c r="K683" i="1"/>
  <c r="I683" i="1"/>
  <c r="E688" i="1"/>
  <c r="C688" i="1"/>
  <c r="D698" i="1" s="1"/>
  <c r="H678" i="1"/>
  <c r="G678" i="1"/>
  <c r="F678" i="1"/>
  <c r="M678" i="1"/>
  <c r="J678" i="1"/>
  <c r="L678" i="1"/>
  <c r="K678" i="1"/>
  <c r="I678" i="1"/>
  <c r="E699" i="1"/>
  <c r="C699" i="1"/>
  <c r="D709" i="1" s="1"/>
  <c r="C697" i="1"/>
  <c r="D707" i="1" s="1"/>
  <c r="E697" i="1"/>
  <c r="M689" i="1"/>
  <c r="L689" i="1"/>
  <c r="K689" i="1"/>
  <c r="J689" i="1"/>
  <c r="I689" i="1"/>
  <c r="H689" i="1"/>
  <c r="G689" i="1"/>
  <c r="F689" i="1"/>
  <c r="M687" i="1"/>
  <c r="L687" i="1"/>
  <c r="K687" i="1"/>
  <c r="J687" i="1"/>
  <c r="I687" i="1"/>
  <c r="H687" i="1"/>
  <c r="G687" i="1"/>
  <c r="F687" i="1"/>
  <c r="E686" i="1"/>
  <c r="C686" i="1"/>
  <c r="D696" i="1" s="1"/>
  <c r="E700" i="1"/>
  <c r="C700" i="1"/>
  <c r="D710" i="1" s="1"/>
  <c r="L676" i="1"/>
  <c r="K676" i="1"/>
  <c r="J676" i="1"/>
  <c r="I676" i="1"/>
  <c r="H676" i="1"/>
  <c r="G676" i="1"/>
  <c r="F676" i="1"/>
  <c r="E695" i="1"/>
  <c r="M676" i="1"/>
  <c r="F690" i="1"/>
  <c r="M690" i="1"/>
  <c r="L690" i="1"/>
  <c r="K690" i="1"/>
  <c r="J690" i="1"/>
  <c r="I690" i="1"/>
  <c r="H690" i="1"/>
  <c r="G690" i="1"/>
  <c r="E698" i="1" l="1"/>
  <c r="C698" i="1"/>
  <c r="D708" i="1" s="1"/>
  <c r="J688" i="1"/>
  <c r="I688" i="1"/>
  <c r="H688" i="1"/>
  <c r="G688" i="1"/>
  <c r="F688" i="1"/>
  <c r="M688" i="1"/>
  <c r="L688" i="1"/>
  <c r="K688" i="1"/>
  <c r="E710" i="1"/>
  <c r="C710" i="1"/>
  <c r="D720" i="1" s="1"/>
  <c r="M697" i="1"/>
  <c r="L697" i="1"/>
  <c r="K697" i="1"/>
  <c r="J697" i="1"/>
  <c r="I697" i="1"/>
  <c r="H697" i="1"/>
  <c r="G697" i="1"/>
  <c r="F697" i="1"/>
  <c r="E701" i="1"/>
  <c r="C701" i="1"/>
  <c r="D711" i="1" s="1"/>
  <c r="H700" i="1"/>
  <c r="G700" i="1"/>
  <c r="F700" i="1"/>
  <c r="M700" i="1"/>
  <c r="L700" i="1"/>
  <c r="K700" i="1"/>
  <c r="J700" i="1"/>
  <c r="I700" i="1"/>
  <c r="E707" i="1"/>
  <c r="C707" i="1"/>
  <c r="D717" i="1" s="1"/>
  <c r="M691" i="1"/>
  <c r="L691" i="1"/>
  <c r="K691" i="1"/>
  <c r="J691" i="1"/>
  <c r="I691" i="1"/>
  <c r="H691" i="1"/>
  <c r="G691" i="1"/>
  <c r="F691" i="1"/>
  <c r="E696" i="1"/>
  <c r="C696" i="1"/>
  <c r="D706" i="1" s="1"/>
  <c r="E709" i="1"/>
  <c r="C709" i="1"/>
  <c r="D719" i="1" s="1"/>
  <c r="E703" i="1"/>
  <c r="C703" i="1"/>
  <c r="D713" i="1" s="1"/>
  <c r="M702" i="1"/>
  <c r="L702" i="1"/>
  <c r="K702" i="1"/>
  <c r="J702" i="1"/>
  <c r="I702" i="1"/>
  <c r="H702" i="1"/>
  <c r="G702" i="1"/>
  <c r="F702" i="1"/>
  <c r="M686" i="1"/>
  <c r="L686" i="1"/>
  <c r="K686" i="1"/>
  <c r="J686" i="1"/>
  <c r="I686" i="1"/>
  <c r="H686" i="1"/>
  <c r="G686" i="1"/>
  <c r="F686" i="1"/>
  <c r="E705" i="1"/>
  <c r="M699" i="1"/>
  <c r="L699" i="1"/>
  <c r="K699" i="1"/>
  <c r="J699" i="1"/>
  <c r="I699" i="1"/>
  <c r="H699" i="1"/>
  <c r="G699" i="1"/>
  <c r="F699" i="1"/>
  <c r="J693" i="1"/>
  <c r="I693" i="1"/>
  <c r="H693" i="1"/>
  <c r="G693" i="1"/>
  <c r="F693" i="1"/>
  <c r="M693" i="1"/>
  <c r="L693" i="1"/>
  <c r="K693" i="1"/>
  <c r="E712" i="1"/>
  <c r="C712" i="1"/>
  <c r="D722" i="1" s="1"/>
  <c r="E717" i="1" l="1"/>
  <c r="C717" i="1"/>
  <c r="D727" i="1" s="1"/>
  <c r="E720" i="1"/>
  <c r="C720" i="1"/>
  <c r="D730" i="1" s="1"/>
  <c r="F707" i="1"/>
  <c r="M707" i="1"/>
  <c r="L707" i="1"/>
  <c r="K707" i="1"/>
  <c r="J707" i="1"/>
  <c r="I707" i="1"/>
  <c r="H707" i="1"/>
  <c r="G707" i="1"/>
  <c r="J710" i="1"/>
  <c r="I710" i="1"/>
  <c r="H710" i="1"/>
  <c r="G710" i="1"/>
  <c r="F710" i="1"/>
  <c r="M710" i="1"/>
  <c r="L710" i="1"/>
  <c r="K710" i="1"/>
  <c r="F712" i="1"/>
  <c r="M712" i="1"/>
  <c r="L712" i="1"/>
  <c r="K712" i="1"/>
  <c r="J712" i="1"/>
  <c r="I712" i="1"/>
  <c r="H712" i="1"/>
  <c r="G712" i="1"/>
  <c r="E713" i="1"/>
  <c r="C713" i="1"/>
  <c r="D723" i="1" s="1"/>
  <c r="L703" i="1"/>
  <c r="K703" i="1"/>
  <c r="J703" i="1"/>
  <c r="I703" i="1"/>
  <c r="H703" i="1"/>
  <c r="G703" i="1"/>
  <c r="F703" i="1"/>
  <c r="M703" i="1"/>
  <c r="C719" i="1"/>
  <c r="D729" i="1" s="1"/>
  <c r="E719" i="1"/>
  <c r="M709" i="1"/>
  <c r="L709" i="1"/>
  <c r="K709" i="1"/>
  <c r="J709" i="1"/>
  <c r="I709" i="1"/>
  <c r="H709" i="1"/>
  <c r="G709" i="1"/>
  <c r="F709" i="1"/>
  <c r="E706" i="1"/>
  <c r="C706" i="1"/>
  <c r="D716" i="1" s="1"/>
  <c r="E711" i="1"/>
  <c r="C711" i="1"/>
  <c r="D721" i="1" s="1"/>
  <c r="E708" i="1"/>
  <c r="C708" i="1"/>
  <c r="D718" i="1" s="1"/>
  <c r="E722" i="1"/>
  <c r="C722" i="1"/>
  <c r="D732" i="1" s="1"/>
  <c r="M696" i="1"/>
  <c r="L696" i="1"/>
  <c r="K696" i="1"/>
  <c r="J696" i="1"/>
  <c r="I696" i="1"/>
  <c r="H696" i="1"/>
  <c r="G696" i="1"/>
  <c r="F696" i="1"/>
  <c r="E715" i="1"/>
  <c r="M701" i="1"/>
  <c r="L701" i="1"/>
  <c r="K701" i="1"/>
  <c r="J701" i="1"/>
  <c r="I701" i="1"/>
  <c r="H701" i="1"/>
  <c r="G701" i="1"/>
  <c r="F701" i="1"/>
  <c r="L698" i="1"/>
  <c r="K698" i="1"/>
  <c r="J698" i="1"/>
  <c r="I698" i="1"/>
  <c r="H698" i="1"/>
  <c r="G698" i="1"/>
  <c r="F698" i="1"/>
  <c r="M698" i="1"/>
  <c r="E729" i="1" l="1"/>
  <c r="C729" i="1"/>
  <c r="D739" i="1" s="1"/>
  <c r="E732" i="1"/>
  <c r="C732" i="1"/>
  <c r="D742" i="1" s="1"/>
  <c r="H722" i="1"/>
  <c r="G722" i="1"/>
  <c r="F722" i="1"/>
  <c r="M722" i="1"/>
  <c r="L722" i="1"/>
  <c r="K722" i="1"/>
  <c r="J722" i="1"/>
  <c r="I722" i="1"/>
  <c r="E718" i="1"/>
  <c r="C718" i="1"/>
  <c r="D728" i="1" s="1"/>
  <c r="M708" i="1"/>
  <c r="L708" i="1"/>
  <c r="K708" i="1"/>
  <c r="J708" i="1"/>
  <c r="I708" i="1"/>
  <c r="H708" i="1"/>
  <c r="G708" i="1"/>
  <c r="F708" i="1"/>
  <c r="E721" i="1"/>
  <c r="C721" i="1"/>
  <c r="D731" i="1" s="1"/>
  <c r="M711" i="1"/>
  <c r="L711" i="1"/>
  <c r="K711" i="1"/>
  <c r="J711" i="1"/>
  <c r="I711" i="1"/>
  <c r="H711" i="1"/>
  <c r="G711" i="1"/>
  <c r="F711" i="1"/>
  <c r="E716" i="1"/>
  <c r="C716" i="1"/>
  <c r="D726" i="1" s="1"/>
  <c r="E723" i="1"/>
  <c r="C723" i="1"/>
  <c r="D733" i="1" s="1"/>
  <c r="M719" i="1"/>
  <c r="L719" i="1"/>
  <c r="K719" i="1"/>
  <c r="J719" i="1"/>
  <c r="I719" i="1"/>
  <c r="H719" i="1"/>
  <c r="G719" i="1"/>
  <c r="F719" i="1"/>
  <c r="E725" i="1"/>
  <c r="M706" i="1"/>
  <c r="L706" i="1"/>
  <c r="K706" i="1"/>
  <c r="J706" i="1"/>
  <c r="I706" i="1"/>
  <c r="H706" i="1"/>
  <c r="G706" i="1"/>
  <c r="F706" i="1"/>
  <c r="M713" i="1"/>
  <c r="L713" i="1"/>
  <c r="K713" i="1"/>
  <c r="J713" i="1"/>
  <c r="I713" i="1"/>
  <c r="H713" i="1"/>
  <c r="G713" i="1"/>
  <c r="F713" i="1"/>
  <c r="E730" i="1"/>
  <c r="C730" i="1"/>
  <c r="D740" i="1" s="1"/>
  <c r="L720" i="1"/>
  <c r="K720" i="1"/>
  <c r="J720" i="1"/>
  <c r="I720" i="1"/>
  <c r="H720" i="1"/>
  <c r="G720" i="1"/>
  <c r="F720" i="1"/>
  <c r="M720" i="1"/>
  <c r="E727" i="1"/>
  <c r="C727" i="1"/>
  <c r="D737" i="1" s="1"/>
  <c r="H717" i="1"/>
  <c r="G717" i="1"/>
  <c r="F717" i="1"/>
  <c r="M717" i="1"/>
  <c r="L717" i="1"/>
  <c r="K717" i="1"/>
  <c r="J717" i="1"/>
  <c r="I717" i="1"/>
  <c r="E733" i="1" l="1"/>
  <c r="C733" i="1"/>
  <c r="D743" i="1" s="1"/>
  <c r="M723" i="1"/>
  <c r="L723" i="1"/>
  <c r="K723" i="1"/>
  <c r="J723" i="1"/>
  <c r="I723" i="1"/>
  <c r="H723" i="1"/>
  <c r="G723" i="1"/>
  <c r="F723" i="1"/>
  <c r="E726" i="1"/>
  <c r="C726" i="1"/>
  <c r="D736" i="1" s="1"/>
  <c r="E728" i="1"/>
  <c r="C728" i="1"/>
  <c r="D738" i="1" s="1"/>
  <c r="C737" i="1"/>
  <c r="D747" i="1" s="1"/>
  <c r="E737" i="1"/>
  <c r="E735" i="1"/>
  <c r="M716" i="1"/>
  <c r="L716" i="1"/>
  <c r="K716" i="1"/>
  <c r="J716" i="1"/>
  <c r="I716" i="1"/>
  <c r="H716" i="1"/>
  <c r="G716" i="1"/>
  <c r="F716" i="1"/>
  <c r="M718" i="1"/>
  <c r="L718" i="1"/>
  <c r="K718" i="1"/>
  <c r="J718" i="1"/>
  <c r="I718" i="1"/>
  <c r="H718" i="1"/>
  <c r="G718" i="1"/>
  <c r="F718" i="1"/>
  <c r="J727" i="1"/>
  <c r="I727" i="1"/>
  <c r="H727" i="1"/>
  <c r="G727" i="1"/>
  <c r="F727" i="1"/>
  <c r="M727" i="1"/>
  <c r="L727" i="1"/>
  <c r="K727" i="1"/>
  <c r="E731" i="1"/>
  <c r="C731" i="1"/>
  <c r="D741" i="1" s="1"/>
  <c r="E742" i="1"/>
  <c r="C742" i="1"/>
  <c r="D752" i="1" s="1"/>
  <c r="E740" i="1"/>
  <c r="C740" i="1"/>
  <c r="D750" i="1" s="1"/>
  <c r="M721" i="1"/>
  <c r="L721" i="1"/>
  <c r="K721" i="1"/>
  <c r="J721" i="1"/>
  <c r="I721" i="1"/>
  <c r="H721" i="1"/>
  <c r="G721" i="1"/>
  <c r="F721" i="1"/>
  <c r="J732" i="1"/>
  <c r="I732" i="1"/>
  <c r="H732" i="1"/>
  <c r="G732" i="1"/>
  <c r="F732" i="1"/>
  <c r="M732" i="1"/>
  <c r="L732" i="1"/>
  <c r="K732" i="1"/>
  <c r="M730" i="1"/>
  <c r="L730" i="1"/>
  <c r="K730" i="1"/>
  <c r="J730" i="1"/>
  <c r="I730" i="1"/>
  <c r="H730" i="1"/>
  <c r="G730" i="1"/>
  <c r="F730" i="1"/>
  <c r="E739" i="1"/>
  <c r="C739" i="1"/>
  <c r="D749" i="1" s="1"/>
  <c r="F729" i="1"/>
  <c r="M729" i="1"/>
  <c r="L729" i="1"/>
  <c r="K729" i="1"/>
  <c r="J729" i="1"/>
  <c r="I729" i="1"/>
  <c r="H729" i="1"/>
  <c r="G729" i="1"/>
  <c r="I737" i="1" l="1"/>
  <c r="G737" i="1"/>
  <c r="M737" i="1"/>
  <c r="L737" i="1"/>
  <c r="K737" i="1"/>
  <c r="J737" i="1"/>
  <c r="H737" i="1"/>
  <c r="F737" i="1"/>
  <c r="E747" i="1"/>
  <c r="C747" i="1"/>
  <c r="D757" i="1" s="1"/>
  <c r="E738" i="1"/>
  <c r="C738" i="1"/>
  <c r="D748" i="1" s="1"/>
  <c r="E749" i="1"/>
  <c r="C749" i="1"/>
  <c r="D759" i="1" s="1"/>
  <c r="M728" i="1"/>
  <c r="L728" i="1"/>
  <c r="K728" i="1"/>
  <c r="J728" i="1"/>
  <c r="I728" i="1"/>
  <c r="H728" i="1"/>
  <c r="G728" i="1"/>
  <c r="F728" i="1"/>
  <c r="M739" i="1"/>
  <c r="L739" i="1"/>
  <c r="K739" i="1"/>
  <c r="J739" i="1"/>
  <c r="I739" i="1"/>
  <c r="H739" i="1"/>
  <c r="G739" i="1"/>
  <c r="F739" i="1"/>
  <c r="E736" i="1"/>
  <c r="C736" i="1"/>
  <c r="D746" i="1" s="1"/>
  <c r="E745" i="1"/>
  <c r="M726" i="1"/>
  <c r="L726" i="1"/>
  <c r="K726" i="1"/>
  <c r="J726" i="1"/>
  <c r="I726" i="1"/>
  <c r="H726" i="1"/>
  <c r="G726" i="1"/>
  <c r="F726" i="1"/>
  <c r="E750" i="1"/>
  <c r="C750" i="1"/>
  <c r="D760" i="1" s="1"/>
  <c r="M740" i="1"/>
  <c r="K740" i="1"/>
  <c r="I740" i="1"/>
  <c r="G740" i="1"/>
  <c r="H740" i="1"/>
  <c r="F740" i="1"/>
  <c r="L740" i="1"/>
  <c r="J740" i="1"/>
  <c r="E752" i="1"/>
  <c r="C752" i="1"/>
  <c r="D762" i="1" s="1"/>
  <c r="I742" i="1"/>
  <c r="G742" i="1"/>
  <c r="L742" i="1"/>
  <c r="K742" i="1"/>
  <c r="J742" i="1"/>
  <c r="H742" i="1"/>
  <c r="F742" i="1"/>
  <c r="M742" i="1"/>
  <c r="E741" i="1"/>
  <c r="C741" i="1"/>
  <c r="D751" i="1" s="1"/>
  <c r="M731" i="1"/>
  <c r="L731" i="1"/>
  <c r="K731" i="1"/>
  <c r="J731" i="1"/>
  <c r="I731" i="1"/>
  <c r="H731" i="1"/>
  <c r="G731" i="1"/>
  <c r="F731" i="1"/>
  <c r="E743" i="1"/>
  <c r="C743" i="1"/>
  <c r="D753" i="1" s="1"/>
  <c r="I733" i="1"/>
  <c r="M733" i="1"/>
  <c r="L733" i="1"/>
  <c r="K733" i="1"/>
  <c r="J733" i="1"/>
  <c r="H733" i="1"/>
  <c r="G733" i="1"/>
  <c r="F733" i="1"/>
  <c r="E759" i="1" l="1"/>
  <c r="C759" i="1"/>
  <c r="D769" i="1" s="1"/>
  <c r="E753" i="1"/>
  <c r="C753" i="1"/>
  <c r="D763" i="1" s="1"/>
  <c r="E762" i="1"/>
  <c r="C762" i="1"/>
  <c r="D772" i="1" s="1"/>
  <c r="G749" i="1"/>
  <c r="M749" i="1"/>
  <c r="L749" i="1"/>
  <c r="K749" i="1"/>
  <c r="J749" i="1"/>
  <c r="I749" i="1"/>
  <c r="H749" i="1"/>
  <c r="F749" i="1"/>
  <c r="M743" i="1"/>
  <c r="K743" i="1"/>
  <c r="I743" i="1"/>
  <c r="L743" i="1"/>
  <c r="J743" i="1"/>
  <c r="H743" i="1"/>
  <c r="G743" i="1"/>
  <c r="F743" i="1"/>
  <c r="L752" i="1"/>
  <c r="K752" i="1"/>
  <c r="J752" i="1"/>
  <c r="I752" i="1"/>
  <c r="H752" i="1"/>
  <c r="G752" i="1"/>
  <c r="M752" i="1"/>
  <c r="F752" i="1"/>
  <c r="C746" i="1"/>
  <c r="D756" i="1" s="1"/>
  <c r="E746" i="1"/>
  <c r="E748" i="1"/>
  <c r="C748" i="1"/>
  <c r="D758" i="1" s="1"/>
  <c r="E755" i="1"/>
  <c r="M736" i="1"/>
  <c r="L736" i="1"/>
  <c r="K736" i="1"/>
  <c r="J736" i="1"/>
  <c r="I736" i="1"/>
  <c r="H736" i="1"/>
  <c r="G736" i="1"/>
  <c r="F736" i="1"/>
  <c r="M738" i="1"/>
  <c r="K738" i="1"/>
  <c r="I738" i="1"/>
  <c r="L738" i="1"/>
  <c r="J738" i="1"/>
  <c r="H738" i="1"/>
  <c r="G738" i="1"/>
  <c r="F738" i="1"/>
  <c r="E757" i="1"/>
  <c r="C757" i="1"/>
  <c r="D767" i="1" s="1"/>
  <c r="K747" i="1"/>
  <c r="I747" i="1"/>
  <c r="G747" i="1"/>
  <c r="M747" i="1"/>
  <c r="L747" i="1"/>
  <c r="J747" i="1"/>
  <c r="H747" i="1"/>
  <c r="F747" i="1"/>
  <c r="C751" i="1"/>
  <c r="D761" i="1" s="1"/>
  <c r="E751" i="1"/>
  <c r="E760" i="1"/>
  <c r="C760" i="1"/>
  <c r="D770" i="1" s="1"/>
  <c r="M741" i="1"/>
  <c r="L741" i="1"/>
  <c r="K741" i="1"/>
  <c r="J741" i="1"/>
  <c r="I741" i="1"/>
  <c r="H741" i="1"/>
  <c r="G741" i="1"/>
  <c r="F741" i="1"/>
  <c r="M750" i="1"/>
  <c r="K750" i="1"/>
  <c r="I750" i="1"/>
  <c r="G750" i="1"/>
  <c r="L750" i="1"/>
  <c r="J750" i="1"/>
  <c r="H750" i="1"/>
  <c r="F750" i="1"/>
  <c r="E758" i="1" l="1"/>
  <c r="C758" i="1"/>
  <c r="D768" i="1" s="1"/>
  <c r="E767" i="1"/>
  <c r="C767" i="1"/>
  <c r="D777" i="1" s="1"/>
  <c r="M748" i="1"/>
  <c r="K748" i="1"/>
  <c r="L748" i="1"/>
  <c r="J748" i="1"/>
  <c r="I748" i="1"/>
  <c r="H748" i="1"/>
  <c r="G748" i="1"/>
  <c r="F748" i="1"/>
  <c r="M757" i="1"/>
  <c r="L757" i="1"/>
  <c r="K757" i="1"/>
  <c r="J757" i="1"/>
  <c r="I757" i="1"/>
  <c r="H757" i="1"/>
  <c r="G757" i="1"/>
  <c r="F757" i="1"/>
  <c r="E765" i="1"/>
  <c r="K746" i="1"/>
  <c r="J746" i="1"/>
  <c r="I746" i="1"/>
  <c r="H746" i="1"/>
  <c r="G746" i="1"/>
  <c r="F746" i="1"/>
  <c r="M746" i="1"/>
  <c r="L746" i="1"/>
  <c r="E756" i="1"/>
  <c r="C756" i="1"/>
  <c r="D766" i="1" s="1"/>
  <c r="E772" i="1"/>
  <c r="C772" i="1"/>
  <c r="D782" i="1" s="1"/>
  <c r="E770" i="1"/>
  <c r="C770" i="1"/>
  <c r="D780" i="1" s="1"/>
  <c r="M762" i="1"/>
  <c r="L762" i="1"/>
  <c r="K762" i="1"/>
  <c r="J762" i="1"/>
  <c r="I762" i="1"/>
  <c r="H762" i="1"/>
  <c r="G762" i="1"/>
  <c r="F762" i="1"/>
  <c r="M760" i="1"/>
  <c r="L760" i="1"/>
  <c r="K760" i="1"/>
  <c r="J760" i="1"/>
  <c r="I760" i="1"/>
  <c r="H760" i="1"/>
  <c r="G760" i="1"/>
  <c r="F760" i="1"/>
  <c r="E763" i="1"/>
  <c r="C763" i="1"/>
  <c r="D773" i="1" s="1"/>
  <c r="G751" i="1"/>
  <c r="F751" i="1"/>
  <c r="M751" i="1"/>
  <c r="L751" i="1"/>
  <c r="K751" i="1"/>
  <c r="J751" i="1"/>
  <c r="I751" i="1"/>
  <c r="H751" i="1"/>
  <c r="M753" i="1"/>
  <c r="K753" i="1"/>
  <c r="L753" i="1"/>
  <c r="J753" i="1"/>
  <c r="I753" i="1"/>
  <c r="H753" i="1"/>
  <c r="G753" i="1"/>
  <c r="F753" i="1"/>
  <c r="E761" i="1"/>
  <c r="C761" i="1"/>
  <c r="D771" i="1" s="1"/>
  <c r="E769" i="1"/>
  <c r="C769" i="1"/>
  <c r="D779" i="1" s="1"/>
  <c r="J759" i="1"/>
  <c r="I759" i="1"/>
  <c r="H759" i="1"/>
  <c r="G759" i="1"/>
  <c r="F759" i="1"/>
  <c r="M759" i="1"/>
  <c r="L759" i="1"/>
  <c r="K759" i="1"/>
  <c r="E780" i="1" l="1"/>
  <c r="C780" i="1"/>
  <c r="D790" i="1" s="1"/>
  <c r="M770" i="1"/>
  <c r="L770" i="1"/>
  <c r="K770" i="1"/>
  <c r="I770" i="1"/>
  <c r="F770" i="1"/>
  <c r="J770" i="1"/>
  <c r="H770" i="1"/>
  <c r="G770" i="1"/>
  <c r="E779" i="1"/>
  <c r="C779" i="1"/>
  <c r="D789" i="1" s="1"/>
  <c r="C773" i="1"/>
  <c r="D783" i="1" s="1"/>
  <c r="E773" i="1"/>
  <c r="E782" i="1"/>
  <c r="C782" i="1"/>
  <c r="D792" i="1" s="1"/>
  <c r="L769" i="1"/>
  <c r="K769" i="1"/>
  <c r="J769" i="1"/>
  <c r="I769" i="1"/>
  <c r="H769" i="1"/>
  <c r="G769" i="1"/>
  <c r="F769" i="1"/>
  <c r="M769" i="1"/>
  <c r="M763" i="1"/>
  <c r="K763" i="1"/>
  <c r="L763" i="1"/>
  <c r="J763" i="1"/>
  <c r="I763" i="1"/>
  <c r="H763" i="1"/>
  <c r="G763" i="1"/>
  <c r="F763" i="1"/>
  <c r="M772" i="1"/>
  <c r="L772" i="1"/>
  <c r="K772" i="1"/>
  <c r="J772" i="1"/>
  <c r="I772" i="1"/>
  <c r="H772" i="1"/>
  <c r="G772" i="1"/>
  <c r="F772" i="1"/>
  <c r="E771" i="1"/>
  <c r="C771" i="1"/>
  <c r="D781" i="1" s="1"/>
  <c r="E766" i="1"/>
  <c r="C766" i="1"/>
  <c r="D776" i="1" s="1"/>
  <c r="F761" i="1"/>
  <c r="K761" i="1"/>
  <c r="J761" i="1"/>
  <c r="I761" i="1"/>
  <c r="H761" i="1"/>
  <c r="G761" i="1"/>
  <c r="M761" i="1"/>
  <c r="L761" i="1"/>
  <c r="F756" i="1"/>
  <c r="E775" i="1"/>
  <c r="M756" i="1"/>
  <c r="L756" i="1"/>
  <c r="K756" i="1"/>
  <c r="J756" i="1"/>
  <c r="I756" i="1"/>
  <c r="H756" i="1"/>
  <c r="G756" i="1"/>
  <c r="E777" i="1"/>
  <c r="C777" i="1"/>
  <c r="D787" i="1" s="1"/>
  <c r="M767" i="1"/>
  <c r="L767" i="1"/>
  <c r="K767" i="1"/>
  <c r="J767" i="1"/>
  <c r="I767" i="1"/>
  <c r="H767" i="1"/>
  <c r="G767" i="1"/>
  <c r="F767" i="1"/>
  <c r="C768" i="1"/>
  <c r="D778" i="1" s="1"/>
  <c r="E768" i="1"/>
  <c r="M758" i="1"/>
  <c r="I758" i="1"/>
  <c r="H758" i="1"/>
  <c r="G758" i="1"/>
  <c r="F758" i="1"/>
  <c r="L758" i="1"/>
  <c r="K758" i="1"/>
  <c r="J758" i="1"/>
  <c r="E792" i="1" l="1"/>
  <c r="C792" i="1"/>
  <c r="D802" i="1" s="1"/>
  <c r="M782" i="1"/>
  <c r="L782" i="1"/>
  <c r="K782" i="1"/>
  <c r="J782" i="1"/>
  <c r="I782" i="1"/>
  <c r="H782" i="1"/>
  <c r="G782" i="1"/>
  <c r="F782" i="1"/>
  <c r="M773" i="1"/>
  <c r="J773" i="1"/>
  <c r="I773" i="1"/>
  <c r="H773" i="1"/>
  <c r="G773" i="1"/>
  <c r="F773" i="1"/>
  <c r="L773" i="1"/>
  <c r="K773" i="1"/>
  <c r="M768" i="1"/>
  <c r="L768" i="1"/>
  <c r="K768" i="1"/>
  <c r="J768" i="1"/>
  <c r="I768" i="1"/>
  <c r="H768" i="1"/>
  <c r="G768" i="1"/>
  <c r="F768" i="1"/>
  <c r="E783" i="1"/>
  <c r="C783" i="1"/>
  <c r="D793" i="1" s="1"/>
  <c r="E778" i="1"/>
  <c r="C778" i="1"/>
  <c r="D788" i="1" s="1"/>
  <c r="E789" i="1"/>
  <c r="C789" i="1"/>
  <c r="D799" i="1" s="1"/>
  <c r="M779" i="1"/>
  <c r="L779" i="1"/>
  <c r="K779" i="1"/>
  <c r="J779" i="1"/>
  <c r="I779" i="1"/>
  <c r="H779" i="1"/>
  <c r="G779" i="1"/>
  <c r="F779" i="1"/>
  <c r="E776" i="1"/>
  <c r="C776" i="1"/>
  <c r="D786" i="1" s="1"/>
  <c r="E787" i="1"/>
  <c r="C787" i="1"/>
  <c r="D797" i="1" s="1"/>
  <c r="H766" i="1"/>
  <c r="G766" i="1"/>
  <c r="F766" i="1"/>
  <c r="E785" i="1"/>
  <c r="M766" i="1"/>
  <c r="L766" i="1"/>
  <c r="K766" i="1"/>
  <c r="J766" i="1"/>
  <c r="I766" i="1"/>
  <c r="M777" i="1"/>
  <c r="L777" i="1"/>
  <c r="K777" i="1"/>
  <c r="J777" i="1"/>
  <c r="I777" i="1"/>
  <c r="H777" i="1"/>
  <c r="G777" i="1"/>
  <c r="F777" i="1"/>
  <c r="E781" i="1"/>
  <c r="C781" i="1"/>
  <c r="D791" i="1" s="1"/>
  <c r="C790" i="1"/>
  <c r="D800" i="1" s="1"/>
  <c r="E790" i="1"/>
  <c r="H771" i="1"/>
  <c r="G771" i="1"/>
  <c r="F771" i="1"/>
  <c r="M771" i="1"/>
  <c r="L771" i="1"/>
  <c r="K771" i="1"/>
  <c r="J771" i="1"/>
  <c r="I771" i="1"/>
  <c r="M780" i="1"/>
  <c r="L780" i="1"/>
  <c r="K780" i="1"/>
  <c r="J780" i="1"/>
  <c r="I780" i="1"/>
  <c r="H780" i="1"/>
  <c r="G780" i="1"/>
  <c r="F780" i="1"/>
  <c r="E799" i="1" l="1"/>
  <c r="C799" i="1"/>
  <c r="D809" i="1" s="1"/>
  <c r="M789" i="1"/>
  <c r="L789" i="1"/>
  <c r="K789" i="1"/>
  <c r="J789" i="1"/>
  <c r="I789" i="1"/>
  <c r="H789" i="1"/>
  <c r="G789" i="1"/>
  <c r="F789" i="1"/>
  <c r="E788" i="1"/>
  <c r="C788" i="1"/>
  <c r="D798" i="1" s="1"/>
  <c r="F778" i="1"/>
  <c r="M778" i="1"/>
  <c r="L778" i="1"/>
  <c r="K778" i="1"/>
  <c r="J778" i="1"/>
  <c r="I778" i="1"/>
  <c r="H778" i="1"/>
  <c r="G778" i="1"/>
  <c r="E793" i="1"/>
  <c r="C793" i="1"/>
  <c r="D803" i="1" s="1"/>
  <c r="F783" i="1"/>
  <c r="G783" i="1"/>
  <c r="M783" i="1"/>
  <c r="L783" i="1"/>
  <c r="K783" i="1"/>
  <c r="J783" i="1"/>
  <c r="I783" i="1"/>
  <c r="H783" i="1"/>
  <c r="M790" i="1"/>
  <c r="L790" i="1"/>
  <c r="K790" i="1"/>
  <c r="J790" i="1"/>
  <c r="I790" i="1"/>
  <c r="H790" i="1"/>
  <c r="G790" i="1"/>
  <c r="F790" i="1"/>
  <c r="E800" i="1"/>
  <c r="C800" i="1"/>
  <c r="D810" i="1" s="1"/>
  <c r="E797" i="1"/>
  <c r="C797" i="1"/>
  <c r="D807" i="1" s="1"/>
  <c r="E791" i="1"/>
  <c r="C791" i="1"/>
  <c r="D801" i="1" s="1"/>
  <c r="M787" i="1"/>
  <c r="L787" i="1"/>
  <c r="K787" i="1"/>
  <c r="J787" i="1"/>
  <c r="I787" i="1"/>
  <c r="H787" i="1"/>
  <c r="G787" i="1"/>
  <c r="F787" i="1"/>
  <c r="J781" i="1"/>
  <c r="I781" i="1"/>
  <c r="H781" i="1"/>
  <c r="G781" i="1"/>
  <c r="F781" i="1"/>
  <c r="M781" i="1"/>
  <c r="L781" i="1"/>
  <c r="K781" i="1"/>
  <c r="E786" i="1"/>
  <c r="C786" i="1"/>
  <c r="D796" i="1" s="1"/>
  <c r="E802" i="1"/>
  <c r="C802" i="1"/>
  <c r="D812" i="1" s="1"/>
  <c r="J776" i="1"/>
  <c r="I776" i="1"/>
  <c r="H776" i="1"/>
  <c r="G776" i="1"/>
  <c r="F776" i="1"/>
  <c r="E795" i="1"/>
  <c r="M776" i="1"/>
  <c r="L776" i="1"/>
  <c r="K776" i="1"/>
  <c r="M792" i="1"/>
  <c r="L792" i="1"/>
  <c r="K792" i="1"/>
  <c r="J792" i="1"/>
  <c r="I792" i="1"/>
  <c r="H792" i="1"/>
  <c r="G792" i="1"/>
  <c r="F792" i="1"/>
  <c r="E810" i="1" l="1"/>
  <c r="C810" i="1"/>
  <c r="D820" i="1" s="1"/>
  <c r="E798" i="1"/>
  <c r="C798" i="1"/>
  <c r="D808" i="1" s="1"/>
  <c r="H788" i="1"/>
  <c r="G788" i="1"/>
  <c r="F788" i="1"/>
  <c r="L788" i="1"/>
  <c r="K788" i="1"/>
  <c r="J788" i="1"/>
  <c r="I788" i="1"/>
  <c r="M788" i="1"/>
  <c r="F800" i="1"/>
  <c r="M800" i="1"/>
  <c r="L800" i="1"/>
  <c r="K800" i="1"/>
  <c r="J800" i="1"/>
  <c r="I800" i="1"/>
  <c r="H800" i="1"/>
  <c r="G800" i="1"/>
  <c r="C812" i="1"/>
  <c r="D822" i="1" s="1"/>
  <c r="E812" i="1"/>
  <c r="E801" i="1"/>
  <c r="C801" i="1"/>
  <c r="D811" i="1" s="1"/>
  <c r="M802" i="1"/>
  <c r="L802" i="1"/>
  <c r="K802" i="1"/>
  <c r="J802" i="1"/>
  <c r="I802" i="1"/>
  <c r="H802" i="1"/>
  <c r="G802" i="1"/>
  <c r="F802" i="1"/>
  <c r="L791" i="1"/>
  <c r="K791" i="1"/>
  <c r="J791" i="1"/>
  <c r="I791" i="1"/>
  <c r="H791" i="1"/>
  <c r="G791" i="1"/>
  <c r="F791" i="1"/>
  <c r="M791" i="1"/>
  <c r="E796" i="1"/>
  <c r="C796" i="1"/>
  <c r="D806" i="1" s="1"/>
  <c r="C807" i="1"/>
  <c r="D817" i="1" s="1"/>
  <c r="E807" i="1"/>
  <c r="E803" i="1"/>
  <c r="C803" i="1"/>
  <c r="D813" i="1" s="1"/>
  <c r="E809" i="1"/>
  <c r="C809" i="1"/>
  <c r="D819" i="1" s="1"/>
  <c r="L786" i="1"/>
  <c r="K786" i="1"/>
  <c r="J786" i="1"/>
  <c r="I786" i="1"/>
  <c r="H786" i="1"/>
  <c r="G786" i="1"/>
  <c r="F786" i="1"/>
  <c r="M786" i="1"/>
  <c r="E805" i="1"/>
  <c r="M797" i="1"/>
  <c r="L797" i="1"/>
  <c r="K797" i="1"/>
  <c r="J797" i="1"/>
  <c r="I797" i="1"/>
  <c r="H797" i="1"/>
  <c r="G797" i="1"/>
  <c r="F797" i="1"/>
  <c r="H793" i="1"/>
  <c r="G793" i="1"/>
  <c r="F793" i="1"/>
  <c r="M793" i="1"/>
  <c r="L793" i="1"/>
  <c r="K793" i="1"/>
  <c r="J793" i="1"/>
  <c r="I793" i="1"/>
  <c r="M799" i="1"/>
  <c r="L799" i="1"/>
  <c r="K799" i="1"/>
  <c r="J799" i="1"/>
  <c r="I799" i="1"/>
  <c r="H799" i="1"/>
  <c r="G799" i="1"/>
  <c r="F799" i="1"/>
  <c r="E819" i="1" l="1"/>
  <c r="C819" i="1"/>
  <c r="D829" i="1" s="1"/>
  <c r="M809" i="1"/>
  <c r="L809" i="1"/>
  <c r="K809" i="1"/>
  <c r="J809" i="1"/>
  <c r="I809" i="1"/>
  <c r="H809" i="1"/>
  <c r="G809" i="1"/>
  <c r="F809" i="1"/>
  <c r="E813" i="1"/>
  <c r="C813" i="1"/>
  <c r="D823" i="1" s="1"/>
  <c r="J803" i="1"/>
  <c r="I803" i="1"/>
  <c r="H803" i="1"/>
  <c r="G803" i="1"/>
  <c r="F803" i="1"/>
  <c r="L803" i="1"/>
  <c r="K803" i="1"/>
  <c r="M803" i="1"/>
  <c r="M807" i="1"/>
  <c r="L807" i="1"/>
  <c r="K807" i="1"/>
  <c r="I807" i="1"/>
  <c r="J807" i="1"/>
  <c r="H807" i="1"/>
  <c r="G807" i="1"/>
  <c r="F807" i="1"/>
  <c r="E811" i="1"/>
  <c r="C811" i="1"/>
  <c r="D821" i="1" s="1"/>
  <c r="E808" i="1"/>
  <c r="C808" i="1"/>
  <c r="D818" i="1" s="1"/>
  <c r="E817" i="1"/>
  <c r="C817" i="1"/>
  <c r="D827" i="1" s="1"/>
  <c r="M801" i="1"/>
  <c r="L801" i="1"/>
  <c r="K801" i="1"/>
  <c r="J801" i="1"/>
  <c r="I801" i="1"/>
  <c r="H801" i="1"/>
  <c r="G801" i="1"/>
  <c r="F801" i="1"/>
  <c r="J798" i="1"/>
  <c r="I798" i="1"/>
  <c r="H798" i="1"/>
  <c r="G798" i="1"/>
  <c r="F798" i="1"/>
  <c r="M798" i="1"/>
  <c r="L798" i="1"/>
  <c r="K798" i="1"/>
  <c r="E806" i="1"/>
  <c r="C806" i="1"/>
  <c r="D816" i="1" s="1"/>
  <c r="M812" i="1"/>
  <c r="L812" i="1"/>
  <c r="K812" i="1"/>
  <c r="J812" i="1"/>
  <c r="I812" i="1"/>
  <c r="F812" i="1"/>
  <c r="H812" i="1"/>
  <c r="G812" i="1"/>
  <c r="E820" i="1"/>
  <c r="C820" i="1"/>
  <c r="D830" i="1" s="1"/>
  <c r="M796" i="1"/>
  <c r="L796" i="1"/>
  <c r="K796" i="1"/>
  <c r="J796" i="1"/>
  <c r="I796" i="1"/>
  <c r="H796" i="1"/>
  <c r="G796" i="1"/>
  <c r="F796" i="1"/>
  <c r="E815" i="1"/>
  <c r="E822" i="1"/>
  <c r="C822" i="1"/>
  <c r="D832" i="1" s="1"/>
  <c r="H810" i="1"/>
  <c r="G810" i="1"/>
  <c r="F810" i="1"/>
  <c r="M810" i="1"/>
  <c r="J810" i="1"/>
  <c r="L810" i="1"/>
  <c r="K810" i="1"/>
  <c r="I810" i="1"/>
  <c r="E827" i="1" l="1"/>
  <c r="C827" i="1"/>
  <c r="D837" i="1" s="1"/>
  <c r="E832" i="1"/>
  <c r="C832" i="1"/>
  <c r="D842" i="1" s="1"/>
  <c r="F817" i="1"/>
  <c r="M817" i="1"/>
  <c r="L817" i="1"/>
  <c r="K817" i="1"/>
  <c r="J817" i="1"/>
  <c r="H817" i="1"/>
  <c r="I817" i="1"/>
  <c r="G817" i="1"/>
  <c r="F822" i="1"/>
  <c r="M822" i="1"/>
  <c r="L822" i="1"/>
  <c r="K822" i="1"/>
  <c r="J822" i="1"/>
  <c r="H822" i="1"/>
  <c r="I822" i="1"/>
  <c r="G822" i="1"/>
  <c r="E816" i="1"/>
  <c r="C816" i="1"/>
  <c r="D826" i="1" s="1"/>
  <c r="E818" i="1"/>
  <c r="C818" i="1"/>
  <c r="D828" i="1" s="1"/>
  <c r="E823" i="1"/>
  <c r="C823" i="1"/>
  <c r="D833" i="1" s="1"/>
  <c r="M806" i="1"/>
  <c r="L806" i="1"/>
  <c r="K806" i="1"/>
  <c r="J806" i="1"/>
  <c r="I806" i="1"/>
  <c r="H806" i="1"/>
  <c r="G806" i="1"/>
  <c r="F806" i="1"/>
  <c r="E825" i="1"/>
  <c r="L808" i="1"/>
  <c r="K808" i="1"/>
  <c r="J808" i="1"/>
  <c r="I808" i="1"/>
  <c r="H808" i="1"/>
  <c r="G808" i="1"/>
  <c r="F808" i="1"/>
  <c r="M808" i="1"/>
  <c r="L813" i="1"/>
  <c r="K813" i="1"/>
  <c r="J813" i="1"/>
  <c r="I813" i="1"/>
  <c r="H813" i="1"/>
  <c r="G813" i="1"/>
  <c r="F813" i="1"/>
  <c r="M813" i="1"/>
  <c r="E821" i="1"/>
  <c r="C821" i="1"/>
  <c r="D831" i="1" s="1"/>
  <c r="M811" i="1"/>
  <c r="L811" i="1"/>
  <c r="K811" i="1"/>
  <c r="J811" i="1"/>
  <c r="I811" i="1"/>
  <c r="H811" i="1"/>
  <c r="G811" i="1"/>
  <c r="F811" i="1"/>
  <c r="E830" i="1"/>
  <c r="C830" i="1"/>
  <c r="D840" i="1" s="1"/>
  <c r="C829" i="1"/>
  <c r="D839" i="1" s="1"/>
  <c r="E829" i="1"/>
  <c r="J820" i="1"/>
  <c r="I820" i="1"/>
  <c r="H820" i="1"/>
  <c r="G820" i="1"/>
  <c r="F820" i="1"/>
  <c r="L820" i="1"/>
  <c r="M820" i="1"/>
  <c r="K820" i="1"/>
  <c r="M819" i="1"/>
  <c r="L819" i="1"/>
  <c r="K819" i="1"/>
  <c r="J819" i="1"/>
  <c r="I819" i="1"/>
  <c r="H819" i="1"/>
  <c r="G819" i="1"/>
  <c r="F819" i="1"/>
  <c r="E831" i="1" l="1"/>
  <c r="C831" i="1"/>
  <c r="D841" i="1" s="1"/>
  <c r="M821" i="1"/>
  <c r="L821" i="1"/>
  <c r="K821" i="1"/>
  <c r="J821" i="1"/>
  <c r="I821" i="1"/>
  <c r="H821" i="1"/>
  <c r="G821" i="1"/>
  <c r="F821" i="1"/>
  <c r="E833" i="1"/>
  <c r="C833" i="1"/>
  <c r="D843" i="1" s="1"/>
  <c r="M829" i="1"/>
  <c r="L829" i="1"/>
  <c r="K829" i="1"/>
  <c r="J829" i="1"/>
  <c r="I829" i="1"/>
  <c r="H829" i="1"/>
  <c r="G829" i="1"/>
  <c r="F829" i="1"/>
  <c r="M823" i="1"/>
  <c r="L823" i="1"/>
  <c r="K823" i="1"/>
  <c r="J823" i="1"/>
  <c r="I823" i="1"/>
  <c r="H823" i="1"/>
  <c r="G823" i="1"/>
  <c r="F823" i="1"/>
  <c r="E839" i="1"/>
  <c r="C839" i="1"/>
  <c r="D849" i="1" s="1"/>
  <c r="E828" i="1"/>
  <c r="C828" i="1"/>
  <c r="D838" i="1" s="1"/>
  <c r="E842" i="1"/>
  <c r="C842" i="1"/>
  <c r="D852" i="1" s="1"/>
  <c r="E840" i="1"/>
  <c r="C840" i="1"/>
  <c r="D850" i="1" s="1"/>
  <c r="M818" i="1"/>
  <c r="L818" i="1"/>
  <c r="K818" i="1"/>
  <c r="J818" i="1"/>
  <c r="I818" i="1"/>
  <c r="H818" i="1"/>
  <c r="G818" i="1"/>
  <c r="F818" i="1"/>
  <c r="H832" i="1"/>
  <c r="G832" i="1"/>
  <c r="F832" i="1"/>
  <c r="M832" i="1"/>
  <c r="L832" i="1"/>
  <c r="K832" i="1"/>
  <c r="J832" i="1"/>
  <c r="I832" i="1"/>
  <c r="L830" i="1"/>
  <c r="K830" i="1"/>
  <c r="J830" i="1"/>
  <c r="I830" i="1"/>
  <c r="H830" i="1"/>
  <c r="G830" i="1"/>
  <c r="F830" i="1"/>
  <c r="M830" i="1"/>
  <c r="E826" i="1"/>
  <c r="C826" i="1"/>
  <c r="D836" i="1" s="1"/>
  <c r="E837" i="1"/>
  <c r="C837" i="1"/>
  <c r="D847" i="1" s="1"/>
  <c r="E835" i="1"/>
  <c r="M816" i="1"/>
  <c r="L816" i="1"/>
  <c r="K816" i="1"/>
  <c r="J816" i="1"/>
  <c r="I816" i="1"/>
  <c r="H816" i="1"/>
  <c r="G816" i="1"/>
  <c r="F816" i="1"/>
  <c r="H827" i="1"/>
  <c r="G827" i="1"/>
  <c r="F827" i="1"/>
  <c r="M827" i="1"/>
  <c r="L827" i="1"/>
  <c r="K827" i="1"/>
  <c r="J827" i="1"/>
  <c r="I827" i="1"/>
  <c r="E850" i="1" l="1"/>
  <c r="C850" i="1"/>
  <c r="D860" i="1" s="1"/>
  <c r="M840" i="1"/>
  <c r="L840" i="1"/>
  <c r="K840" i="1"/>
  <c r="J840" i="1"/>
  <c r="I840" i="1"/>
  <c r="H840" i="1"/>
  <c r="G840" i="1"/>
  <c r="F840" i="1"/>
  <c r="E852" i="1"/>
  <c r="C852" i="1"/>
  <c r="D862" i="1" s="1"/>
  <c r="J842" i="1"/>
  <c r="I842" i="1"/>
  <c r="H842" i="1"/>
  <c r="G842" i="1"/>
  <c r="F842" i="1"/>
  <c r="M842" i="1"/>
  <c r="L842" i="1"/>
  <c r="K842" i="1"/>
  <c r="E838" i="1"/>
  <c r="C838" i="1"/>
  <c r="D848" i="1" s="1"/>
  <c r="E843" i="1"/>
  <c r="C843" i="1"/>
  <c r="D853" i="1" s="1"/>
  <c r="M828" i="1"/>
  <c r="L828" i="1"/>
  <c r="K828" i="1"/>
  <c r="J828" i="1"/>
  <c r="I828" i="1"/>
  <c r="H828" i="1"/>
  <c r="G828" i="1"/>
  <c r="F828" i="1"/>
  <c r="M833" i="1"/>
  <c r="L833" i="1"/>
  <c r="K833" i="1"/>
  <c r="J833" i="1"/>
  <c r="I833" i="1"/>
  <c r="H833" i="1"/>
  <c r="G833" i="1"/>
  <c r="F833" i="1"/>
  <c r="E849" i="1"/>
  <c r="C849" i="1"/>
  <c r="D859" i="1" s="1"/>
  <c r="F839" i="1"/>
  <c r="M839" i="1"/>
  <c r="L839" i="1"/>
  <c r="K839" i="1"/>
  <c r="J839" i="1"/>
  <c r="I839" i="1"/>
  <c r="H839" i="1"/>
  <c r="G839" i="1"/>
  <c r="E847" i="1"/>
  <c r="C847" i="1"/>
  <c r="D857" i="1" s="1"/>
  <c r="J837" i="1"/>
  <c r="I837" i="1"/>
  <c r="H837" i="1"/>
  <c r="G837" i="1"/>
  <c r="F837" i="1"/>
  <c r="M837" i="1"/>
  <c r="L837" i="1"/>
  <c r="K837" i="1"/>
  <c r="E836" i="1"/>
  <c r="C836" i="1"/>
  <c r="D846" i="1" s="1"/>
  <c r="E841" i="1"/>
  <c r="C841" i="1"/>
  <c r="D851" i="1" s="1"/>
  <c r="E845" i="1"/>
  <c r="M826" i="1"/>
  <c r="L826" i="1"/>
  <c r="K826" i="1"/>
  <c r="J826" i="1"/>
  <c r="I826" i="1"/>
  <c r="H826" i="1"/>
  <c r="G826" i="1"/>
  <c r="F826" i="1"/>
  <c r="M831" i="1"/>
  <c r="L831" i="1"/>
  <c r="K831" i="1"/>
  <c r="J831" i="1"/>
  <c r="I831" i="1"/>
  <c r="H831" i="1"/>
  <c r="G831" i="1"/>
  <c r="F831" i="1"/>
  <c r="E857" i="1" l="1"/>
  <c r="C857" i="1"/>
  <c r="D867" i="1" s="1"/>
  <c r="E862" i="1"/>
  <c r="C862" i="1"/>
  <c r="D872" i="1" s="1"/>
  <c r="L847" i="1"/>
  <c r="K847" i="1"/>
  <c r="J847" i="1"/>
  <c r="I847" i="1"/>
  <c r="H847" i="1"/>
  <c r="G847" i="1"/>
  <c r="F847" i="1"/>
  <c r="M847" i="1"/>
  <c r="L852" i="1"/>
  <c r="K852" i="1"/>
  <c r="J852" i="1"/>
  <c r="I852" i="1"/>
  <c r="H852" i="1"/>
  <c r="G852" i="1"/>
  <c r="F852" i="1"/>
  <c r="M852" i="1"/>
  <c r="C851" i="1"/>
  <c r="D861" i="1" s="1"/>
  <c r="E851" i="1"/>
  <c r="E853" i="1"/>
  <c r="C853" i="1"/>
  <c r="D863" i="1" s="1"/>
  <c r="M841" i="1"/>
  <c r="L841" i="1"/>
  <c r="K841" i="1"/>
  <c r="J841" i="1"/>
  <c r="I841" i="1"/>
  <c r="H841" i="1"/>
  <c r="G841" i="1"/>
  <c r="F841" i="1"/>
  <c r="M843" i="1"/>
  <c r="L843" i="1"/>
  <c r="K843" i="1"/>
  <c r="J843" i="1"/>
  <c r="I843" i="1"/>
  <c r="H843" i="1"/>
  <c r="G843" i="1"/>
  <c r="F843" i="1"/>
  <c r="C846" i="1"/>
  <c r="D856" i="1" s="1"/>
  <c r="E846" i="1"/>
  <c r="E859" i="1"/>
  <c r="C859" i="1"/>
  <c r="D869" i="1" s="1"/>
  <c r="E848" i="1"/>
  <c r="C848" i="1"/>
  <c r="D858" i="1" s="1"/>
  <c r="E860" i="1"/>
  <c r="C860" i="1"/>
  <c r="D870" i="1" s="1"/>
  <c r="E855" i="1"/>
  <c r="M836" i="1"/>
  <c r="L836" i="1"/>
  <c r="K836" i="1"/>
  <c r="J836" i="1"/>
  <c r="I836" i="1"/>
  <c r="H836" i="1"/>
  <c r="G836" i="1"/>
  <c r="F836" i="1"/>
  <c r="H849" i="1"/>
  <c r="G849" i="1"/>
  <c r="F849" i="1"/>
  <c r="M849" i="1"/>
  <c r="L849" i="1"/>
  <c r="K849" i="1"/>
  <c r="J849" i="1"/>
  <c r="I849" i="1"/>
  <c r="M838" i="1"/>
  <c r="L838" i="1"/>
  <c r="K838" i="1"/>
  <c r="J838" i="1"/>
  <c r="I838" i="1"/>
  <c r="H838" i="1"/>
  <c r="G838" i="1"/>
  <c r="F838" i="1"/>
  <c r="M850" i="1"/>
  <c r="L850" i="1"/>
  <c r="K850" i="1"/>
  <c r="J850" i="1"/>
  <c r="I850" i="1"/>
  <c r="H850" i="1"/>
  <c r="G850" i="1"/>
  <c r="F850" i="1"/>
  <c r="E870" i="1" l="1"/>
  <c r="C870" i="1"/>
  <c r="D880" i="1" s="1"/>
  <c r="M860" i="1"/>
  <c r="L860" i="1"/>
  <c r="K860" i="1"/>
  <c r="J860" i="1"/>
  <c r="I860" i="1"/>
  <c r="H860" i="1"/>
  <c r="G860" i="1"/>
  <c r="F860" i="1"/>
  <c r="E858" i="1"/>
  <c r="C858" i="1"/>
  <c r="D868" i="1" s="1"/>
  <c r="M848" i="1"/>
  <c r="L848" i="1"/>
  <c r="K848" i="1"/>
  <c r="J848" i="1"/>
  <c r="I848" i="1"/>
  <c r="H848" i="1"/>
  <c r="G848" i="1"/>
  <c r="F848" i="1"/>
  <c r="E869" i="1"/>
  <c r="C869" i="1"/>
  <c r="D879" i="1" s="1"/>
  <c r="E863" i="1"/>
  <c r="C863" i="1"/>
  <c r="D873" i="1" s="1"/>
  <c r="E872" i="1"/>
  <c r="C872" i="1"/>
  <c r="D882" i="1" s="1"/>
  <c r="J859" i="1"/>
  <c r="I859" i="1"/>
  <c r="H859" i="1"/>
  <c r="G859" i="1"/>
  <c r="F859" i="1"/>
  <c r="M859" i="1"/>
  <c r="L859" i="1"/>
  <c r="K859" i="1"/>
  <c r="M853" i="1"/>
  <c r="L853" i="1"/>
  <c r="K853" i="1"/>
  <c r="J853" i="1"/>
  <c r="I853" i="1"/>
  <c r="H853" i="1"/>
  <c r="G853" i="1"/>
  <c r="F853" i="1"/>
  <c r="M862" i="1"/>
  <c r="L862" i="1"/>
  <c r="K862" i="1"/>
  <c r="J862" i="1"/>
  <c r="I862" i="1"/>
  <c r="H862" i="1"/>
  <c r="G862" i="1"/>
  <c r="F862" i="1"/>
  <c r="E865" i="1"/>
  <c r="M846" i="1"/>
  <c r="L846" i="1"/>
  <c r="K846" i="1"/>
  <c r="J846" i="1"/>
  <c r="I846" i="1"/>
  <c r="H846" i="1"/>
  <c r="G846" i="1"/>
  <c r="F846" i="1"/>
  <c r="M851" i="1"/>
  <c r="L851" i="1"/>
  <c r="K851" i="1"/>
  <c r="J851" i="1"/>
  <c r="I851" i="1"/>
  <c r="H851" i="1"/>
  <c r="G851" i="1"/>
  <c r="F851" i="1"/>
  <c r="E867" i="1"/>
  <c r="C867" i="1"/>
  <c r="D877" i="1" s="1"/>
  <c r="E856" i="1"/>
  <c r="C856" i="1"/>
  <c r="D866" i="1" s="1"/>
  <c r="E861" i="1"/>
  <c r="C861" i="1"/>
  <c r="D871" i="1" s="1"/>
  <c r="M857" i="1"/>
  <c r="L857" i="1"/>
  <c r="K857" i="1"/>
  <c r="J857" i="1"/>
  <c r="I857" i="1"/>
  <c r="H857" i="1"/>
  <c r="G857" i="1"/>
  <c r="F857" i="1"/>
  <c r="C871" i="1" l="1"/>
  <c r="D881" i="1" s="1"/>
  <c r="E871" i="1"/>
  <c r="F861" i="1"/>
  <c r="M861" i="1"/>
  <c r="L861" i="1"/>
  <c r="K861" i="1"/>
  <c r="J861" i="1"/>
  <c r="I861" i="1"/>
  <c r="H861" i="1"/>
  <c r="G861" i="1"/>
  <c r="C868" i="1"/>
  <c r="D878" i="1" s="1"/>
  <c r="E868" i="1"/>
  <c r="E866" i="1"/>
  <c r="C866" i="1"/>
  <c r="D876" i="1" s="1"/>
  <c r="M858" i="1"/>
  <c r="L858" i="1"/>
  <c r="K858" i="1"/>
  <c r="J858" i="1"/>
  <c r="I858" i="1"/>
  <c r="H858" i="1"/>
  <c r="G858" i="1"/>
  <c r="F858" i="1"/>
  <c r="F856" i="1"/>
  <c r="M856" i="1"/>
  <c r="L856" i="1"/>
  <c r="K856" i="1"/>
  <c r="J856" i="1"/>
  <c r="I856" i="1"/>
  <c r="H856" i="1"/>
  <c r="E875" i="1"/>
  <c r="G856" i="1"/>
  <c r="E877" i="1"/>
  <c r="C877" i="1"/>
  <c r="D887" i="1" s="1"/>
  <c r="M867" i="1"/>
  <c r="L867" i="1"/>
  <c r="K867" i="1"/>
  <c r="J867" i="1"/>
  <c r="I867" i="1"/>
  <c r="H867" i="1"/>
  <c r="G867" i="1"/>
  <c r="F867" i="1"/>
  <c r="E882" i="1"/>
  <c r="C882" i="1"/>
  <c r="D892" i="1" s="1"/>
  <c r="K872" i="1"/>
  <c r="I872" i="1"/>
  <c r="G872" i="1"/>
  <c r="M872" i="1"/>
  <c r="L872" i="1"/>
  <c r="J872" i="1"/>
  <c r="H872" i="1"/>
  <c r="F872" i="1"/>
  <c r="E873" i="1"/>
  <c r="C873" i="1"/>
  <c r="D883" i="1" s="1"/>
  <c r="M863" i="1"/>
  <c r="L863" i="1"/>
  <c r="K863" i="1"/>
  <c r="J863" i="1"/>
  <c r="I863" i="1"/>
  <c r="H863" i="1"/>
  <c r="G863" i="1"/>
  <c r="F863" i="1"/>
  <c r="E879" i="1"/>
  <c r="C879" i="1"/>
  <c r="D889" i="1" s="1"/>
  <c r="E880" i="1"/>
  <c r="C880" i="1"/>
  <c r="D890" i="1" s="1"/>
  <c r="L869" i="1"/>
  <c r="K869" i="1"/>
  <c r="J869" i="1"/>
  <c r="I869" i="1"/>
  <c r="H869" i="1"/>
  <c r="G869" i="1"/>
  <c r="F869" i="1"/>
  <c r="M869" i="1"/>
  <c r="M870" i="1"/>
  <c r="K870" i="1"/>
  <c r="L870" i="1"/>
  <c r="J870" i="1"/>
  <c r="I870" i="1"/>
  <c r="H870" i="1"/>
  <c r="G870" i="1"/>
  <c r="F870" i="1"/>
  <c r="E876" i="1" l="1"/>
  <c r="C876" i="1"/>
  <c r="D886" i="1" s="1"/>
  <c r="E883" i="1"/>
  <c r="C883" i="1"/>
  <c r="D893" i="1" s="1"/>
  <c r="E887" i="1"/>
  <c r="C887" i="1"/>
  <c r="D897" i="1" s="1"/>
  <c r="H866" i="1"/>
  <c r="G866" i="1"/>
  <c r="F866" i="1"/>
  <c r="E885" i="1"/>
  <c r="M866" i="1"/>
  <c r="L866" i="1"/>
  <c r="K866" i="1"/>
  <c r="J866" i="1"/>
  <c r="I866" i="1"/>
  <c r="M873" i="1"/>
  <c r="K873" i="1"/>
  <c r="L873" i="1"/>
  <c r="J873" i="1"/>
  <c r="I873" i="1"/>
  <c r="H873" i="1"/>
  <c r="G873" i="1"/>
  <c r="F873" i="1"/>
  <c r="M877" i="1"/>
  <c r="K877" i="1"/>
  <c r="I877" i="1"/>
  <c r="G877" i="1"/>
  <c r="L877" i="1"/>
  <c r="J877" i="1"/>
  <c r="H877" i="1"/>
  <c r="F877" i="1"/>
  <c r="M868" i="1"/>
  <c r="L868" i="1"/>
  <c r="K868" i="1"/>
  <c r="J868" i="1"/>
  <c r="I868" i="1"/>
  <c r="H868" i="1"/>
  <c r="G868" i="1"/>
  <c r="F868" i="1"/>
  <c r="C878" i="1"/>
  <c r="D888" i="1" s="1"/>
  <c r="E878" i="1"/>
  <c r="E890" i="1"/>
  <c r="C890" i="1"/>
  <c r="D900" i="1" s="1"/>
  <c r="M880" i="1"/>
  <c r="K880" i="1"/>
  <c r="I880" i="1"/>
  <c r="L880" i="1"/>
  <c r="J880" i="1"/>
  <c r="H880" i="1"/>
  <c r="G880" i="1"/>
  <c r="F880" i="1"/>
  <c r="E889" i="1"/>
  <c r="C889" i="1"/>
  <c r="D899" i="1" s="1"/>
  <c r="E892" i="1"/>
  <c r="C892" i="1"/>
  <c r="D902" i="1" s="1"/>
  <c r="I879" i="1"/>
  <c r="G879" i="1"/>
  <c r="M879" i="1"/>
  <c r="L879" i="1"/>
  <c r="K879" i="1"/>
  <c r="J879" i="1"/>
  <c r="H879" i="1"/>
  <c r="F879" i="1"/>
  <c r="M882" i="1"/>
  <c r="L882" i="1"/>
  <c r="K882" i="1"/>
  <c r="I882" i="1"/>
  <c r="G882" i="1"/>
  <c r="H882" i="1"/>
  <c r="F882" i="1"/>
  <c r="J882" i="1"/>
  <c r="K871" i="1"/>
  <c r="J871" i="1"/>
  <c r="I871" i="1"/>
  <c r="H871" i="1"/>
  <c r="G871" i="1"/>
  <c r="F871" i="1"/>
  <c r="M871" i="1"/>
  <c r="L871" i="1"/>
  <c r="E881" i="1"/>
  <c r="C881" i="1"/>
  <c r="D891" i="1" s="1"/>
  <c r="C902" i="1" l="1"/>
  <c r="D912" i="1" s="1"/>
  <c r="E902" i="1"/>
  <c r="M892" i="1"/>
  <c r="L892" i="1"/>
  <c r="K892" i="1"/>
  <c r="J892" i="1"/>
  <c r="I892" i="1"/>
  <c r="H892" i="1"/>
  <c r="G892" i="1"/>
  <c r="F892" i="1"/>
  <c r="E899" i="1"/>
  <c r="C899" i="1"/>
  <c r="D909" i="1" s="1"/>
  <c r="L889" i="1"/>
  <c r="K889" i="1"/>
  <c r="J889" i="1"/>
  <c r="I889" i="1"/>
  <c r="G889" i="1"/>
  <c r="F889" i="1"/>
  <c r="M889" i="1"/>
  <c r="H889" i="1"/>
  <c r="M881" i="1"/>
  <c r="L881" i="1"/>
  <c r="K881" i="1"/>
  <c r="J881" i="1"/>
  <c r="I881" i="1"/>
  <c r="H881" i="1"/>
  <c r="G881" i="1"/>
  <c r="F881" i="1"/>
  <c r="E897" i="1"/>
  <c r="C897" i="1"/>
  <c r="D907" i="1" s="1"/>
  <c r="M887" i="1"/>
  <c r="K887" i="1"/>
  <c r="I887" i="1"/>
  <c r="H887" i="1"/>
  <c r="G887" i="1"/>
  <c r="L887" i="1"/>
  <c r="J887" i="1"/>
  <c r="F887" i="1"/>
  <c r="C888" i="1"/>
  <c r="D898" i="1" s="1"/>
  <c r="E888" i="1"/>
  <c r="C893" i="1"/>
  <c r="D903" i="1" s="1"/>
  <c r="E893" i="1"/>
  <c r="E900" i="1"/>
  <c r="C900" i="1"/>
  <c r="D910" i="1" s="1"/>
  <c r="M883" i="1"/>
  <c r="L883" i="1"/>
  <c r="K883" i="1"/>
  <c r="J883" i="1"/>
  <c r="I883" i="1"/>
  <c r="H883" i="1"/>
  <c r="G883" i="1"/>
  <c r="F883" i="1"/>
  <c r="M890" i="1"/>
  <c r="L890" i="1"/>
  <c r="K890" i="1"/>
  <c r="I890" i="1"/>
  <c r="J890" i="1"/>
  <c r="H890" i="1"/>
  <c r="G890" i="1"/>
  <c r="F890" i="1"/>
  <c r="E886" i="1"/>
  <c r="C886" i="1"/>
  <c r="D896" i="1" s="1"/>
  <c r="E891" i="1"/>
  <c r="C891" i="1"/>
  <c r="D901" i="1" s="1"/>
  <c r="M878" i="1"/>
  <c r="L878" i="1"/>
  <c r="K878" i="1"/>
  <c r="J878" i="1"/>
  <c r="I878" i="1"/>
  <c r="H878" i="1"/>
  <c r="G878" i="1"/>
  <c r="F878" i="1"/>
  <c r="E895" i="1"/>
  <c r="M876" i="1"/>
  <c r="L876" i="1"/>
  <c r="K876" i="1"/>
  <c r="J876" i="1"/>
  <c r="I876" i="1"/>
  <c r="H876" i="1"/>
  <c r="G876" i="1"/>
  <c r="F876" i="1"/>
  <c r="E898" i="1" l="1"/>
  <c r="C898" i="1"/>
  <c r="D908" i="1" s="1"/>
  <c r="M888" i="1"/>
  <c r="L888" i="1"/>
  <c r="K888" i="1"/>
  <c r="J888" i="1"/>
  <c r="I888" i="1"/>
  <c r="H888" i="1"/>
  <c r="G888" i="1"/>
  <c r="F888" i="1"/>
  <c r="E909" i="1"/>
  <c r="C909" i="1"/>
  <c r="D919" i="1" s="1"/>
  <c r="M899" i="1"/>
  <c r="L899" i="1"/>
  <c r="K899" i="1"/>
  <c r="J899" i="1"/>
  <c r="I899" i="1"/>
  <c r="H899" i="1"/>
  <c r="G899" i="1"/>
  <c r="F899" i="1"/>
  <c r="E907" i="1"/>
  <c r="C907" i="1"/>
  <c r="D917" i="1" s="1"/>
  <c r="M897" i="1"/>
  <c r="L897" i="1"/>
  <c r="K897" i="1"/>
  <c r="J897" i="1"/>
  <c r="I897" i="1"/>
  <c r="G897" i="1"/>
  <c r="H897" i="1"/>
  <c r="F897" i="1"/>
  <c r="E901" i="1"/>
  <c r="C901" i="1"/>
  <c r="D911" i="1" s="1"/>
  <c r="C910" i="1"/>
  <c r="D920" i="1" s="1"/>
  <c r="E910" i="1"/>
  <c r="H891" i="1"/>
  <c r="G891" i="1"/>
  <c r="F891" i="1"/>
  <c r="M891" i="1"/>
  <c r="L891" i="1"/>
  <c r="K891" i="1"/>
  <c r="J891" i="1"/>
  <c r="I891" i="1"/>
  <c r="M900" i="1"/>
  <c r="L900" i="1"/>
  <c r="K900" i="1"/>
  <c r="J900" i="1"/>
  <c r="I900" i="1"/>
  <c r="H900" i="1"/>
  <c r="G900" i="1"/>
  <c r="F900" i="1"/>
  <c r="E896" i="1"/>
  <c r="C896" i="1"/>
  <c r="D906" i="1" s="1"/>
  <c r="M893" i="1"/>
  <c r="F893" i="1"/>
  <c r="L893" i="1"/>
  <c r="K893" i="1"/>
  <c r="J893" i="1"/>
  <c r="I893" i="1"/>
  <c r="H893" i="1"/>
  <c r="G893" i="1"/>
  <c r="M902" i="1"/>
  <c r="L902" i="1"/>
  <c r="K902" i="1"/>
  <c r="J902" i="1"/>
  <c r="I902" i="1"/>
  <c r="H902" i="1"/>
  <c r="G902" i="1"/>
  <c r="F902" i="1"/>
  <c r="H886" i="1"/>
  <c r="G886" i="1"/>
  <c r="F886" i="1"/>
  <c r="E905" i="1"/>
  <c r="M886" i="1"/>
  <c r="L886" i="1"/>
  <c r="K886" i="1"/>
  <c r="J886" i="1"/>
  <c r="I886" i="1"/>
  <c r="E903" i="1"/>
  <c r="C903" i="1"/>
  <c r="D913" i="1" s="1"/>
  <c r="E912" i="1"/>
  <c r="C912" i="1"/>
  <c r="D922" i="1" s="1"/>
  <c r="E913" i="1" l="1"/>
  <c r="C913" i="1"/>
  <c r="D923" i="1" s="1"/>
  <c r="F903" i="1"/>
  <c r="M903" i="1"/>
  <c r="L903" i="1"/>
  <c r="K903" i="1"/>
  <c r="J903" i="1"/>
  <c r="I903" i="1"/>
  <c r="H903" i="1"/>
  <c r="G903" i="1"/>
  <c r="M912" i="1"/>
  <c r="L912" i="1"/>
  <c r="K912" i="1"/>
  <c r="J912" i="1"/>
  <c r="I912" i="1"/>
  <c r="H912" i="1"/>
  <c r="G912" i="1"/>
  <c r="F912" i="1"/>
  <c r="M910" i="1"/>
  <c r="L910" i="1"/>
  <c r="K910" i="1"/>
  <c r="J910" i="1"/>
  <c r="I910" i="1"/>
  <c r="H910" i="1"/>
  <c r="G910" i="1"/>
  <c r="F910" i="1"/>
  <c r="E920" i="1"/>
  <c r="C920" i="1"/>
  <c r="D930" i="1" s="1"/>
  <c r="E906" i="1"/>
  <c r="C906" i="1"/>
  <c r="D916" i="1" s="1"/>
  <c r="E911" i="1"/>
  <c r="C911" i="1"/>
  <c r="D921" i="1" s="1"/>
  <c r="E919" i="1"/>
  <c r="C919" i="1"/>
  <c r="D929" i="1" s="1"/>
  <c r="J896" i="1"/>
  <c r="I896" i="1"/>
  <c r="H896" i="1"/>
  <c r="G896" i="1"/>
  <c r="F896" i="1"/>
  <c r="E915" i="1"/>
  <c r="M896" i="1"/>
  <c r="L896" i="1"/>
  <c r="K896" i="1"/>
  <c r="J901" i="1"/>
  <c r="I901" i="1"/>
  <c r="H901" i="1"/>
  <c r="G901" i="1"/>
  <c r="F901" i="1"/>
  <c r="M901" i="1"/>
  <c r="L901" i="1"/>
  <c r="K901" i="1"/>
  <c r="M909" i="1"/>
  <c r="L909" i="1"/>
  <c r="K909" i="1"/>
  <c r="J909" i="1"/>
  <c r="I909" i="1"/>
  <c r="H909" i="1"/>
  <c r="G909" i="1"/>
  <c r="F909" i="1"/>
  <c r="E917" i="1"/>
  <c r="C917" i="1"/>
  <c r="D927" i="1" s="1"/>
  <c r="E908" i="1"/>
  <c r="C908" i="1"/>
  <c r="D918" i="1" s="1"/>
  <c r="E922" i="1"/>
  <c r="C922" i="1"/>
  <c r="D932" i="1" s="1"/>
  <c r="M907" i="1"/>
  <c r="L907" i="1"/>
  <c r="K907" i="1"/>
  <c r="J907" i="1"/>
  <c r="I907" i="1"/>
  <c r="H907" i="1"/>
  <c r="G907" i="1"/>
  <c r="F907" i="1"/>
  <c r="F898" i="1"/>
  <c r="I898" i="1"/>
  <c r="H898" i="1"/>
  <c r="G898" i="1"/>
  <c r="M898" i="1"/>
  <c r="L898" i="1"/>
  <c r="K898" i="1"/>
  <c r="J898" i="1"/>
  <c r="M917" i="1" l="1"/>
  <c r="L917" i="1"/>
  <c r="K917" i="1"/>
  <c r="J917" i="1"/>
  <c r="I917" i="1"/>
  <c r="H917" i="1"/>
  <c r="G917" i="1"/>
  <c r="F917" i="1"/>
  <c r="E929" i="1"/>
  <c r="C929" i="1"/>
  <c r="D939" i="1" s="1"/>
  <c r="M919" i="1"/>
  <c r="L919" i="1"/>
  <c r="K919" i="1"/>
  <c r="J919" i="1"/>
  <c r="I919" i="1"/>
  <c r="H919" i="1"/>
  <c r="G919" i="1"/>
  <c r="F919" i="1"/>
  <c r="E921" i="1"/>
  <c r="C921" i="1"/>
  <c r="D931" i="1" s="1"/>
  <c r="L911" i="1"/>
  <c r="K911" i="1"/>
  <c r="J911" i="1"/>
  <c r="I911" i="1"/>
  <c r="H911" i="1"/>
  <c r="G911" i="1"/>
  <c r="F911" i="1"/>
  <c r="M911" i="1"/>
  <c r="E916" i="1"/>
  <c r="C916" i="1"/>
  <c r="D926" i="1" s="1"/>
  <c r="L906" i="1"/>
  <c r="K906" i="1"/>
  <c r="J906" i="1"/>
  <c r="I906" i="1"/>
  <c r="H906" i="1"/>
  <c r="G906" i="1"/>
  <c r="F906" i="1"/>
  <c r="E925" i="1"/>
  <c r="M906" i="1"/>
  <c r="E930" i="1"/>
  <c r="C930" i="1"/>
  <c r="D940" i="1" s="1"/>
  <c r="F920" i="1"/>
  <c r="K920" i="1"/>
  <c r="J920" i="1"/>
  <c r="I920" i="1"/>
  <c r="H920" i="1"/>
  <c r="G920" i="1"/>
  <c r="M920" i="1"/>
  <c r="L920" i="1"/>
  <c r="C932" i="1"/>
  <c r="D942" i="1" s="1"/>
  <c r="E932" i="1"/>
  <c r="M922" i="1"/>
  <c r="L922" i="1"/>
  <c r="K922" i="1"/>
  <c r="J922" i="1"/>
  <c r="I922" i="1"/>
  <c r="H922" i="1"/>
  <c r="G922" i="1"/>
  <c r="F922" i="1"/>
  <c r="E918" i="1"/>
  <c r="C918" i="1"/>
  <c r="D928" i="1" s="1"/>
  <c r="H908" i="1"/>
  <c r="G908" i="1"/>
  <c r="F908" i="1"/>
  <c r="M908" i="1"/>
  <c r="L908" i="1"/>
  <c r="K908" i="1"/>
  <c r="J908" i="1"/>
  <c r="I908" i="1"/>
  <c r="E923" i="1"/>
  <c r="C923" i="1"/>
  <c r="D933" i="1" s="1"/>
  <c r="C927" i="1"/>
  <c r="D937" i="1" s="1"/>
  <c r="E927" i="1"/>
  <c r="H913" i="1"/>
  <c r="G913" i="1"/>
  <c r="F913" i="1"/>
  <c r="M913" i="1"/>
  <c r="L913" i="1"/>
  <c r="K913" i="1"/>
  <c r="J913" i="1"/>
  <c r="I913" i="1"/>
  <c r="M921" i="1" l="1"/>
  <c r="L921" i="1"/>
  <c r="K921" i="1"/>
  <c r="J921" i="1"/>
  <c r="I921" i="1"/>
  <c r="H921" i="1"/>
  <c r="G921" i="1"/>
  <c r="F921" i="1"/>
  <c r="H930" i="1"/>
  <c r="G930" i="1"/>
  <c r="F930" i="1"/>
  <c r="M930" i="1"/>
  <c r="L930" i="1"/>
  <c r="K930" i="1"/>
  <c r="J930" i="1"/>
  <c r="I930" i="1"/>
  <c r="M927" i="1"/>
  <c r="L927" i="1"/>
  <c r="K927" i="1"/>
  <c r="J927" i="1"/>
  <c r="I927" i="1"/>
  <c r="H927" i="1"/>
  <c r="G927" i="1"/>
  <c r="F927" i="1"/>
  <c r="E937" i="1"/>
  <c r="C937" i="1"/>
  <c r="D947" i="1" s="1"/>
  <c r="E933" i="1"/>
  <c r="C933" i="1"/>
  <c r="D943" i="1" s="1"/>
  <c r="M932" i="1"/>
  <c r="L932" i="1"/>
  <c r="K932" i="1"/>
  <c r="J932" i="1"/>
  <c r="I932" i="1"/>
  <c r="H932" i="1"/>
  <c r="G932" i="1"/>
  <c r="F932" i="1"/>
  <c r="J918" i="1"/>
  <c r="I918" i="1"/>
  <c r="H918" i="1"/>
  <c r="G918" i="1"/>
  <c r="F918" i="1"/>
  <c r="M918" i="1"/>
  <c r="L918" i="1"/>
  <c r="K918" i="1"/>
  <c r="J923" i="1"/>
  <c r="I923" i="1"/>
  <c r="H923" i="1"/>
  <c r="G923" i="1"/>
  <c r="F923" i="1"/>
  <c r="M923" i="1"/>
  <c r="L923" i="1"/>
  <c r="K923" i="1"/>
  <c r="E942" i="1"/>
  <c r="C942" i="1"/>
  <c r="D952" i="1" s="1"/>
  <c r="E926" i="1"/>
  <c r="C926" i="1"/>
  <c r="D936" i="1" s="1"/>
  <c r="E939" i="1"/>
  <c r="C939" i="1"/>
  <c r="D949" i="1" s="1"/>
  <c r="M916" i="1"/>
  <c r="L916" i="1"/>
  <c r="K916" i="1"/>
  <c r="J916" i="1"/>
  <c r="I916" i="1"/>
  <c r="H916" i="1"/>
  <c r="G916" i="1"/>
  <c r="F916" i="1"/>
  <c r="E935" i="1"/>
  <c r="M929" i="1"/>
  <c r="L929" i="1"/>
  <c r="K929" i="1"/>
  <c r="J929" i="1"/>
  <c r="I929" i="1"/>
  <c r="H929" i="1"/>
  <c r="G929" i="1"/>
  <c r="F929" i="1"/>
  <c r="E931" i="1"/>
  <c r="C931" i="1"/>
  <c r="D941" i="1" s="1"/>
  <c r="E928" i="1"/>
  <c r="C928" i="1"/>
  <c r="D938" i="1" s="1"/>
  <c r="E940" i="1"/>
  <c r="C940" i="1"/>
  <c r="D950" i="1" s="1"/>
  <c r="L928" i="1" l="1"/>
  <c r="K928" i="1"/>
  <c r="J928" i="1"/>
  <c r="I928" i="1"/>
  <c r="H928" i="1"/>
  <c r="G928" i="1"/>
  <c r="F928" i="1"/>
  <c r="M928" i="1"/>
  <c r="C949" i="1"/>
  <c r="D959" i="1" s="1"/>
  <c r="E949" i="1"/>
  <c r="E941" i="1"/>
  <c r="C941" i="1"/>
  <c r="D951" i="1" s="1"/>
  <c r="M939" i="1"/>
  <c r="L939" i="1"/>
  <c r="K939" i="1"/>
  <c r="J939" i="1"/>
  <c r="I939" i="1"/>
  <c r="G939" i="1"/>
  <c r="H939" i="1"/>
  <c r="F939" i="1"/>
  <c r="E938" i="1"/>
  <c r="C938" i="1"/>
  <c r="D948" i="1" s="1"/>
  <c r="M931" i="1"/>
  <c r="L931" i="1"/>
  <c r="K931" i="1"/>
  <c r="J931" i="1"/>
  <c r="I931" i="1"/>
  <c r="H931" i="1"/>
  <c r="G931" i="1"/>
  <c r="F931" i="1"/>
  <c r="E936" i="1"/>
  <c r="C936" i="1"/>
  <c r="D946" i="1" s="1"/>
  <c r="E952" i="1"/>
  <c r="C952" i="1"/>
  <c r="D962" i="1" s="1"/>
  <c r="F942" i="1"/>
  <c r="M942" i="1"/>
  <c r="K942" i="1"/>
  <c r="H942" i="1"/>
  <c r="G942" i="1"/>
  <c r="L942" i="1"/>
  <c r="J942" i="1"/>
  <c r="I942" i="1"/>
  <c r="J940" i="1"/>
  <c r="I940" i="1"/>
  <c r="H940" i="1"/>
  <c r="G940" i="1"/>
  <c r="F940" i="1"/>
  <c r="L940" i="1"/>
  <c r="M940" i="1"/>
  <c r="K940" i="1"/>
  <c r="E943" i="1"/>
  <c r="C943" i="1"/>
  <c r="D953" i="1" s="1"/>
  <c r="L933" i="1"/>
  <c r="K933" i="1"/>
  <c r="J933" i="1"/>
  <c r="I933" i="1"/>
  <c r="H933" i="1"/>
  <c r="G933" i="1"/>
  <c r="F933" i="1"/>
  <c r="M933" i="1"/>
  <c r="M926" i="1"/>
  <c r="L926" i="1"/>
  <c r="K926" i="1"/>
  <c r="J926" i="1"/>
  <c r="I926" i="1"/>
  <c r="H926" i="1"/>
  <c r="G926" i="1"/>
  <c r="F926" i="1"/>
  <c r="E945" i="1"/>
  <c r="E947" i="1"/>
  <c r="C947" i="1"/>
  <c r="D957" i="1" s="1"/>
  <c r="F937" i="1"/>
  <c r="M937" i="1"/>
  <c r="K937" i="1"/>
  <c r="H937" i="1"/>
  <c r="L937" i="1"/>
  <c r="J937" i="1"/>
  <c r="I937" i="1"/>
  <c r="G937" i="1"/>
  <c r="E950" i="1"/>
  <c r="C950" i="1"/>
  <c r="D960" i="1" s="1"/>
  <c r="E962" i="1" l="1"/>
  <c r="C962" i="1"/>
  <c r="D972" i="1" s="1"/>
  <c r="H952" i="1"/>
  <c r="G952" i="1"/>
  <c r="F952" i="1"/>
  <c r="M952" i="1"/>
  <c r="L952" i="1"/>
  <c r="J952" i="1"/>
  <c r="K952" i="1"/>
  <c r="I952" i="1"/>
  <c r="E953" i="1"/>
  <c r="C953" i="1"/>
  <c r="D963" i="1" s="1"/>
  <c r="E946" i="1"/>
  <c r="C946" i="1"/>
  <c r="D956" i="1" s="1"/>
  <c r="E951" i="1"/>
  <c r="C951" i="1"/>
  <c r="D961" i="1" s="1"/>
  <c r="E957" i="1"/>
  <c r="C957" i="1"/>
  <c r="D967" i="1" s="1"/>
  <c r="M943" i="1"/>
  <c r="L943" i="1"/>
  <c r="K943" i="1"/>
  <c r="J943" i="1"/>
  <c r="I943" i="1"/>
  <c r="H943" i="1"/>
  <c r="G943" i="1"/>
  <c r="F943" i="1"/>
  <c r="E955" i="1"/>
  <c r="M936" i="1"/>
  <c r="L936" i="1"/>
  <c r="K936" i="1"/>
  <c r="J936" i="1"/>
  <c r="I936" i="1"/>
  <c r="H936" i="1"/>
  <c r="G936" i="1"/>
  <c r="F936" i="1"/>
  <c r="M941" i="1"/>
  <c r="L941" i="1"/>
  <c r="K941" i="1"/>
  <c r="J941" i="1"/>
  <c r="I941" i="1"/>
  <c r="H941" i="1"/>
  <c r="G941" i="1"/>
  <c r="F941" i="1"/>
  <c r="H947" i="1"/>
  <c r="G947" i="1"/>
  <c r="F947" i="1"/>
  <c r="M947" i="1"/>
  <c r="L947" i="1"/>
  <c r="J947" i="1"/>
  <c r="K947" i="1"/>
  <c r="I947" i="1"/>
  <c r="M949" i="1"/>
  <c r="L949" i="1"/>
  <c r="K949" i="1"/>
  <c r="I949" i="1"/>
  <c r="H949" i="1"/>
  <c r="F949" i="1"/>
  <c r="J949" i="1"/>
  <c r="G949" i="1"/>
  <c r="E959" i="1"/>
  <c r="C959" i="1"/>
  <c r="D969" i="1" s="1"/>
  <c r="L950" i="1"/>
  <c r="K950" i="1"/>
  <c r="J950" i="1"/>
  <c r="I950" i="1"/>
  <c r="H950" i="1"/>
  <c r="G950" i="1"/>
  <c r="F950" i="1"/>
  <c r="M950" i="1"/>
  <c r="E948" i="1"/>
  <c r="C948" i="1"/>
  <c r="D958" i="1" s="1"/>
  <c r="E960" i="1"/>
  <c r="C960" i="1"/>
  <c r="D970" i="1" s="1"/>
  <c r="M938" i="1"/>
  <c r="L938" i="1"/>
  <c r="K938" i="1"/>
  <c r="J938" i="1"/>
  <c r="I938" i="1"/>
  <c r="H938" i="1"/>
  <c r="G938" i="1"/>
  <c r="F938" i="1"/>
  <c r="E967" i="1" l="1"/>
  <c r="C967" i="1"/>
  <c r="D977" i="1" s="1"/>
  <c r="J957" i="1"/>
  <c r="I957" i="1"/>
  <c r="H957" i="1"/>
  <c r="G957" i="1"/>
  <c r="F957" i="1"/>
  <c r="L957" i="1"/>
  <c r="M957" i="1"/>
  <c r="K957" i="1"/>
  <c r="E961" i="1"/>
  <c r="C961" i="1"/>
  <c r="D971" i="1" s="1"/>
  <c r="M951" i="1"/>
  <c r="L951" i="1"/>
  <c r="K951" i="1"/>
  <c r="J951" i="1"/>
  <c r="I951" i="1"/>
  <c r="H951" i="1"/>
  <c r="G951" i="1"/>
  <c r="F951" i="1"/>
  <c r="E956" i="1"/>
  <c r="C956" i="1"/>
  <c r="D966" i="1" s="1"/>
  <c r="E970" i="1"/>
  <c r="C970" i="1"/>
  <c r="D980" i="1" s="1"/>
  <c r="E965" i="1"/>
  <c r="M946" i="1"/>
  <c r="L946" i="1"/>
  <c r="K946" i="1"/>
  <c r="J946" i="1"/>
  <c r="I946" i="1"/>
  <c r="H946" i="1"/>
  <c r="G946" i="1"/>
  <c r="F946" i="1"/>
  <c r="M960" i="1"/>
  <c r="L960" i="1"/>
  <c r="K960" i="1"/>
  <c r="J960" i="1"/>
  <c r="I960" i="1"/>
  <c r="H960" i="1"/>
  <c r="G960" i="1"/>
  <c r="F960" i="1"/>
  <c r="E963" i="1"/>
  <c r="C963" i="1"/>
  <c r="D973" i="1" s="1"/>
  <c r="E958" i="1"/>
  <c r="C958" i="1"/>
  <c r="D968" i="1" s="1"/>
  <c r="M953" i="1"/>
  <c r="L953" i="1"/>
  <c r="K953" i="1"/>
  <c r="J953" i="1"/>
  <c r="I953" i="1"/>
  <c r="H953" i="1"/>
  <c r="G953" i="1"/>
  <c r="F953" i="1"/>
  <c r="M948" i="1"/>
  <c r="L948" i="1"/>
  <c r="K948" i="1"/>
  <c r="J948" i="1"/>
  <c r="I948" i="1"/>
  <c r="H948" i="1"/>
  <c r="G948" i="1"/>
  <c r="F948" i="1"/>
  <c r="E972" i="1"/>
  <c r="C972" i="1"/>
  <c r="D982" i="1" s="1"/>
  <c r="F959" i="1"/>
  <c r="M959" i="1"/>
  <c r="L959" i="1"/>
  <c r="K959" i="1"/>
  <c r="J959" i="1"/>
  <c r="H959" i="1"/>
  <c r="I959" i="1"/>
  <c r="G959" i="1"/>
  <c r="E969" i="1"/>
  <c r="C969" i="1"/>
  <c r="D979" i="1" s="1"/>
  <c r="J962" i="1"/>
  <c r="I962" i="1"/>
  <c r="H962" i="1"/>
  <c r="G962" i="1"/>
  <c r="F962" i="1"/>
  <c r="M962" i="1"/>
  <c r="L962" i="1"/>
  <c r="K962" i="1"/>
  <c r="E979" i="1" l="1"/>
  <c r="C979" i="1"/>
  <c r="D989" i="1" s="1"/>
  <c r="H969" i="1"/>
  <c r="G969" i="1"/>
  <c r="F969" i="1"/>
  <c r="M969" i="1"/>
  <c r="L969" i="1"/>
  <c r="K969" i="1"/>
  <c r="J969" i="1"/>
  <c r="I969" i="1"/>
  <c r="C971" i="1"/>
  <c r="D981" i="1" s="1"/>
  <c r="E971" i="1"/>
  <c r="M961" i="1"/>
  <c r="L961" i="1"/>
  <c r="K961" i="1"/>
  <c r="J961" i="1"/>
  <c r="I961" i="1"/>
  <c r="H961" i="1"/>
  <c r="G961" i="1"/>
  <c r="F961" i="1"/>
  <c r="E968" i="1"/>
  <c r="C968" i="1"/>
  <c r="D978" i="1" s="1"/>
  <c r="M958" i="1"/>
  <c r="L958" i="1"/>
  <c r="K958" i="1"/>
  <c r="J958" i="1"/>
  <c r="I958" i="1"/>
  <c r="H958" i="1"/>
  <c r="G958" i="1"/>
  <c r="F958" i="1"/>
  <c r="E980" i="1"/>
  <c r="C980" i="1"/>
  <c r="D990" i="1" s="1"/>
  <c r="E982" i="1"/>
  <c r="C982" i="1"/>
  <c r="D992" i="1" s="1"/>
  <c r="E973" i="1"/>
  <c r="C973" i="1"/>
  <c r="D983" i="1" s="1"/>
  <c r="M970" i="1"/>
  <c r="L970" i="1"/>
  <c r="K970" i="1"/>
  <c r="J970" i="1"/>
  <c r="I970" i="1"/>
  <c r="H970" i="1"/>
  <c r="G970" i="1"/>
  <c r="F970" i="1"/>
  <c r="L972" i="1"/>
  <c r="K972" i="1"/>
  <c r="J972" i="1"/>
  <c r="I972" i="1"/>
  <c r="H972" i="1"/>
  <c r="G972" i="1"/>
  <c r="F972" i="1"/>
  <c r="M972" i="1"/>
  <c r="M963" i="1"/>
  <c r="L963" i="1"/>
  <c r="K963" i="1"/>
  <c r="J963" i="1"/>
  <c r="I963" i="1"/>
  <c r="H963" i="1"/>
  <c r="G963" i="1"/>
  <c r="F963" i="1"/>
  <c r="C966" i="1"/>
  <c r="D976" i="1" s="1"/>
  <c r="E966" i="1"/>
  <c r="E977" i="1"/>
  <c r="C977" i="1"/>
  <c r="D987" i="1" s="1"/>
  <c r="E975" i="1"/>
  <c r="M956" i="1"/>
  <c r="L956" i="1"/>
  <c r="K956" i="1"/>
  <c r="J956" i="1"/>
  <c r="I956" i="1"/>
  <c r="H956" i="1"/>
  <c r="G956" i="1"/>
  <c r="F956" i="1"/>
  <c r="L967" i="1"/>
  <c r="K967" i="1"/>
  <c r="J967" i="1"/>
  <c r="I967" i="1"/>
  <c r="H967" i="1"/>
  <c r="G967" i="1"/>
  <c r="F967" i="1"/>
  <c r="M967" i="1"/>
  <c r="E983" i="1" l="1"/>
  <c r="C983" i="1"/>
  <c r="D993" i="1" s="1"/>
  <c r="M973" i="1"/>
  <c r="L973" i="1"/>
  <c r="K973" i="1"/>
  <c r="J973" i="1"/>
  <c r="I973" i="1"/>
  <c r="H973" i="1"/>
  <c r="G973" i="1"/>
  <c r="F973" i="1"/>
  <c r="E992" i="1"/>
  <c r="C992" i="1"/>
  <c r="D1002" i="1" s="1"/>
  <c r="M982" i="1"/>
  <c r="L982" i="1"/>
  <c r="K982" i="1"/>
  <c r="J982" i="1"/>
  <c r="I982" i="1"/>
  <c r="H982" i="1"/>
  <c r="G982" i="1"/>
  <c r="F982" i="1"/>
  <c r="E990" i="1"/>
  <c r="C990" i="1"/>
  <c r="D1000" i="1" s="1"/>
  <c r="M971" i="1"/>
  <c r="L971" i="1"/>
  <c r="K971" i="1"/>
  <c r="J971" i="1"/>
  <c r="I971" i="1"/>
  <c r="H971" i="1"/>
  <c r="G971" i="1"/>
  <c r="F971" i="1"/>
  <c r="M980" i="1"/>
  <c r="L980" i="1"/>
  <c r="K980" i="1"/>
  <c r="J980" i="1"/>
  <c r="I980" i="1"/>
  <c r="H980" i="1"/>
  <c r="G980" i="1"/>
  <c r="F980" i="1"/>
  <c r="E981" i="1"/>
  <c r="C981" i="1"/>
  <c r="D991" i="1" s="1"/>
  <c r="E987" i="1"/>
  <c r="C987" i="1"/>
  <c r="D997" i="1" s="1"/>
  <c r="M977" i="1"/>
  <c r="L977" i="1"/>
  <c r="K977" i="1"/>
  <c r="J977" i="1"/>
  <c r="I977" i="1"/>
  <c r="H977" i="1"/>
  <c r="G977" i="1"/>
  <c r="F977" i="1"/>
  <c r="E985" i="1"/>
  <c r="M966" i="1"/>
  <c r="L966" i="1"/>
  <c r="K966" i="1"/>
  <c r="J966" i="1"/>
  <c r="I966" i="1"/>
  <c r="H966" i="1"/>
  <c r="G966" i="1"/>
  <c r="F966" i="1"/>
  <c r="E978" i="1"/>
  <c r="C978" i="1"/>
  <c r="D988" i="1" s="1"/>
  <c r="E989" i="1"/>
  <c r="C989" i="1"/>
  <c r="D999" i="1" s="1"/>
  <c r="E976" i="1"/>
  <c r="C976" i="1"/>
  <c r="D986" i="1" s="1"/>
  <c r="M968" i="1"/>
  <c r="L968" i="1"/>
  <c r="K968" i="1"/>
  <c r="J968" i="1"/>
  <c r="I968" i="1"/>
  <c r="H968" i="1"/>
  <c r="G968" i="1"/>
  <c r="F968" i="1"/>
  <c r="J979" i="1"/>
  <c r="I979" i="1"/>
  <c r="H979" i="1"/>
  <c r="G979" i="1"/>
  <c r="F979" i="1"/>
  <c r="M979" i="1"/>
  <c r="L979" i="1"/>
  <c r="K979" i="1"/>
  <c r="F981" i="1" l="1"/>
  <c r="M981" i="1"/>
  <c r="L981" i="1"/>
  <c r="K981" i="1"/>
  <c r="J981" i="1"/>
  <c r="I981" i="1"/>
  <c r="H981" i="1"/>
  <c r="G981" i="1"/>
  <c r="M978" i="1"/>
  <c r="L978" i="1"/>
  <c r="K978" i="1"/>
  <c r="J978" i="1"/>
  <c r="I978" i="1"/>
  <c r="H978" i="1"/>
  <c r="G978" i="1"/>
  <c r="F978" i="1"/>
  <c r="E991" i="1"/>
  <c r="C991" i="1"/>
  <c r="D1001" i="1" s="1"/>
  <c r="E1002" i="1"/>
  <c r="C1002" i="1"/>
  <c r="D1012" i="1" s="1"/>
  <c r="I992" i="1"/>
  <c r="G992" i="1"/>
  <c r="M992" i="1"/>
  <c r="L992" i="1"/>
  <c r="K992" i="1"/>
  <c r="J992" i="1"/>
  <c r="H992" i="1"/>
  <c r="F992" i="1"/>
  <c r="E986" i="1"/>
  <c r="C986" i="1"/>
  <c r="D996" i="1" s="1"/>
  <c r="F976" i="1"/>
  <c r="M976" i="1"/>
  <c r="L976" i="1"/>
  <c r="K976" i="1"/>
  <c r="E995" i="1"/>
  <c r="J976" i="1"/>
  <c r="I976" i="1"/>
  <c r="H976" i="1"/>
  <c r="G976" i="1"/>
  <c r="E999" i="1"/>
  <c r="C999" i="1"/>
  <c r="D1009" i="1" s="1"/>
  <c r="M989" i="1"/>
  <c r="L989" i="1"/>
  <c r="K989" i="1"/>
  <c r="J989" i="1"/>
  <c r="I989" i="1"/>
  <c r="H989" i="1"/>
  <c r="G989" i="1"/>
  <c r="F989" i="1"/>
  <c r="E997" i="1"/>
  <c r="C997" i="1"/>
  <c r="D1007" i="1" s="1"/>
  <c r="E1000" i="1"/>
  <c r="C1000" i="1"/>
  <c r="D1010" i="1" s="1"/>
  <c r="E993" i="1"/>
  <c r="C993" i="1"/>
  <c r="D1003" i="1" s="1"/>
  <c r="C988" i="1"/>
  <c r="D998" i="1" s="1"/>
  <c r="E988" i="1"/>
  <c r="M987" i="1"/>
  <c r="L987" i="1"/>
  <c r="K987" i="1"/>
  <c r="J987" i="1"/>
  <c r="I987" i="1"/>
  <c r="H987" i="1"/>
  <c r="G987" i="1"/>
  <c r="F987" i="1"/>
  <c r="M990" i="1"/>
  <c r="K990" i="1"/>
  <c r="L990" i="1"/>
  <c r="J990" i="1"/>
  <c r="I990" i="1"/>
  <c r="H990" i="1"/>
  <c r="G990" i="1"/>
  <c r="F990" i="1"/>
  <c r="M983" i="1"/>
  <c r="L983" i="1"/>
  <c r="K983" i="1"/>
  <c r="J983" i="1"/>
  <c r="I983" i="1"/>
  <c r="H983" i="1"/>
  <c r="G983" i="1"/>
  <c r="F983" i="1"/>
  <c r="C1001" i="1" l="1"/>
  <c r="D1011" i="1" s="1"/>
  <c r="E1001" i="1"/>
  <c r="M988" i="1"/>
  <c r="L988" i="1"/>
  <c r="K988" i="1"/>
  <c r="J988" i="1"/>
  <c r="I988" i="1"/>
  <c r="H988" i="1"/>
  <c r="G988" i="1"/>
  <c r="F988" i="1"/>
  <c r="K991" i="1"/>
  <c r="J991" i="1"/>
  <c r="I991" i="1"/>
  <c r="H991" i="1"/>
  <c r="G991" i="1"/>
  <c r="F991" i="1"/>
  <c r="M991" i="1"/>
  <c r="L991" i="1"/>
  <c r="E998" i="1"/>
  <c r="C998" i="1"/>
  <c r="D1008" i="1" s="1"/>
  <c r="M993" i="1"/>
  <c r="J993" i="1"/>
  <c r="I993" i="1"/>
  <c r="H993" i="1"/>
  <c r="G993" i="1"/>
  <c r="F993" i="1"/>
  <c r="L993" i="1"/>
  <c r="K993" i="1"/>
  <c r="E1010" i="1"/>
  <c r="C1010" i="1"/>
  <c r="D1020" i="1" s="1"/>
  <c r="M1000" i="1"/>
  <c r="K1000" i="1"/>
  <c r="L1000" i="1"/>
  <c r="J1000" i="1"/>
  <c r="I1000" i="1"/>
  <c r="H1000" i="1"/>
  <c r="G1000" i="1"/>
  <c r="F1000" i="1"/>
  <c r="C1007" i="1"/>
  <c r="D1017" i="1" s="1"/>
  <c r="E1007" i="1"/>
  <c r="E1003" i="1"/>
  <c r="C1003" i="1"/>
  <c r="D1013" i="1" s="1"/>
  <c r="K997" i="1"/>
  <c r="I997" i="1"/>
  <c r="G997" i="1"/>
  <c r="H997" i="1"/>
  <c r="F997" i="1"/>
  <c r="M997" i="1"/>
  <c r="L997" i="1"/>
  <c r="J997" i="1"/>
  <c r="C996" i="1"/>
  <c r="D1006" i="1" s="1"/>
  <c r="E996" i="1"/>
  <c r="G999" i="1"/>
  <c r="I999" i="1"/>
  <c r="H999" i="1"/>
  <c r="F999" i="1"/>
  <c r="M999" i="1"/>
  <c r="L999" i="1"/>
  <c r="K999" i="1"/>
  <c r="J999" i="1"/>
  <c r="H986" i="1"/>
  <c r="G986" i="1"/>
  <c r="F986" i="1"/>
  <c r="E1005" i="1"/>
  <c r="M986" i="1"/>
  <c r="L986" i="1"/>
  <c r="K986" i="1"/>
  <c r="J986" i="1"/>
  <c r="I986" i="1"/>
  <c r="E1012" i="1"/>
  <c r="C1012" i="1"/>
  <c r="D1022" i="1" s="1"/>
  <c r="K1002" i="1"/>
  <c r="I1002" i="1"/>
  <c r="G1002" i="1"/>
  <c r="M1002" i="1"/>
  <c r="L1002" i="1"/>
  <c r="J1002" i="1"/>
  <c r="H1002" i="1"/>
  <c r="F1002" i="1"/>
  <c r="E1009" i="1"/>
  <c r="C1009" i="1"/>
  <c r="D1019" i="1" s="1"/>
  <c r="E1008" i="1" l="1"/>
  <c r="C1008" i="1"/>
  <c r="D1018" i="1" s="1"/>
  <c r="M996" i="1"/>
  <c r="L996" i="1"/>
  <c r="K996" i="1"/>
  <c r="J996" i="1"/>
  <c r="I996" i="1"/>
  <c r="H996" i="1"/>
  <c r="G996" i="1"/>
  <c r="F996" i="1"/>
  <c r="E1015" i="1"/>
  <c r="E1022" i="1"/>
  <c r="C1022" i="1"/>
  <c r="D1032" i="1" s="1"/>
  <c r="E1006" i="1"/>
  <c r="C1006" i="1"/>
  <c r="D1016" i="1" s="1"/>
  <c r="M1012" i="1"/>
  <c r="L1012" i="1"/>
  <c r="K1012" i="1"/>
  <c r="I1012" i="1"/>
  <c r="G1012" i="1"/>
  <c r="J1012" i="1"/>
  <c r="H1012" i="1"/>
  <c r="F1012" i="1"/>
  <c r="E1020" i="1"/>
  <c r="C1020" i="1"/>
  <c r="D1030" i="1" s="1"/>
  <c r="M998" i="1"/>
  <c r="L998" i="1"/>
  <c r="K998" i="1"/>
  <c r="J998" i="1"/>
  <c r="I998" i="1"/>
  <c r="H998" i="1"/>
  <c r="G998" i="1"/>
  <c r="F998" i="1"/>
  <c r="M1010" i="1"/>
  <c r="K1010" i="1"/>
  <c r="I1010" i="1"/>
  <c r="L1010" i="1"/>
  <c r="J1010" i="1"/>
  <c r="H1010" i="1"/>
  <c r="G1010" i="1"/>
  <c r="F1010" i="1"/>
  <c r="M1007" i="1"/>
  <c r="K1007" i="1"/>
  <c r="I1007" i="1"/>
  <c r="L1007" i="1"/>
  <c r="J1007" i="1"/>
  <c r="H1007" i="1"/>
  <c r="G1007" i="1"/>
  <c r="F1007" i="1"/>
  <c r="E1017" i="1"/>
  <c r="C1017" i="1"/>
  <c r="D1027" i="1" s="1"/>
  <c r="J1009" i="1"/>
  <c r="I1009" i="1"/>
  <c r="H1009" i="1"/>
  <c r="G1009" i="1"/>
  <c r="M1009" i="1"/>
  <c r="L1009" i="1"/>
  <c r="K1009" i="1"/>
  <c r="F1009" i="1"/>
  <c r="E1013" i="1"/>
  <c r="C1013" i="1"/>
  <c r="D1023" i="1" s="1"/>
  <c r="H1001" i="1"/>
  <c r="G1001" i="1"/>
  <c r="F1001" i="1"/>
  <c r="M1001" i="1"/>
  <c r="L1001" i="1"/>
  <c r="K1001" i="1"/>
  <c r="J1001" i="1"/>
  <c r="I1001" i="1"/>
  <c r="E1019" i="1"/>
  <c r="C1019" i="1"/>
  <c r="D1029" i="1" s="1"/>
  <c r="G1003" i="1"/>
  <c r="F1003" i="1"/>
  <c r="M1003" i="1"/>
  <c r="L1003" i="1"/>
  <c r="K1003" i="1"/>
  <c r="J1003" i="1"/>
  <c r="I1003" i="1"/>
  <c r="H1003" i="1"/>
  <c r="E1011" i="1"/>
  <c r="C1011" i="1"/>
  <c r="D1021" i="1" s="1"/>
  <c r="E1016" i="1" l="1"/>
  <c r="C1016" i="1"/>
  <c r="D1026" i="1" s="1"/>
  <c r="M1013" i="1"/>
  <c r="L1013" i="1"/>
  <c r="K1013" i="1"/>
  <c r="J1013" i="1"/>
  <c r="I1013" i="1"/>
  <c r="H1013" i="1"/>
  <c r="G1013" i="1"/>
  <c r="F1013" i="1"/>
  <c r="M1006" i="1"/>
  <c r="L1006" i="1"/>
  <c r="K1006" i="1"/>
  <c r="J1006" i="1"/>
  <c r="I1006" i="1"/>
  <c r="H1006" i="1"/>
  <c r="G1006" i="1"/>
  <c r="F1006" i="1"/>
  <c r="E1025" i="1"/>
  <c r="E1032" i="1"/>
  <c r="C1032" i="1"/>
  <c r="D1042" i="1" s="1"/>
  <c r="M1022" i="1"/>
  <c r="L1022" i="1"/>
  <c r="K1022" i="1"/>
  <c r="I1022" i="1"/>
  <c r="G1022" i="1"/>
  <c r="J1022" i="1"/>
  <c r="H1022" i="1"/>
  <c r="F1022" i="1"/>
  <c r="E1029" i="1"/>
  <c r="C1029" i="1"/>
  <c r="D1039" i="1" s="1"/>
  <c r="E1027" i="1"/>
  <c r="C1027" i="1"/>
  <c r="D1037" i="1" s="1"/>
  <c r="L1019" i="1"/>
  <c r="K1019" i="1"/>
  <c r="J1019" i="1"/>
  <c r="I1019" i="1"/>
  <c r="G1019" i="1"/>
  <c r="M1019" i="1"/>
  <c r="H1019" i="1"/>
  <c r="F1019" i="1"/>
  <c r="M1017" i="1"/>
  <c r="K1017" i="1"/>
  <c r="I1017" i="1"/>
  <c r="G1017" i="1"/>
  <c r="L1017" i="1"/>
  <c r="J1017" i="1"/>
  <c r="H1017" i="1"/>
  <c r="F1017" i="1"/>
  <c r="F1011" i="1"/>
  <c r="K1011" i="1"/>
  <c r="J1011" i="1"/>
  <c r="I1011" i="1"/>
  <c r="H1011" i="1"/>
  <c r="G1011" i="1"/>
  <c r="M1011" i="1"/>
  <c r="L1011" i="1"/>
  <c r="E1030" i="1"/>
  <c r="C1030" i="1"/>
  <c r="D1040" i="1" s="1"/>
  <c r="M1020" i="1"/>
  <c r="K1020" i="1"/>
  <c r="L1020" i="1"/>
  <c r="J1020" i="1"/>
  <c r="I1020" i="1"/>
  <c r="H1020" i="1"/>
  <c r="G1020" i="1"/>
  <c r="F1020" i="1"/>
  <c r="C1018" i="1"/>
  <c r="D1028" i="1" s="1"/>
  <c r="E1018" i="1"/>
  <c r="E1021" i="1"/>
  <c r="C1021" i="1"/>
  <c r="D1031" i="1" s="1"/>
  <c r="C1023" i="1"/>
  <c r="D1033" i="1" s="1"/>
  <c r="E1023" i="1"/>
  <c r="M1008" i="1"/>
  <c r="L1008" i="1"/>
  <c r="K1008" i="1"/>
  <c r="J1008" i="1"/>
  <c r="I1008" i="1"/>
  <c r="H1008" i="1"/>
  <c r="G1008" i="1"/>
  <c r="F1008" i="1"/>
  <c r="C1040" i="1" l="1"/>
  <c r="D1050" i="1" s="1"/>
  <c r="E1040" i="1"/>
  <c r="M1030" i="1"/>
  <c r="L1030" i="1"/>
  <c r="K1030" i="1"/>
  <c r="J1030" i="1"/>
  <c r="I1030" i="1"/>
  <c r="H1030" i="1"/>
  <c r="G1030" i="1"/>
  <c r="F1030" i="1"/>
  <c r="J1023" i="1"/>
  <c r="I1023" i="1"/>
  <c r="H1023" i="1"/>
  <c r="G1023" i="1"/>
  <c r="F1023" i="1"/>
  <c r="M1023" i="1"/>
  <c r="L1023" i="1"/>
  <c r="K1023" i="1"/>
  <c r="E1037" i="1"/>
  <c r="C1037" i="1"/>
  <c r="D1047" i="1" s="1"/>
  <c r="E1033" i="1"/>
  <c r="C1033" i="1"/>
  <c r="D1043" i="1" s="1"/>
  <c r="M1027" i="1"/>
  <c r="L1027" i="1"/>
  <c r="K1027" i="1"/>
  <c r="J1027" i="1"/>
  <c r="I1027" i="1"/>
  <c r="H1027" i="1"/>
  <c r="G1027" i="1"/>
  <c r="F1027" i="1"/>
  <c r="E1031" i="1"/>
  <c r="C1031" i="1"/>
  <c r="D1041" i="1" s="1"/>
  <c r="E1039" i="1"/>
  <c r="C1039" i="1"/>
  <c r="D1049" i="1" s="1"/>
  <c r="H1021" i="1"/>
  <c r="G1021" i="1"/>
  <c r="F1021" i="1"/>
  <c r="M1021" i="1"/>
  <c r="L1021" i="1"/>
  <c r="K1021" i="1"/>
  <c r="J1021" i="1"/>
  <c r="I1021" i="1"/>
  <c r="M1029" i="1"/>
  <c r="L1029" i="1"/>
  <c r="K1029" i="1"/>
  <c r="J1029" i="1"/>
  <c r="I1029" i="1"/>
  <c r="H1029" i="1"/>
  <c r="G1029" i="1"/>
  <c r="F1029" i="1"/>
  <c r="M1032" i="1"/>
  <c r="L1032" i="1"/>
  <c r="K1032" i="1"/>
  <c r="J1032" i="1"/>
  <c r="I1032" i="1"/>
  <c r="H1032" i="1"/>
  <c r="G1032" i="1"/>
  <c r="F1032" i="1"/>
  <c r="H1018" i="1"/>
  <c r="G1018" i="1"/>
  <c r="F1018" i="1"/>
  <c r="M1018" i="1"/>
  <c r="L1018" i="1"/>
  <c r="K1018" i="1"/>
  <c r="J1018" i="1"/>
  <c r="I1018" i="1"/>
  <c r="E1028" i="1"/>
  <c r="C1028" i="1"/>
  <c r="D1038" i="1" s="1"/>
  <c r="E1026" i="1"/>
  <c r="C1026" i="1"/>
  <c r="D1036" i="1" s="1"/>
  <c r="E1042" i="1"/>
  <c r="C1042" i="1"/>
  <c r="D1052" i="1" s="1"/>
  <c r="H1016" i="1"/>
  <c r="G1016" i="1"/>
  <c r="F1016" i="1"/>
  <c r="E1035" i="1"/>
  <c r="M1016" i="1"/>
  <c r="L1016" i="1"/>
  <c r="K1016" i="1"/>
  <c r="J1016" i="1"/>
  <c r="I1016" i="1"/>
  <c r="M1037" i="1" l="1"/>
  <c r="L1037" i="1"/>
  <c r="K1037" i="1"/>
  <c r="J1037" i="1"/>
  <c r="I1037" i="1"/>
  <c r="H1037" i="1"/>
  <c r="G1037" i="1"/>
  <c r="F1037" i="1"/>
  <c r="E1047" i="1"/>
  <c r="C1047" i="1"/>
  <c r="D1057" i="1" s="1"/>
  <c r="E1049" i="1"/>
  <c r="C1049" i="1"/>
  <c r="D1059" i="1" s="1"/>
  <c r="M1039" i="1"/>
  <c r="L1039" i="1"/>
  <c r="K1039" i="1"/>
  <c r="J1039" i="1"/>
  <c r="I1039" i="1"/>
  <c r="H1039" i="1"/>
  <c r="G1039" i="1"/>
  <c r="F1039" i="1"/>
  <c r="E1052" i="1"/>
  <c r="C1052" i="1"/>
  <c r="D1062" i="1" s="1"/>
  <c r="E1041" i="1"/>
  <c r="C1041" i="1"/>
  <c r="D1051" i="1" s="1"/>
  <c r="M1042" i="1"/>
  <c r="L1042" i="1"/>
  <c r="K1042" i="1"/>
  <c r="I1042" i="1"/>
  <c r="H1042" i="1"/>
  <c r="G1042" i="1"/>
  <c r="F1042" i="1"/>
  <c r="J1042" i="1"/>
  <c r="J1031" i="1"/>
  <c r="I1031" i="1"/>
  <c r="H1031" i="1"/>
  <c r="G1031" i="1"/>
  <c r="F1031" i="1"/>
  <c r="K1031" i="1"/>
  <c r="M1031" i="1"/>
  <c r="L1031" i="1"/>
  <c r="E1036" i="1"/>
  <c r="C1036" i="1"/>
  <c r="D1046" i="1" s="1"/>
  <c r="J1026" i="1"/>
  <c r="I1026" i="1"/>
  <c r="H1026" i="1"/>
  <c r="G1026" i="1"/>
  <c r="F1026" i="1"/>
  <c r="E1045" i="1"/>
  <c r="M1026" i="1"/>
  <c r="L1026" i="1"/>
  <c r="K1026" i="1"/>
  <c r="E1038" i="1"/>
  <c r="C1038" i="1"/>
  <c r="D1048" i="1" s="1"/>
  <c r="F1028" i="1"/>
  <c r="I1028" i="1"/>
  <c r="H1028" i="1"/>
  <c r="G1028" i="1"/>
  <c r="M1028" i="1"/>
  <c r="L1028" i="1"/>
  <c r="K1028" i="1"/>
  <c r="J1028" i="1"/>
  <c r="E1043" i="1"/>
  <c r="C1043" i="1"/>
  <c r="D1053" i="1" s="1"/>
  <c r="M1040" i="1"/>
  <c r="L1040" i="1"/>
  <c r="K1040" i="1"/>
  <c r="J1040" i="1"/>
  <c r="I1040" i="1"/>
  <c r="H1040" i="1"/>
  <c r="G1040" i="1"/>
  <c r="F1040" i="1"/>
  <c r="F1033" i="1"/>
  <c r="M1033" i="1"/>
  <c r="L1033" i="1"/>
  <c r="K1033" i="1"/>
  <c r="J1033" i="1"/>
  <c r="I1033" i="1"/>
  <c r="H1033" i="1"/>
  <c r="G1033" i="1"/>
  <c r="E1050" i="1"/>
  <c r="C1050" i="1"/>
  <c r="D1060" i="1" s="1"/>
  <c r="E1048" i="1" l="1"/>
  <c r="C1048" i="1"/>
  <c r="D1058" i="1" s="1"/>
  <c r="H1038" i="1"/>
  <c r="G1038" i="1"/>
  <c r="F1038" i="1"/>
  <c r="M1038" i="1"/>
  <c r="L1038" i="1"/>
  <c r="K1038" i="1"/>
  <c r="J1038" i="1"/>
  <c r="I1038" i="1"/>
  <c r="E1059" i="1"/>
  <c r="C1059" i="1"/>
  <c r="D1069" i="1" s="1"/>
  <c r="M1049" i="1"/>
  <c r="L1049" i="1"/>
  <c r="K1049" i="1"/>
  <c r="J1049" i="1"/>
  <c r="I1049" i="1"/>
  <c r="G1049" i="1"/>
  <c r="H1049" i="1"/>
  <c r="F1049" i="1"/>
  <c r="C1057" i="1"/>
  <c r="D1067" i="1" s="1"/>
  <c r="E1057" i="1"/>
  <c r="M1047" i="1"/>
  <c r="K1047" i="1"/>
  <c r="J1047" i="1"/>
  <c r="I1047" i="1"/>
  <c r="H1047" i="1"/>
  <c r="G1047" i="1"/>
  <c r="F1047" i="1"/>
  <c r="L1047" i="1"/>
  <c r="F1050" i="1"/>
  <c r="M1050" i="1"/>
  <c r="L1050" i="1"/>
  <c r="K1050" i="1"/>
  <c r="J1050" i="1"/>
  <c r="I1050" i="1"/>
  <c r="H1050" i="1"/>
  <c r="G1050" i="1"/>
  <c r="E1051" i="1"/>
  <c r="C1051" i="1"/>
  <c r="D1061" i="1" s="1"/>
  <c r="E1053" i="1"/>
  <c r="C1053" i="1"/>
  <c r="D1063" i="1" s="1"/>
  <c r="L1041" i="1"/>
  <c r="K1041" i="1"/>
  <c r="J1041" i="1"/>
  <c r="I1041" i="1"/>
  <c r="H1041" i="1"/>
  <c r="G1041" i="1"/>
  <c r="F1041" i="1"/>
  <c r="M1041" i="1"/>
  <c r="H1043" i="1"/>
  <c r="G1043" i="1"/>
  <c r="F1043" i="1"/>
  <c r="M1043" i="1"/>
  <c r="L1043" i="1"/>
  <c r="K1043" i="1"/>
  <c r="J1043" i="1"/>
  <c r="I1043" i="1"/>
  <c r="E1046" i="1"/>
  <c r="C1046" i="1"/>
  <c r="D1056" i="1" s="1"/>
  <c r="C1062" i="1"/>
  <c r="D1072" i="1" s="1"/>
  <c r="E1062" i="1"/>
  <c r="E1060" i="1"/>
  <c r="C1060" i="1"/>
  <c r="D1070" i="1" s="1"/>
  <c r="L1036" i="1"/>
  <c r="K1036" i="1"/>
  <c r="J1036" i="1"/>
  <c r="I1036" i="1"/>
  <c r="H1036" i="1"/>
  <c r="G1036" i="1"/>
  <c r="F1036" i="1"/>
  <c r="E1055" i="1"/>
  <c r="M1036" i="1"/>
  <c r="M1052" i="1"/>
  <c r="K1052" i="1"/>
  <c r="L1052" i="1"/>
  <c r="J1052" i="1"/>
  <c r="I1052" i="1"/>
  <c r="H1052" i="1"/>
  <c r="G1052" i="1"/>
  <c r="F1052" i="1"/>
  <c r="M1046" i="1" l="1"/>
  <c r="L1046" i="1"/>
  <c r="K1046" i="1"/>
  <c r="J1046" i="1"/>
  <c r="I1046" i="1"/>
  <c r="H1046" i="1"/>
  <c r="G1046" i="1"/>
  <c r="F1046" i="1"/>
  <c r="E1065" i="1"/>
  <c r="E1056" i="1"/>
  <c r="C1056" i="1"/>
  <c r="D1066" i="1" s="1"/>
  <c r="E1069" i="1"/>
  <c r="C1069" i="1"/>
  <c r="D1079" i="1" s="1"/>
  <c r="M1059" i="1"/>
  <c r="L1059" i="1"/>
  <c r="K1059" i="1"/>
  <c r="J1059" i="1"/>
  <c r="I1059" i="1"/>
  <c r="H1059" i="1"/>
  <c r="G1059" i="1"/>
  <c r="F1059" i="1"/>
  <c r="M1051" i="1"/>
  <c r="L1051" i="1"/>
  <c r="K1051" i="1"/>
  <c r="J1051" i="1"/>
  <c r="I1051" i="1"/>
  <c r="H1051" i="1"/>
  <c r="G1051" i="1"/>
  <c r="F1051" i="1"/>
  <c r="E1070" i="1"/>
  <c r="C1070" i="1"/>
  <c r="D1080" i="1" s="1"/>
  <c r="H1060" i="1"/>
  <c r="G1060" i="1"/>
  <c r="F1060" i="1"/>
  <c r="I1060" i="1"/>
  <c r="M1060" i="1"/>
  <c r="L1060" i="1"/>
  <c r="K1060" i="1"/>
  <c r="J1060" i="1"/>
  <c r="M1062" i="1"/>
  <c r="L1062" i="1"/>
  <c r="K1062" i="1"/>
  <c r="J1062" i="1"/>
  <c r="I1062" i="1"/>
  <c r="H1062" i="1"/>
  <c r="G1062" i="1"/>
  <c r="F1062" i="1"/>
  <c r="E1063" i="1"/>
  <c r="C1063" i="1"/>
  <c r="D1073" i="1" s="1"/>
  <c r="M1057" i="1"/>
  <c r="L1057" i="1"/>
  <c r="K1057" i="1"/>
  <c r="J1057" i="1"/>
  <c r="I1057" i="1"/>
  <c r="H1057" i="1"/>
  <c r="G1057" i="1"/>
  <c r="F1057" i="1"/>
  <c r="E1058" i="1"/>
  <c r="C1058" i="1"/>
  <c r="D1068" i="1" s="1"/>
  <c r="E1061" i="1"/>
  <c r="C1061" i="1"/>
  <c r="D1071" i="1" s="1"/>
  <c r="E1072" i="1"/>
  <c r="C1072" i="1"/>
  <c r="D1082" i="1" s="1"/>
  <c r="J1053" i="1"/>
  <c r="I1053" i="1"/>
  <c r="H1053" i="1"/>
  <c r="G1053" i="1"/>
  <c r="F1053" i="1"/>
  <c r="M1053" i="1"/>
  <c r="L1053" i="1"/>
  <c r="K1053" i="1"/>
  <c r="E1067" i="1"/>
  <c r="C1067" i="1"/>
  <c r="D1077" i="1" s="1"/>
  <c r="J1048" i="1"/>
  <c r="I1048" i="1"/>
  <c r="H1048" i="1"/>
  <c r="G1048" i="1"/>
  <c r="F1048" i="1"/>
  <c r="M1048" i="1"/>
  <c r="L1048" i="1"/>
  <c r="K1048" i="1"/>
  <c r="L1058" i="1" l="1"/>
  <c r="K1058" i="1"/>
  <c r="J1058" i="1"/>
  <c r="I1058" i="1"/>
  <c r="H1058" i="1"/>
  <c r="G1058" i="1"/>
  <c r="F1058" i="1"/>
  <c r="M1058" i="1"/>
  <c r="E1068" i="1"/>
  <c r="C1068" i="1"/>
  <c r="D1078" i="1" s="1"/>
  <c r="E1077" i="1"/>
  <c r="C1077" i="1"/>
  <c r="D1087" i="1" s="1"/>
  <c r="C1079" i="1"/>
  <c r="D1089" i="1" s="1"/>
  <c r="E1079" i="1"/>
  <c r="F1067" i="1"/>
  <c r="M1067" i="1"/>
  <c r="L1067" i="1"/>
  <c r="K1067" i="1"/>
  <c r="J1067" i="1"/>
  <c r="I1067" i="1"/>
  <c r="H1067" i="1"/>
  <c r="G1067" i="1"/>
  <c r="M1069" i="1"/>
  <c r="L1069" i="1"/>
  <c r="K1069" i="1"/>
  <c r="G1069" i="1"/>
  <c r="F1069" i="1"/>
  <c r="J1069" i="1"/>
  <c r="I1069" i="1"/>
  <c r="H1069" i="1"/>
  <c r="E1080" i="1"/>
  <c r="C1080" i="1"/>
  <c r="D1090" i="1" s="1"/>
  <c r="E1066" i="1"/>
  <c r="C1066" i="1"/>
  <c r="D1076" i="1" s="1"/>
  <c r="J1070" i="1"/>
  <c r="I1070" i="1"/>
  <c r="H1070" i="1"/>
  <c r="G1070" i="1"/>
  <c r="F1070" i="1"/>
  <c r="M1070" i="1"/>
  <c r="L1070" i="1"/>
  <c r="K1070" i="1"/>
  <c r="M1056" i="1"/>
  <c r="L1056" i="1"/>
  <c r="K1056" i="1"/>
  <c r="J1056" i="1"/>
  <c r="I1056" i="1"/>
  <c r="H1056" i="1"/>
  <c r="G1056" i="1"/>
  <c r="F1056" i="1"/>
  <c r="E1075" i="1"/>
  <c r="E1073" i="1"/>
  <c r="C1073" i="1"/>
  <c r="D1083" i="1" s="1"/>
  <c r="L1063" i="1"/>
  <c r="K1063" i="1"/>
  <c r="J1063" i="1"/>
  <c r="I1063" i="1"/>
  <c r="H1063" i="1"/>
  <c r="G1063" i="1"/>
  <c r="F1063" i="1"/>
  <c r="M1063" i="1"/>
  <c r="M1061" i="1"/>
  <c r="L1061" i="1"/>
  <c r="K1061" i="1"/>
  <c r="J1061" i="1"/>
  <c r="I1061" i="1"/>
  <c r="H1061" i="1"/>
  <c r="G1061" i="1"/>
  <c r="F1061" i="1"/>
  <c r="E1082" i="1"/>
  <c r="C1082" i="1"/>
  <c r="D1092" i="1" s="1"/>
  <c r="F1072" i="1"/>
  <c r="M1072" i="1"/>
  <c r="L1072" i="1"/>
  <c r="K1072" i="1"/>
  <c r="J1072" i="1"/>
  <c r="I1072" i="1"/>
  <c r="H1072" i="1"/>
  <c r="G1072" i="1"/>
  <c r="E1071" i="1"/>
  <c r="C1071" i="1"/>
  <c r="D1081" i="1" s="1"/>
  <c r="M1071" i="1" l="1"/>
  <c r="L1071" i="1"/>
  <c r="K1071" i="1"/>
  <c r="J1071" i="1"/>
  <c r="I1071" i="1"/>
  <c r="H1071" i="1"/>
  <c r="G1071" i="1"/>
  <c r="F1071" i="1"/>
  <c r="E1076" i="1"/>
  <c r="C1076" i="1"/>
  <c r="D1086" i="1" s="1"/>
  <c r="M1079" i="1"/>
  <c r="L1079" i="1"/>
  <c r="K1079" i="1"/>
  <c r="F1079" i="1"/>
  <c r="J1079" i="1"/>
  <c r="I1079" i="1"/>
  <c r="H1079" i="1"/>
  <c r="G1079" i="1"/>
  <c r="E1083" i="1"/>
  <c r="C1083" i="1"/>
  <c r="D1093" i="1" s="1"/>
  <c r="E1085" i="1"/>
  <c r="M1066" i="1"/>
  <c r="L1066" i="1"/>
  <c r="K1066" i="1"/>
  <c r="J1066" i="1"/>
  <c r="I1066" i="1"/>
  <c r="H1066" i="1"/>
  <c r="G1066" i="1"/>
  <c r="F1066" i="1"/>
  <c r="E1089" i="1"/>
  <c r="C1089" i="1"/>
  <c r="D1099" i="1" s="1"/>
  <c r="M1073" i="1"/>
  <c r="L1073" i="1"/>
  <c r="K1073" i="1"/>
  <c r="J1073" i="1"/>
  <c r="I1073" i="1"/>
  <c r="H1073" i="1"/>
  <c r="G1073" i="1"/>
  <c r="F1073" i="1"/>
  <c r="E1090" i="1"/>
  <c r="C1090" i="1"/>
  <c r="D1100" i="1" s="1"/>
  <c r="E1087" i="1"/>
  <c r="C1087" i="1"/>
  <c r="D1097" i="1" s="1"/>
  <c r="E1092" i="1"/>
  <c r="C1092" i="1"/>
  <c r="D1102" i="1" s="1"/>
  <c r="L1080" i="1"/>
  <c r="K1080" i="1"/>
  <c r="J1080" i="1"/>
  <c r="I1080" i="1"/>
  <c r="H1080" i="1"/>
  <c r="G1080" i="1"/>
  <c r="F1080" i="1"/>
  <c r="M1080" i="1"/>
  <c r="H1077" i="1"/>
  <c r="G1077" i="1"/>
  <c r="F1077" i="1"/>
  <c r="M1077" i="1"/>
  <c r="L1077" i="1"/>
  <c r="K1077" i="1"/>
  <c r="J1077" i="1"/>
  <c r="I1077" i="1"/>
  <c r="H1082" i="1"/>
  <c r="G1082" i="1"/>
  <c r="F1082" i="1"/>
  <c r="M1082" i="1"/>
  <c r="J1082" i="1"/>
  <c r="L1082" i="1"/>
  <c r="K1082" i="1"/>
  <c r="I1082" i="1"/>
  <c r="E1078" i="1"/>
  <c r="C1078" i="1"/>
  <c r="D1088" i="1" s="1"/>
  <c r="M1068" i="1"/>
  <c r="L1068" i="1"/>
  <c r="K1068" i="1"/>
  <c r="J1068" i="1"/>
  <c r="I1068" i="1"/>
  <c r="H1068" i="1"/>
  <c r="G1068" i="1"/>
  <c r="F1068" i="1"/>
  <c r="E1081" i="1"/>
  <c r="C1081" i="1"/>
  <c r="D1091" i="1" s="1"/>
  <c r="M1083" i="1" l="1"/>
  <c r="L1083" i="1"/>
  <c r="K1083" i="1"/>
  <c r="J1083" i="1"/>
  <c r="I1083" i="1"/>
  <c r="H1083" i="1"/>
  <c r="G1083" i="1"/>
  <c r="F1083" i="1"/>
  <c r="E1093" i="1"/>
  <c r="C1093" i="1"/>
  <c r="D1103" i="1" s="1"/>
  <c r="E1088" i="1"/>
  <c r="C1088" i="1"/>
  <c r="D1098" i="1" s="1"/>
  <c r="E1099" i="1"/>
  <c r="C1099" i="1"/>
  <c r="D1109" i="1" s="1"/>
  <c r="M1078" i="1"/>
  <c r="L1078" i="1"/>
  <c r="K1078" i="1"/>
  <c r="J1078" i="1"/>
  <c r="I1078" i="1"/>
  <c r="H1078" i="1"/>
  <c r="G1078" i="1"/>
  <c r="F1078" i="1"/>
  <c r="F1089" i="1"/>
  <c r="M1089" i="1"/>
  <c r="K1089" i="1"/>
  <c r="H1089" i="1"/>
  <c r="L1089" i="1"/>
  <c r="J1089" i="1"/>
  <c r="I1089" i="1"/>
  <c r="G1089" i="1"/>
  <c r="E1086" i="1"/>
  <c r="C1086" i="1"/>
  <c r="D1096" i="1" s="1"/>
  <c r="M1090" i="1"/>
  <c r="L1090" i="1"/>
  <c r="K1090" i="1"/>
  <c r="J1090" i="1"/>
  <c r="I1090" i="1"/>
  <c r="H1090" i="1"/>
  <c r="G1090" i="1"/>
  <c r="F1090" i="1"/>
  <c r="E1095" i="1"/>
  <c r="M1076" i="1"/>
  <c r="L1076" i="1"/>
  <c r="K1076" i="1"/>
  <c r="J1076" i="1"/>
  <c r="I1076" i="1"/>
  <c r="G1076" i="1"/>
  <c r="H1076" i="1"/>
  <c r="F1076" i="1"/>
  <c r="E1102" i="1"/>
  <c r="C1102" i="1"/>
  <c r="D1112" i="1" s="1"/>
  <c r="M1081" i="1"/>
  <c r="L1081" i="1"/>
  <c r="K1081" i="1"/>
  <c r="J1081" i="1"/>
  <c r="I1081" i="1"/>
  <c r="H1081" i="1"/>
  <c r="G1081" i="1"/>
  <c r="F1081" i="1"/>
  <c r="J1092" i="1"/>
  <c r="I1092" i="1"/>
  <c r="H1092" i="1"/>
  <c r="G1092" i="1"/>
  <c r="F1092" i="1"/>
  <c r="L1092" i="1"/>
  <c r="M1092" i="1"/>
  <c r="K1092" i="1"/>
  <c r="E1097" i="1"/>
  <c r="C1097" i="1"/>
  <c r="D1107" i="1" s="1"/>
  <c r="J1087" i="1"/>
  <c r="I1087" i="1"/>
  <c r="H1087" i="1"/>
  <c r="G1087" i="1"/>
  <c r="F1087" i="1"/>
  <c r="L1087" i="1"/>
  <c r="M1087" i="1"/>
  <c r="K1087" i="1"/>
  <c r="E1091" i="1"/>
  <c r="C1091" i="1"/>
  <c r="D1101" i="1" s="1"/>
  <c r="E1100" i="1"/>
  <c r="C1100" i="1"/>
  <c r="D1110" i="1" s="1"/>
  <c r="C1101" i="1" l="1"/>
  <c r="D1111" i="1" s="1"/>
  <c r="E1101" i="1"/>
  <c r="M1091" i="1"/>
  <c r="L1091" i="1"/>
  <c r="K1091" i="1"/>
  <c r="J1091" i="1"/>
  <c r="I1091" i="1"/>
  <c r="G1091" i="1"/>
  <c r="H1091" i="1"/>
  <c r="F1091" i="1"/>
  <c r="E1109" i="1"/>
  <c r="C1109" i="1"/>
  <c r="D1119" i="1" s="1"/>
  <c r="H1099" i="1"/>
  <c r="G1099" i="1"/>
  <c r="F1099" i="1"/>
  <c r="M1099" i="1"/>
  <c r="L1099" i="1"/>
  <c r="J1099" i="1"/>
  <c r="K1099" i="1"/>
  <c r="I1099" i="1"/>
  <c r="C1096" i="1"/>
  <c r="D1106" i="1" s="1"/>
  <c r="E1096" i="1"/>
  <c r="E1098" i="1"/>
  <c r="C1098" i="1"/>
  <c r="D1108" i="1" s="1"/>
  <c r="E1112" i="1"/>
  <c r="C1112" i="1"/>
  <c r="D1122" i="1" s="1"/>
  <c r="E1105" i="1"/>
  <c r="M1086" i="1"/>
  <c r="L1086" i="1"/>
  <c r="K1086" i="1"/>
  <c r="J1086" i="1"/>
  <c r="I1086" i="1"/>
  <c r="G1086" i="1"/>
  <c r="F1086" i="1"/>
  <c r="H1086" i="1"/>
  <c r="M1088" i="1"/>
  <c r="L1088" i="1"/>
  <c r="K1088" i="1"/>
  <c r="J1088" i="1"/>
  <c r="I1088" i="1"/>
  <c r="H1088" i="1"/>
  <c r="G1088" i="1"/>
  <c r="F1088" i="1"/>
  <c r="L1102" i="1"/>
  <c r="K1102" i="1"/>
  <c r="J1102" i="1"/>
  <c r="I1102" i="1"/>
  <c r="H1102" i="1"/>
  <c r="G1102" i="1"/>
  <c r="F1102" i="1"/>
  <c r="M1102" i="1"/>
  <c r="E1103" i="1"/>
  <c r="C1103" i="1"/>
  <c r="D1113" i="1" s="1"/>
  <c r="M1100" i="1"/>
  <c r="L1100" i="1"/>
  <c r="K1100" i="1"/>
  <c r="J1100" i="1"/>
  <c r="I1100" i="1"/>
  <c r="H1100" i="1"/>
  <c r="G1100" i="1"/>
  <c r="F1100" i="1"/>
  <c r="E1107" i="1"/>
  <c r="C1107" i="1"/>
  <c r="D1117" i="1" s="1"/>
  <c r="M1093" i="1"/>
  <c r="L1093" i="1"/>
  <c r="K1093" i="1"/>
  <c r="J1093" i="1"/>
  <c r="I1093" i="1"/>
  <c r="H1093" i="1"/>
  <c r="G1093" i="1"/>
  <c r="F1093" i="1"/>
  <c r="L1097" i="1"/>
  <c r="K1097" i="1"/>
  <c r="J1097" i="1"/>
  <c r="I1097" i="1"/>
  <c r="H1097" i="1"/>
  <c r="G1097" i="1"/>
  <c r="F1097" i="1"/>
  <c r="M1097" i="1"/>
  <c r="E1110" i="1"/>
  <c r="C1110" i="1"/>
  <c r="D1120" i="1" s="1"/>
  <c r="E1113" i="1" l="1"/>
  <c r="C1113" i="1"/>
  <c r="D1123" i="1" s="1"/>
  <c r="M1103" i="1"/>
  <c r="L1103" i="1"/>
  <c r="K1103" i="1"/>
  <c r="J1103" i="1"/>
  <c r="I1103" i="1"/>
  <c r="H1103" i="1"/>
  <c r="G1103" i="1"/>
  <c r="F1103" i="1"/>
  <c r="E1119" i="1"/>
  <c r="C1119" i="1"/>
  <c r="D1129" i="1" s="1"/>
  <c r="J1109" i="1"/>
  <c r="I1109" i="1"/>
  <c r="H1109" i="1"/>
  <c r="G1109" i="1"/>
  <c r="F1109" i="1"/>
  <c r="M1109" i="1"/>
  <c r="L1109" i="1"/>
  <c r="K1109" i="1"/>
  <c r="M1110" i="1"/>
  <c r="L1110" i="1"/>
  <c r="K1110" i="1"/>
  <c r="J1110" i="1"/>
  <c r="I1110" i="1"/>
  <c r="H1110" i="1"/>
  <c r="G1110" i="1"/>
  <c r="F1110" i="1"/>
  <c r="E1122" i="1"/>
  <c r="C1122" i="1"/>
  <c r="D1132" i="1" s="1"/>
  <c r="M1112" i="1"/>
  <c r="L1112" i="1"/>
  <c r="K1112" i="1"/>
  <c r="J1112" i="1"/>
  <c r="I1112" i="1"/>
  <c r="H1112" i="1"/>
  <c r="G1112" i="1"/>
  <c r="F1112" i="1"/>
  <c r="E1108" i="1"/>
  <c r="C1108" i="1"/>
  <c r="D1118" i="1" s="1"/>
  <c r="E1117" i="1"/>
  <c r="C1117" i="1"/>
  <c r="D1127" i="1" s="1"/>
  <c r="M1098" i="1"/>
  <c r="L1098" i="1"/>
  <c r="K1098" i="1"/>
  <c r="J1098" i="1"/>
  <c r="I1098" i="1"/>
  <c r="H1098" i="1"/>
  <c r="G1098" i="1"/>
  <c r="F1098" i="1"/>
  <c r="M1107" i="1"/>
  <c r="L1107" i="1"/>
  <c r="K1107" i="1"/>
  <c r="J1107" i="1"/>
  <c r="I1107" i="1"/>
  <c r="H1107" i="1"/>
  <c r="G1107" i="1"/>
  <c r="F1107" i="1"/>
  <c r="E1115" i="1"/>
  <c r="M1096" i="1"/>
  <c r="L1096" i="1"/>
  <c r="K1096" i="1"/>
  <c r="I1096" i="1"/>
  <c r="F1096" i="1"/>
  <c r="J1096" i="1"/>
  <c r="H1096" i="1"/>
  <c r="G1096" i="1"/>
  <c r="M1101" i="1"/>
  <c r="L1101" i="1"/>
  <c r="K1101" i="1"/>
  <c r="J1101" i="1"/>
  <c r="I1101" i="1"/>
  <c r="H1101" i="1"/>
  <c r="F1101" i="1"/>
  <c r="G1101" i="1"/>
  <c r="E1120" i="1"/>
  <c r="C1120" i="1"/>
  <c r="D1130" i="1" s="1"/>
  <c r="E1106" i="1"/>
  <c r="C1106" i="1"/>
  <c r="D1116" i="1" s="1"/>
  <c r="E1111" i="1"/>
  <c r="C1111" i="1"/>
  <c r="D1121" i="1" s="1"/>
  <c r="E1125" i="1" l="1"/>
  <c r="F1106" i="1"/>
  <c r="M1106" i="1"/>
  <c r="L1106" i="1"/>
  <c r="K1106" i="1"/>
  <c r="J1106" i="1"/>
  <c r="I1106" i="1"/>
  <c r="H1106" i="1"/>
  <c r="G1106" i="1"/>
  <c r="E1118" i="1"/>
  <c r="C1118" i="1"/>
  <c r="D1128" i="1" s="1"/>
  <c r="E1130" i="1"/>
  <c r="C1130" i="1"/>
  <c r="D1140" i="1" s="1"/>
  <c r="M1120" i="1"/>
  <c r="L1120" i="1"/>
  <c r="K1120" i="1"/>
  <c r="G1120" i="1"/>
  <c r="F1120" i="1"/>
  <c r="J1120" i="1"/>
  <c r="I1120" i="1"/>
  <c r="H1120" i="1"/>
  <c r="E1116" i="1"/>
  <c r="C1116" i="1"/>
  <c r="D1126" i="1" s="1"/>
  <c r="E1129" i="1"/>
  <c r="C1129" i="1"/>
  <c r="D1139" i="1" s="1"/>
  <c r="M1119" i="1"/>
  <c r="L1119" i="1"/>
  <c r="K1119" i="1"/>
  <c r="J1119" i="1"/>
  <c r="I1119" i="1"/>
  <c r="H1119" i="1"/>
  <c r="G1119" i="1"/>
  <c r="F1119" i="1"/>
  <c r="E1132" i="1"/>
  <c r="C1132" i="1"/>
  <c r="D1142" i="1" s="1"/>
  <c r="M1108" i="1"/>
  <c r="L1108" i="1"/>
  <c r="K1108" i="1"/>
  <c r="J1108" i="1"/>
  <c r="I1108" i="1"/>
  <c r="H1108" i="1"/>
  <c r="G1108" i="1"/>
  <c r="F1108" i="1"/>
  <c r="I1122" i="1"/>
  <c r="H1122" i="1"/>
  <c r="G1122" i="1"/>
  <c r="F1122" i="1"/>
  <c r="M1122" i="1"/>
  <c r="L1122" i="1"/>
  <c r="K1122" i="1"/>
  <c r="J1122" i="1"/>
  <c r="F1111" i="1"/>
  <c r="M1111" i="1"/>
  <c r="L1111" i="1"/>
  <c r="K1111" i="1"/>
  <c r="J1111" i="1"/>
  <c r="I1111" i="1"/>
  <c r="H1111" i="1"/>
  <c r="G1111" i="1"/>
  <c r="E1127" i="1"/>
  <c r="C1127" i="1"/>
  <c r="D1137" i="1" s="1"/>
  <c r="E1123" i="1"/>
  <c r="C1123" i="1"/>
  <c r="D1133" i="1" s="1"/>
  <c r="E1121" i="1"/>
  <c r="C1121" i="1"/>
  <c r="D1131" i="1" s="1"/>
  <c r="I1117" i="1"/>
  <c r="G1117" i="1"/>
  <c r="M1117" i="1"/>
  <c r="L1117" i="1"/>
  <c r="K1117" i="1"/>
  <c r="J1117" i="1"/>
  <c r="H1117" i="1"/>
  <c r="F1117" i="1"/>
  <c r="M1113" i="1"/>
  <c r="L1113" i="1"/>
  <c r="K1113" i="1"/>
  <c r="J1113" i="1"/>
  <c r="I1113" i="1"/>
  <c r="H1113" i="1"/>
  <c r="G1113" i="1"/>
  <c r="F1113" i="1"/>
  <c r="E1142" i="1" l="1"/>
  <c r="C1142" i="1"/>
  <c r="D1152" i="1" s="1"/>
  <c r="K1132" i="1"/>
  <c r="J1132" i="1"/>
  <c r="I1132" i="1"/>
  <c r="H1132" i="1"/>
  <c r="G1132" i="1"/>
  <c r="M1132" i="1"/>
  <c r="L1132" i="1"/>
  <c r="F1132" i="1"/>
  <c r="E1140" i="1"/>
  <c r="C1140" i="1"/>
  <c r="D1150" i="1" s="1"/>
  <c r="M1130" i="1"/>
  <c r="L1130" i="1"/>
  <c r="K1130" i="1"/>
  <c r="I1130" i="1"/>
  <c r="G1130" i="1"/>
  <c r="J1130" i="1"/>
  <c r="H1130" i="1"/>
  <c r="F1130" i="1"/>
  <c r="E1128" i="1"/>
  <c r="C1128" i="1"/>
  <c r="D1138" i="1" s="1"/>
  <c r="H1118" i="1"/>
  <c r="G1118" i="1"/>
  <c r="F1118" i="1"/>
  <c r="M1118" i="1"/>
  <c r="L1118" i="1"/>
  <c r="K1118" i="1"/>
  <c r="J1118" i="1"/>
  <c r="I1118" i="1"/>
  <c r="C1131" i="1"/>
  <c r="D1141" i="1" s="1"/>
  <c r="E1131" i="1"/>
  <c r="E1139" i="1"/>
  <c r="C1139" i="1"/>
  <c r="D1149" i="1" s="1"/>
  <c r="M1121" i="1"/>
  <c r="L1121" i="1"/>
  <c r="K1121" i="1"/>
  <c r="J1121" i="1"/>
  <c r="I1121" i="1"/>
  <c r="H1121" i="1"/>
  <c r="G1121" i="1"/>
  <c r="F1121" i="1"/>
  <c r="G1129" i="1"/>
  <c r="F1129" i="1"/>
  <c r="M1129" i="1"/>
  <c r="L1129" i="1"/>
  <c r="K1129" i="1"/>
  <c r="J1129" i="1"/>
  <c r="I1129" i="1"/>
  <c r="H1129" i="1"/>
  <c r="K1127" i="1"/>
  <c r="J1127" i="1"/>
  <c r="I1127" i="1"/>
  <c r="H1127" i="1"/>
  <c r="G1127" i="1"/>
  <c r="M1127" i="1"/>
  <c r="L1127" i="1"/>
  <c r="F1127" i="1"/>
  <c r="E1133" i="1"/>
  <c r="C1133" i="1"/>
  <c r="D1143" i="1" s="1"/>
  <c r="C1126" i="1"/>
  <c r="D1136" i="1" s="1"/>
  <c r="E1126" i="1"/>
  <c r="K1123" i="1"/>
  <c r="I1123" i="1"/>
  <c r="M1123" i="1"/>
  <c r="L1123" i="1"/>
  <c r="J1123" i="1"/>
  <c r="H1123" i="1"/>
  <c r="G1123" i="1"/>
  <c r="F1123" i="1"/>
  <c r="E1135" i="1"/>
  <c r="J1116" i="1"/>
  <c r="I1116" i="1"/>
  <c r="H1116" i="1"/>
  <c r="G1116" i="1"/>
  <c r="F1116" i="1"/>
  <c r="M1116" i="1"/>
  <c r="L1116" i="1"/>
  <c r="K1116" i="1"/>
  <c r="E1137" i="1"/>
  <c r="C1137" i="1"/>
  <c r="D1147" i="1" s="1"/>
  <c r="M1133" i="1" l="1"/>
  <c r="K1133" i="1"/>
  <c r="L1133" i="1"/>
  <c r="J1133" i="1"/>
  <c r="I1133" i="1"/>
  <c r="H1133" i="1"/>
  <c r="G1133" i="1"/>
  <c r="F1133" i="1"/>
  <c r="E1143" i="1"/>
  <c r="C1143" i="1"/>
  <c r="D1153" i="1" s="1"/>
  <c r="E1149" i="1"/>
  <c r="C1149" i="1"/>
  <c r="D1159" i="1" s="1"/>
  <c r="I1139" i="1"/>
  <c r="H1139" i="1"/>
  <c r="G1139" i="1"/>
  <c r="F1139" i="1"/>
  <c r="M1139" i="1"/>
  <c r="L1139" i="1"/>
  <c r="K1139" i="1"/>
  <c r="J1139" i="1"/>
  <c r="H1131" i="1"/>
  <c r="G1131" i="1"/>
  <c r="F1131" i="1"/>
  <c r="M1131" i="1"/>
  <c r="L1131" i="1"/>
  <c r="K1131" i="1"/>
  <c r="J1131" i="1"/>
  <c r="I1131" i="1"/>
  <c r="E1150" i="1"/>
  <c r="C1150" i="1"/>
  <c r="D1160" i="1" s="1"/>
  <c r="E1141" i="1"/>
  <c r="C1141" i="1"/>
  <c r="D1151" i="1" s="1"/>
  <c r="M1140" i="1"/>
  <c r="L1140" i="1"/>
  <c r="K1140" i="1"/>
  <c r="I1140" i="1"/>
  <c r="J1140" i="1"/>
  <c r="H1140" i="1"/>
  <c r="G1140" i="1"/>
  <c r="F1140" i="1"/>
  <c r="M1137" i="1"/>
  <c r="L1137" i="1"/>
  <c r="K1137" i="1"/>
  <c r="J1137" i="1"/>
  <c r="I1137" i="1"/>
  <c r="H1137" i="1"/>
  <c r="G1137" i="1"/>
  <c r="F1137" i="1"/>
  <c r="E1145" i="1"/>
  <c r="H1126" i="1"/>
  <c r="G1126" i="1"/>
  <c r="F1126" i="1"/>
  <c r="M1126" i="1"/>
  <c r="L1126" i="1"/>
  <c r="K1126" i="1"/>
  <c r="J1126" i="1"/>
  <c r="I1126" i="1"/>
  <c r="E1138" i="1"/>
  <c r="C1138" i="1"/>
  <c r="D1148" i="1" s="1"/>
  <c r="E1152" i="1"/>
  <c r="C1152" i="1"/>
  <c r="D1162" i="1" s="1"/>
  <c r="E1147" i="1"/>
  <c r="C1147" i="1"/>
  <c r="D1157" i="1" s="1"/>
  <c r="E1136" i="1"/>
  <c r="C1136" i="1"/>
  <c r="D1146" i="1" s="1"/>
  <c r="M1128" i="1"/>
  <c r="K1128" i="1"/>
  <c r="L1128" i="1"/>
  <c r="J1128" i="1"/>
  <c r="I1128" i="1"/>
  <c r="H1128" i="1"/>
  <c r="G1128" i="1"/>
  <c r="F1128" i="1"/>
  <c r="M1142" i="1"/>
  <c r="L1142" i="1"/>
  <c r="K1142" i="1"/>
  <c r="J1142" i="1"/>
  <c r="I1142" i="1"/>
  <c r="H1142" i="1"/>
  <c r="G1142" i="1"/>
  <c r="F1142" i="1"/>
  <c r="C1148" i="1" l="1"/>
  <c r="D1158" i="1" s="1"/>
  <c r="E1148" i="1"/>
  <c r="M1138" i="1"/>
  <c r="H1138" i="1"/>
  <c r="G1138" i="1"/>
  <c r="F1138" i="1"/>
  <c r="L1138" i="1"/>
  <c r="K1138" i="1"/>
  <c r="J1138" i="1"/>
  <c r="I1138" i="1"/>
  <c r="M1152" i="1"/>
  <c r="L1152" i="1"/>
  <c r="K1152" i="1"/>
  <c r="J1152" i="1"/>
  <c r="I1152" i="1"/>
  <c r="G1152" i="1"/>
  <c r="H1152" i="1"/>
  <c r="F1152" i="1"/>
  <c r="E1151" i="1"/>
  <c r="C1151" i="1"/>
  <c r="D1161" i="1" s="1"/>
  <c r="E1159" i="1"/>
  <c r="C1159" i="1"/>
  <c r="D1169" i="1" s="1"/>
  <c r="G1141" i="1"/>
  <c r="F1141" i="1"/>
  <c r="M1141" i="1"/>
  <c r="L1141" i="1"/>
  <c r="K1141" i="1"/>
  <c r="J1141" i="1"/>
  <c r="I1141" i="1"/>
  <c r="H1141" i="1"/>
  <c r="K1149" i="1"/>
  <c r="J1149" i="1"/>
  <c r="I1149" i="1"/>
  <c r="H1149" i="1"/>
  <c r="G1149" i="1"/>
  <c r="F1149" i="1"/>
  <c r="M1149" i="1"/>
  <c r="L1149" i="1"/>
  <c r="E1160" i="1"/>
  <c r="C1160" i="1"/>
  <c r="D1170" i="1" s="1"/>
  <c r="C1153" i="1"/>
  <c r="D1163" i="1" s="1"/>
  <c r="E1153" i="1"/>
  <c r="M1150" i="1"/>
  <c r="K1150" i="1"/>
  <c r="I1150" i="1"/>
  <c r="L1150" i="1"/>
  <c r="J1150" i="1"/>
  <c r="H1150" i="1"/>
  <c r="G1150" i="1"/>
  <c r="F1150" i="1"/>
  <c r="M1143" i="1"/>
  <c r="K1143" i="1"/>
  <c r="L1143" i="1"/>
  <c r="J1143" i="1"/>
  <c r="I1143" i="1"/>
  <c r="H1143" i="1"/>
  <c r="G1143" i="1"/>
  <c r="F1143" i="1"/>
  <c r="E1146" i="1"/>
  <c r="C1146" i="1"/>
  <c r="D1156" i="1" s="1"/>
  <c r="E1155" i="1"/>
  <c r="M1136" i="1"/>
  <c r="L1136" i="1"/>
  <c r="K1136" i="1"/>
  <c r="J1136" i="1"/>
  <c r="I1136" i="1"/>
  <c r="H1136" i="1"/>
  <c r="G1136" i="1"/>
  <c r="F1136" i="1"/>
  <c r="E1157" i="1"/>
  <c r="C1157" i="1"/>
  <c r="D1167" i="1" s="1"/>
  <c r="M1147" i="1"/>
  <c r="L1147" i="1"/>
  <c r="K1147" i="1"/>
  <c r="J1147" i="1"/>
  <c r="I1147" i="1"/>
  <c r="G1147" i="1"/>
  <c r="H1147" i="1"/>
  <c r="F1147" i="1"/>
  <c r="E1162" i="1"/>
  <c r="C1162" i="1"/>
  <c r="D1172" i="1" s="1"/>
  <c r="G1146" i="1" l="1"/>
  <c r="F1146" i="1"/>
  <c r="E1165" i="1"/>
  <c r="M1146" i="1"/>
  <c r="L1146" i="1"/>
  <c r="K1146" i="1"/>
  <c r="J1146" i="1"/>
  <c r="I1146" i="1"/>
  <c r="H1146" i="1"/>
  <c r="M1160" i="1"/>
  <c r="L1160" i="1"/>
  <c r="K1160" i="1"/>
  <c r="J1160" i="1"/>
  <c r="F1160" i="1"/>
  <c r="I1160" i="1"/>
  <c r="H1160" i="1"/>
  <c r="G1160" i="1"/>
  <c r="G1151" i="1"/>
  <c r="F1151" i="1"/>
  <c r="K1151" i="1"/>
  <c r="J1151" i="1"/>
  <c r="I1151" i="1"/>
  <c r="H1151" i="1"/>
  <c r="M1151" i="1"/>
  <c r="L1151" i="1"/>
  <c r="E1161" i="1"/>
  <c r="C1161" i="1"/>
  <c r="D1171" i="1" s="1"/>
  <c r="E1167" i="1"/>
  <c r="C1167" i="1"/>
  <c r="D1177" i="1" s="1"/>
  <c r="M1157" i="1"/>
  <c r="L1157" i="1"/>
  <c r="K1157" i="1"/>
  <c r="J1157" i="1"/>
  <c r="I1157" i="1"/>
  <c r="H1157" i="1"/>
  <c r="G1157" i="1"/>
  <c r="F1157" i="1"/>
  <c r="E1156" i="1"/>
  <c r="C1156" i="1"/>
  <c r="D1166" i="1" s="1"/>
  <c r="C1170" i="1"/>
  <c r="D1180" i="1" s="1"/>
  <c r="E1170" i="1"/>
  <c r="M1162" i="1"/>
  <c r="L1162" i="1"/>
  <c r="K1162" i="1"/>
  <c r="J1162" i="1"/>
  <c r="I1162" i="1"/>
  <c r="H1162" i="1"/>
  <c r="G1162" i="1"/>
  <c r="F1162" i="1"/>
  <c r="M1153" i="1"/>
  <c r="L1153" i="1"/>
  <c r="K1153" i="1"/>
  <c r="J1153" i="1"/>
  <c r="I1153" i="1"/>
  <c r="H1153" i="1"/>
  <c r="G1153" i="1"/>
  <c r="F1153" i="1"/>
  <c r="E1169" i="1"/>
  <c r="C1169" i="1"/>
  <c r="D1179" i="1" s="1"/>
  <c r="M1148" i="1"/>
  <c r="J1148" i="1"/>
  <c r="I1148" i="1"/>
  <c r="H1148" i="1"/>
  <c r="G1148" i="1"/>
  <c r="F1148" i="1"/>
  <c r="L1148" i="1"/>
  <c r="K1148" i="1"/>
  <c r="E1172" i="1"/>
  <c r="C1172" i="1"/>
  <c r="D1182" i="1" s="1"/>
  <c r="E1163" i="1"/>
  <c r="C1163" i="1"/>
  <c r="D1173" i="1" s="1"/>
  <c r="M1159" i="1"/>
  <c r="L1159" i="1"/>
  <c r="K1159" i="1"/>
  <c r="J1159" i="1"/>
  <c r="I1159" i="1"/>
  <c r="H1159" i="1"/>
  <c r="G1159" i="1"/>
  <c r="F1159" i="1"/>
  <c r="E1158" i="1"/>
  <c r="C1158" i="1"/>
  <c r="D1168" i="1" s="1"/>
  <c r="M1169" i="1" l="1"/>
  <c r="L1169" i="1"/>
  <c r="K1169" i="1"/>
  <c r="J1169" i="1"/>
  <c r="I1169" i="1"/>
  <c r="H1169" i="1"/>
  <c r="G1169" i="1"/>
  <c r="F1169" i="1"/>
  <c r="I1156" i="1"/>
  <c r="H1156" i="1"/>
  <c r="G1156" i="1"/>
  <c r="F1156" i="1"/>
  <c r="E1175" i="1"/>
  <c r="L1156" i="1"/>
  <c r="K1156" i="1"/>
  <c r="J1156" i="1"/>
  <c r="M1156" i="1"/>
  <c r="M1158" i="1"/>
  <c r="L1158" i="1"/>
  <c r="K1158" i="1"/>
  <c r="J1158" i="1"/>
  <c r="I1158" i="1"/>
  <c r="H1158" i="1"/>
  <c r="G1158" i="1"/>
  <c r="F1158" i="1"/>
  <c r="E1166" i="1"/>
  <c r="C1166" i="1"/>
  <c r="D1176" i="1" s="1"/>
  <c r="E1173" i="1"/>
  <c r="C1173" i="1"/>
  <c r="D1183" i="1" s="1"/>
  <c r="L1163" i="1"/>
  <c r="K1163" i="1"/>
  <c r="J1163" i="1"/>
  <c r="I1163" i="1"/>
  <c r="H1163" i="1"/>
  <c r="G1163" i="1"/>
  <c r="F1163" i="1"/>
  <c r="M1163" i="1"/>
  <c r="E1182" i="1"/>
  <c r="C1182" i="1"/>
  <c r="D1192" i="1" s="1"/>
  <c r="E1177" i="1"/>
  <c r="C1177" i="1"/>
  <c r="D1187" i="1" s="1"/>
  <c r="M1172" i="1"/>
  <c r="L1172" i="1"/>
  <c r="K1172" i="1"/>
  <c r="J1172" i="1"/>
  <c r="I1172" i="1"/>
  <c r="H1172" i="1"/>
  <c r="G1172" i="1"/>
  <c r="F1172" i="1"/>
  <c r="M1167" i="1"/>
  <c r="L1167" i="1"/>
  <c r="K1167" i="1"/>
  <c r="J1167" i="1"/>
  <c r="I1167" i="1"/>
  <c r="H1167" i="1"/>
  <c r="G1167" i="1"/>
  <c r="F1167" i="1"/>
  <c r="E1171" i="1"/>
  <c r="C1171" i="1"/>
  <c r="D1181" i="1" s="1"/>
  <c r="I1161" i="1"/>
  <c r="H1161" i="1"/>
  <c r="G1161" i="1"/>
  <c r="F1161" i="1"/>
  <c r="M1161" i="1"/>
  <c r="L1161" i="1"/>
  <c r="K1161" i="1"/>
  <c r="J1161" i="1"/>
  <c r="E1180" i="1"/>
  <c r="C1180" i="1"/>
  <c r="D1190" i="1" s="1"/>
  <c r="E1179" i="1"/>
  <c r="C1179" i="1"/>
  <c r="D1189" i="1" s="1"/>
  <c r="E1168" i="1"/>
  <c r="C1168" i="1"/>
  <c r="D1178" i="1" s="1"/>
  <c r="M1170" i="1"/>
  <c r="L1170" i="1"/>
  <c r="K1170" i="1"/>
  <c r="J1170" i="1"/>
  <c r="I1170" i="1"/>
  <c r="H1170" i="1"/>
  <c r="G1170" i="1"/>
  <c r="F1170" i="1"/>
  <c r="K1171" i="1" l="1"/>
  <c r="J1171" i="1"/>
  <c r="I1171" i="1"/>
  <c r="H1171" i="1"/>
  <c r="G1171" i="1"/>
  <c r="F1171" i="1"/>
  <c r="M1171" i="1"/>
  <c r="L1171" i="1"/>
  <c r="M1182" i="1"/>
  <c r="L1182" i="1"/>
  <c r="K1182" i="1"/>
  <c r="J1182" i="1"/>
  <c r="I1182" i="1"/>
  <c r="H1182" i="1"/>
  <c r="G1182" i="1"/>
  <c r="F1182" i="1"/>
  <c r="E1181" i="1"/>
  <c r="C1181" i="1"/>
  <c r="D1191" i="1" s="1"/>
  <c r="M1177" i="1"/>
  <c r="L1177" i="1"/>
  <c r="K1177" i="1"/>
  <c r="J1177" i="1"/>
  <c r="I1177" i="1"/>
  <c r="H1177" i="1"/>
  <c r="G1177" i="1"/>
  <c r="F1177" i="1"/>
  <c r="E1192" i="1"/>
  <c r="C1192" i="1"/>
  <c r="D1202" i="1" s="1"/>
  <c r="E1178" i="1"/>
  <c r="C1178" i="1"/>
  <c r="D1188" i="1" s="1"/>
  <c r="G1168" i="1"/>
  <c r="F1168" i="1"/>
  <c r="M1168" i="1"/>
  <c r="L1168" i="1"/>
  <c r="K1168" i="1"/>
  <c r="J1168" i="1"/>
  <c r="I1168" i="1"/>
  <c r="H1168" i="1"/>
  <c r="E1189" i="1"/>
  <c r="C1189" i="1"/>
  <c r="D1199" i="1" s="1"/>
  <c r="M1179" i="1"/>
  <c r="L1179" i="1"/>
  <c r="K1179" i="1"/>
  <c r="J1179" i="1"/>
  <c r="I1179" i="1"/>
  <c r="H1179" i="1"/>
  <c r="G1179" i="1"/>
  <c r="F1179" i="1"/>
  <c r="E1190" i="1"/>
  <c r="C1190" i="1"/>
  <c r="D1200" i="1" s="1"/>
  <c r="E1183" i="1"/>
  <c r="C1183" i="1"/>
  <c r="D1193" i="1" s="1"/>
  <c r="M1180" i="1"/>
  <c r="F1180" i="1"/>
  <c r="L1180" i="1"/>
  <c r="K1180" i="1"/>
  <c r="J1180" i="1"/>
  <c r="I1180" i="1"/>
  <c r="H1180" i="1"/>
  <c r="G1180" i="1"/>
  <c r="G1173" i="1"/>
  <c r="F1173" i="1"/>
  <c r="K1173" i="1"/>
  <c r="J1173" i="1"/>
  <c r="I1173" i="1"/>
  <c r="H1173" i="1"/>
  <c r="M1173" i="1"/>
  <c r="L1173" i="1"/>
  <c r="E1176" i="1"/>
  <c r="C1176" i="1"/>
  <c r="D1186" i="1" s="1"/>
  <c r="K1166" i="1"/>
  <c r="J1166" i="1"/>
  <c r="I1166" i="1"/>
  <c r="H1166" i="1"/>
  <c r="G1166" i="1"/>
  <c r="F1166" i="1"/>
  <c r="M1166" i="1"/>
  <c r="L1166" i="1"/>
  <c r="E1185" i="1"/>
  <c r="C1187" i="1"/>
  <c r="D1197" i="1" s="1"/>
  <c r="E1187" i="1"/>
  <c r="E1199" i="1" l="1"/>
  <c r="C1199" i="1"/>
  <c r="D1209" i="1" s="1"/>
  <c r="E1191" i="1"/>
  <c r="C1191" i="1"/>
  <c r="D1201" i="1" s="1"/>
  <c r="M1181" i="1"/>
  <c r="L1181" i="1"/>
  <c r="K1181" i="1"/>
  <c r="J1181" i="1"/>
  <c r="I1181" i="1"/>
  <c r="H1181" i="1"/>
  <c r="G1181" i="1"/>
  <c r="F1181" i="1"/>
  <c r="E1193" i="1"/>
  <c r="C1193" i="1"/>
  <c r="D1203" i="1" s="1"/>
  <c r="I1183" i="1"/>
  <c r="H1183" i="1"/>
  <c r="G1183" i="1"/>
  <c r="F1183" i="1"/>
  <c r="M1183" i="1"/>
  <c r="L1183" i="1"/>
  <c r="K1183" i="1"/>
  <c r="J1183" i="1"/>
  <c r="M1189" i="1"/>
  <c r="L1189" i="1"/>
  <c r="K1189" i="1"/>
  <c r="J1189" i="1"/>
  <c r="I1189" i="1"/>
  <c r="H1189" i="1"/>
  <c r="G1189" i="1"/>
  <c r="F1189" i="1"/>
  <c r="E1186" i="1"/>
  <c r="C1186" i="1"/>
  <c r="D1196" i="1" s="1"/>
  <c r="E1200" i="1"/>
  <c r="C1200" i="1"/>
  <c r="D1210" i="1" s="1"/>
  <c r="E1188" i="1"/>
  <c r="C1188" i="1"/>
  <c r="D1198" i="1" s="1"/>
  <c r="M1176" i="1"/>
  <c r="L1176" i="1"/>
  <c r="K1176" i="1"/>
  <c r="E1195" i="1"/>
  <c r="J1176" i="1"/>
  <c r="I1176" i="1"/>
  <c r="H1176" i="1"/>
  <c r="G1176" i="1"/>
  <c r="F1176" i="1"/>
  <c r="G1190" i="1"/>
  <c r="F1190" i="1"/>
  <c r="H1190" i="1"/>
  <c r="M1190" i="1"/>
  <c r="L1190" i="1"/>
  <c r="K1190" i="1"/>
  <c r="J1190" i="1"/>
  <c r="I1190" i="1"/>
  <c r="I1178" i="1"/>
  <c r="H1178" i="1"/>
  <c r="G1178" i="1"/>
  <c r="F1178" i="1"/>
  <c r="M1178" i="1"/>
  <c r="L1178" i="1"/>
  <c r="K1178" i="1"/>
  <c r="J1178" i="1"/>
  <c r="E1202" i="1"/>
  <c r="C1202" i="1"/>
  <c r="D1212" i="1" s="1"/>
  <c r="K1192" i="1"/>
  <c r="I1192" i="1"/>
  <c r="G1192" i="1"/>
  <c r="M1192" i="1"/>
  <c r="L1192" i="1"/>
  <c r="J1192" i="1"/>
  <c r="H1192" i="1"/>
  <c r="F1192" i="1"/>
  <c r="E1197" i="1"/>
  <c r="C1197" i="1"/>
  <c r="D1207" i="1" s="1"/>
  <c r="M1187" i="1"/>
  <c r="L1187" i="1"/>
  <c r="K1187" i="1"/>
  <c r="J1187" i="1"/>
  <c r="I1187" i="1"/>
  <c r="H1187" i="1"/>
  <c r="G1187" i="1"/>
  <c r="F1187" i="1"/>
  <c r="E1198" i="1" l="1"/>
  <c r="C1198" i="1"/>
  <c r="D1208" i="1" s="1"/>
  <c r="K1188" i="1"/>
  <c r="J1188" i="1"/>
  <c r="I1188" i="1"/>
  <c r="H1188" i="1"/>
  <c r="G1188" i="1"/>
  <c r="F1188" i="1"/>
  <c r="M1188" i="1"/>
  <c r="L1188" i="1"/>
  <c r="E1210" i="1"/>
  <c r="C1210" i="1"/>
  <c r="D1220" i="1" s="1"/>
  <c r="C1203" i="1"/>
  <c r="D1213" i="1" s="1"/>
  <c r="E1203" i="1"/>
  <c r="E1207" i="1"/>
  <c r="C1207" i="1"/>
  <c r="D1217" i="1" s="1"/>
  <c r="M1200" i="1"/>
  <c r="K1200" i="1"/>
  <c r="I1200" i="1"/>
  <c r="J1200" i="1"/>
  <c r="H1200" i="1"/>
  <c r="G1200" i="1"/>
  <c r="F1200" i="1"/>
  <c r="L1200" i="1"/>
  <c r="M1193" i="1"/>
  <c r="K1193" i="1"/>
  <c r="L1193" i="1"/>
  <c r="J1193" i="1"/>
  <c r="I1193" i="1"/>
  <c r="H1193" i="1"/>
  <c r="G1193" i="1"/>
  <c r="F1193" i="1"/>
  <c r="M1197" i="1"/>
  <c r="K1197" i="1"/>
  <c r="I1197" i="1"/>
  <c r="G1197" i="1"/>
  <c r="L1197" i="1"/>
  <c r="J1197" i="1"/>
  <c r="H1197" i="1"/>
  <c r="F1197" i="1"/>
  <c r="E1196" i="1"/>
  <c r="C1196" i="1"/>
  <c r="D1206" i="1" s="1"/>
  <c r="M1186" i="1"/>
  <c r="L1186" i="1"/>
  <c r="K1186" i="1"/>
  <c r="J1186" i="1"/>
  <c r="I1186" i="1"/>
  <c r="H1186" i="1"/>
  <c r="G1186" i="1"/>
  <c r="E1205" i="1"/>
  <c r="F1186" i="1"/>
  <c r="E1201" i="1"/>
  <c r="C1201" i="1"/>
  <c r="D1211" i="1" s="1"/>
  <c r="E1212" i="1"/>
  <c r="C1212" i="1"/>
  <c r="D1222" i="1" s="1"/>
  <c r="M1191" i="1"/>
  <c r="L1191" i="1"/>
  <c r="K1191" i="1"/>
  <c r="J1191" i="1"/>
  <c r="I1191" i="1"/>
  <c r="H1191" i="1"/>
  <c r="G1191" i="1"/>
  <c r="F1191" i="1"/>
  <c r="M1202" i="1"/>
  <c r="K1202" i="1"/>
  <c r="I1202" i="1"/>
  <c r="G1202" i="1"/>
  <c r="L1202" i="1"/>
  <c r="J1202" i="1"/>
  <c r="H1202" i="1"/>
  <c r="F1202" i="1"/>
  <c r="E1209" i="1"/>
  <c r="C1209" i="1"/>
  <c r="D1219" i="1" s="1"/>
  <c r="I1199" i="1"/>
  <c r="G1199" i="1"/>
  <c r="M1199" i="1"/>
  <c r="L1199" i="1"/>
  <c r="K1199" i="1"/>
  <c r="J1199" i="1"/>
  <c r="H1199" i="1"/>
  <c r="F1199" i="1"/>
  <c r="E1217" i="1" l="1"/>
  <c r="C1217" i="1"/>
  <c r="D1227" i="1" s="1"/>
  <c r="C1222" i="1"/>
  <c r="D1232" i="1" s="1"/>
  <c r="E1222" i="1"/>
  <c r="M1207" i="1"/>
  <c r="K1207" i="1"/>
  <c r="I1207" i="1"/>
  <c r="G1207" i="1"/>
  <c r="L1207" i="1"/>
  <c r="J1207" i="1"/>
  <c r="H1207" i="1"/>
  <c r="F1207" i="1"/>
  <c r="M1212" i="1"/>
  <c r="K1212" i="1"/>
  <c r="I1212" i="1"/>
  <c r="G1212" i="1"/>
  <c r="L1212" i="1"/>
  <c r="J1212" i="1"/>
  <c r="H1212" i="1"/>
  <c r="F1212" i="1"/>
  <c r="M1203" i="1"/>
  <c r="L1203" i="1"/>
  <c r="K1203" i="1"/>
  <c r="J1203" i="1"/>
  <c r="I1203" i="1"/>
  <c r="F1203" i="1"/>
  <c r="H1203" i="1"/>
  <c r="G1203" i="1"/>
  <c r="E1219" i="1"/>
  <c r="C1219" i="1"/>
  <c r="D1229" i="1" s="1"/>
  <c r="E1211" i="1"/>
  <c r="C1211" i="1"/>
  <c r="D1221" i="1" s="1"/>
  <c r="C1213" i="1"/>
  <c r="D1223" i="1" s="1"/>
  <c r="E1213" i="1"/>
  <c r="K1209" i="1"/>
  <c r="I1209" i="1"/>
  <c r="G1209" i="1"/>
  <c r="M1209" i="1"/>
  <c r="H1209" i="1"/>
  <c r="L1209" i="1"/>
  <c r="J1209" i="1"/>
  <c r="F1209" i="1"/>
  <c r="M1201" i="1"/>
  <c r="L1201" i="1"/>
  <c r="K1201" i="1"/>
  <c r="J1201" i="1"/>
  <c r="H1201" i="1"/>
  <c r="I1201" i="1"/>
  <c r="G1201" i="1"/>
  <c r="F1201" i="1"/>
  <c r="C1220" i="1"/>
  <c r="D1230" i="1" s="1"/>
  <c r="E1220" i="1"/>
  <c r="M1210" i="1"/>
  <c r="K1210" i="1"/>
  <c r="L1210" i="1"/>
  <c r="J1210" i="1"/>
  <c r="I1210" i="1"/>
  <c r="H1210" i="1"/>
  <c r="G1210" i="1"/>
  <c r="F1210" i="1"/>
  <c r="E1206" i="1"/>
  <c r="C1206" i="1"/>
  <c r="D1216" i="1" s="1"/>
  <c r="C1208" i="1"/>
  <c r="D1218" i="1" s="1"/>
  <c r="E1208" i="1"/>
  <c r="G1196" i="1"/>
  <c r="F1196" i="1"/>
  <c r="M1196" i="1"/>
  <c r="E1215" i="1"/>
  <c r="L1196" i="1"/>
  <c r="K1196" i="1"/>
  <c r="J1196" i="1"/>
  <c r="I1196" i="1"/>
  <c r="H1196" i="1"/>
  <c r="M1198" i="1"/>
  <c r="H1198" i="1"/>
  <c r="G1198" i="1"/>
  <c r="F1198" i="1"/>
  <c r="L1198" i="1"/>
  <c r="K1198" i="1"/>
  <c r="J1198" i="1"/>
  <c r="I1198" i="1"/>
  <c r="J1213" i="1" l="1"/>
  <c r="I1213" i="1"/>
  <c r="H1213" i="1"/>
  <c r="G1213" i="1"/>
  <c r="F1213" i="1"/>
  <c r="L1213" i="1"/>
  <c r="M1213" i="1"/>
  <c r="K1213" i="1"/>
  <c r="E1223" i="1"/>
  <c r="C1223" i="1"/>
  <c r="D1233" i="1" s="1"/>
  <c r="M1220" i="1"/>
  <c r="L1220" i="1"/>
  <c r="K1220" i="1"/>
  <c r="J1220" i="1"/>
  <c r="I1220" i="1"/>
  <c r="H1220" i="1"/>
  <c r="F1220" i="1"/>
  <c r="G1220" i="1"/>
  <c r="E1221" i="1"/>
  <c r="C1221" i="1"/>
  <c r="D1231" i="1" s="1"/>
  <c r="C1230" i="1"/>
  <c r="D1240" i="1" s="1"/>
  <c r="E1230" i="1"/>
  <c r="G1211" i="1"/>
  <c r="I1211" i="1"/>
  <c r="H1211" i="1"/>
  <c r="F1211" i="1"/>
  <c r="K1211" i="1"/>
  <c r="M1211" i="1"/>
  <c r="L1211" i="1"/>
  <c r="J1211" i="1"/>
  <c r="E1229" i="1"/>
  <c r="C1229" i="1"/>
  <c r="D1239" i="1" s="1"/>
  <c r="M1219" i="1"/>
  <c r="K1219" i="1"/>
  <c r="I1219" i="1"/>
  <c r="G1219" i="1"/>
  <c r="L1219" i="1"/>
  <c r="J1219" i="1"/>
  <c r="H1219" i="1"/>
  <c r="F1219" i="1"/>
  <c r="M1208" i="1"/>
  <c r="L1208" i="1"/>
  <c r="K1208" i="1"/>
  <c r="J1208" i="1"/>
  <c r="I1208" i="1"/>
  <c r="H1208" i="1"/>
  <c r="G1208" i="1"/>
  <c r="F1208" i="1"/>
  <c r="M1222" i="1"/>
  <c r="K1222" i="1"/>
  <c r="I1222" i="1"/>
  <c r="L1222" i="1"/>
  <c r="J1222" i="1"/>
  <c r="G1222" i="1"/>
  <c r="F1222" i="1"/>
  <c r="H1222" i="1"/>
  <c r="E1218" i="1"/>
  <c r="C1218" i="1"/>
  <c r="D1228" i="1" s="1"/>
  <c r="E1232" i="1"/>
  <c r="C1232" i="1"/>
  <c r="D1242" i="1" s="1"/>
  <c r="E1216" i="1"/>
  <c r="C1216" i="1"/>
  <c r="D1226" i="1" s="1"/>
  <c r="E1227" i="1"/>
  <c r="C1227" i="1"/>
  <c r="D1237" i="1" s="1"/>
  <c r="G1206" i="1"/>
  <c r="E1225" i="1"/>
  <c r="M1206" i="1"/>
  <c r="L1206" i="1"/>
  <c r="K1206" i="1"/>
  <c r="J1206" i="1"/>
  <c r="I1206" i="1"/>
  <c r="H1206" i="1"/>
  <c r="F1206" i="1"/>
  <c r="M1217" i="1"/>
  <c r="K1217" i="1"/>
  <c r="I1217" i="1"/>
  <c r="J1217" i="1"/>
  <c r="H1217" i="1"/>
  <c r="G1217" i="1"/>
  <c r="F1217" i="1"/>
  <c r="L1217" i="1"/>
  <c r="M1232" i="1" l="1"/>
  <c r="K1232" i="1"/>
  <c r="L1232" i="1"/>
  <c r="J1232" i="1"/>
  <c r="I1232" i="1"/>
  <c r="H1232" i="1"/>
  <c r="G1232" i="1"/>
  <c r="F1232" i="1"/>
  <c r="I1221" i="1"/>
  <c r="G1221" i="1"/>
  <c r="M1221" i="1"/>
  <c r="L1221" i="1"/>
  <c r="K1221" i="1"/>
  <c r="J1221" i="1"/>
  <c r="H1221" i="1"/>
  <c r="F1221" i="1"/>
  <c r="E1228" i="1"/>
  <c r="C1228" i="1"/>
  <c r="D1238" i="1" s="1"/>
  <c r="E1242" i="1"/>
  <c r="C1242" i="1"/>
  <c r="D1252" i="1" s="1"/>
  <c r="M1218" i="1"/>
  <c r="L1218" i="1"/>
  <c r="K1218" i="1"/>
  <c r="J1218" i="1"/>
  <c r="I1218" i="1"/>
  <c r="H1218" i="1"/>
  <c r="G1218" i="1"/>
  <c r="F1218" i="1"/>
  <c r="C1239" i="1"/>
  <c r="D1249" i="1" s="1"/>
  <c r="E1239" i="1"/>
  <c r="M1229" i="1"/>
  <c r="K1229" i="1"/>
  <c r="I1229" i="1"/>
  <c r="G1229" i="1"/>
  <c r="L1229" i="1"/>
  <c r="J1229" i="1"/>
  <c r="H1229" i="1"/>
  <c r="F1229" i="1"/>
  <c r="E1233" i="1"/>
  <c r="C1233" i="1"/>
  <c r="D1243" i="1" s="1"/>
  <c r="M1223" i="1"/>
  <c r="L1223" i="1"/>
  <c r="K1223" i="1"/>
  <c r="J1223" i="1"/>
  <c r="I1223" i="1"/>
  <c r="H1223" i="1"/>
  <c r="G1223" i="1"/>
  <c r="F1223" i="1"/>
  <c r="C1237" i="1"/>
  <c r="D1247" i="1" s="1"/>
  <c r="E1237" i="1"/>
  <c r="E1231" i="1"/>
  <c r="C1231" i="1"/>
  <c r="D1241" i="1" s="1"/>
  <c r="M1227" i="1"/>
  <c r="K1227" i="1"/>
  <c r="L1227" i="1"/>
  <c r="J1227" i="1"/>
  <c r="I1227" i="1"/>
  <c r="H1227" i="1"/>
  <c r="G1227" i="1"/>
  <c r="F1227" i="1"/>
  <c r="E1226" i="1"/>
  <c r="C1226" i="1"/>
  <c r="D1236" i="1" s="1"/>
  <c r="J1230" i="1"/>
  <c r="I1230" i="1"/>
  <c r="H1230" i="1"/>
  <c r="G1230" i="1"/>
  <c r="F1230" i="1"/>
  <c r="M1230" i="1"/>
  <c r="L1230" i="1"/>
  <c r="K1230" i="1"/>
  <c r="I1216" i="1"/>
  <c r="G1216" i="1"/>
  <c r="E1235" i="1"/>
  <c r="M1216" i="1"/>
  <c r="L1216" i="1"/>
  <c r="K1216" i="1"/>
  <c r="J1216" i="1"/>
  <c r="H1216" i="1"/>
  <c r="F1216" i="1"/>
  <c r="E1240" i="1"/>
  <c r="C1240" i="1"/>
  <c r="D1250" i="1" s="1"/>
  <c r="C1252" i="1" l="1"/>
  <c r="D1262" i="1" s="1"/>
  <c r="E1252" i="1"/>
  <c r="E1238" i="1"/>
  <c r="C1238" i="1"/>
  <c r="D1248" i="1" s="1"/>
  <c r="G1228" i="1"/>
  <c r="I1228" i="1"/>
  <c r="H1228" i="1"/>
  <c r="F1228" i="1"/>
  <c r="M1228" i="1"/>
  <c r="L1228" i="1"/>
  <c r="K1228" i="1"/>
  <c r="J1228" i="1"/>
  <c r="G1233" i="1"/>
  <c r="M1233" i="1"/>
  <c r="L1233" i="1"/>
  <c r="K1233" i="1"/>
  <c r="J1233" i="1"/>
  <c r="I1233" i="1"/>
  <c r="H1233" i="1"/>
  <c r="F1233" i="1"/>
  <c r="E1241" i="1"/>
  <c r="C1241" i="1"/>
  <c r="D1251" i="1" s="1"/>
  <c r="K1231" i="1"/>
  <c r="I1231" i="1"/>
  <c r="G1231" i="1"/>
  <c r="M1231" i="1"/>
  <c r="L1231" i="1"/>
  <c r="J1231" i="1"/>
  <c r="H1231" i="1"/>
  <c r="F1231" i="1"/>
  <c r="M1237" i="1"/>
  <c r="L1237" i="1"/>
  <c r="K1237" i="1"/>
  <c r="J1237" i="1"/>
  <c r="I1237" i="1"/>
  <c r="H1237" i="1"/>
  <c r="G1237" i="1"/>
  <c r="F1237" i="1"/>
  <c r="M1239" i="1"/>
  <c r="K1239" i="1"/>
  <c r="I1239" i="1"/>
  <c r="L1239" i="1"/>
  <c r="J1239" i="1"/>
  <c r="H1239" i="1"/>
  <c r="G1239" i="1"/>
  <c r="F1239" i="1"/>
  <c r="E1243" i="1"/>
  <c r="C1243" i="1"/>
  <c r="D1253" i="1" s="1"/>
  <c r="C1247" i="1"/>
  <c r="D1257" i="1" s="1"/>
  <c r="E1247" i="1"/>
  <c r="E1249" i="1"/>
  <c r="C1249" i="1"/>
  <c r="D1259" i="1" s="1"/>
  <c r="M1240" i="1"/>
  <c r="L1240" i="1"/>
  <c r="K1240" i="1"/>
  <c r="J1240" i="1"/>
  <c r="I1240" i="1"/>
  <c r="H1240" i="1"/>
  <c r="G1240" i="1"/>
  <c r="F1240" i="1"/>
  <c r="E1236" i="1"/>
  <c r="C1236" i="1"/>
  <c r="D1246" i="1" s="1"/>
  <c r="M1242" i="1"/>
  <c r="L1242" i="1"/>
  <c r="K1242" i="1"/>
  <c r="J1242" i="1"/>
  <c r="I1242" i="1"/>
  <c r="H1242" i="1"/>
  <c r="G1242" i="1"/>
  <c r="F1242" i="1"/>
  <c r="E1250" i="1"/>
  <c r="C1250" i="1"/>
  <c r="D1260" i="1" s="1"/>
  <c r="K1226" i="1"/>
  <c r="I1226" i="1"/>
  <c r="G1226" i="1"/>
  <c r="E1245" i="1"/>
  <c r="M1226" i="1"/>
  <c r="L1226" i="1"/>
  <c r="J1226" i="1"/>
  <c r="H1226" i="1"/>
  <c r="F1226" i="1"/>
  <c r="E1260" i="1" l="1"/>
  <c r="C1260" i="1"/>
  <c r="D1270" i="1" s="1"/>
  <c r="E1259" i="1"/>
  <c r="C1259" i="1"/>
  <c r="D1269" i="1" s="1"/>
  <c r="G1250" i="1"/>
  <c r="M1250" i="1"/>
  <c r="L1250" i="1"/>
  <c r="K1250" i="1"/>
  <c r="J1250" i="1"/>
  <c r="I1250" i="1"/>
  <c r="H1250" i="1"/>
  <c r="F1250" i="1"/>
  <c r="M1249" i="1"/>
  <c r="K1249" i="1"/>
  <c r="L1249" i="1"/>
  <c r="J1249" i="1"/>
  <c r="I1249" i="1"/>
  <c r="H1249" i="1"/>
  <c r="G1249" i="1"/>
  <c r="F1249" i="1"/>
  <c r="J1247" i="1"/>
  <c r="I1247" i="1"/>
  <c r="H1247" i="1"/>
  <c r="G1247" i="1"/>
  <c r="F1247" i="1"/>
  <c r="M1247" i="1"/>
  <c r="L1247" i="1"/>
  <c r="K1247" i="1"/>
  <c r="E1257" i="1"/>
  <c r="C1257" i="1"/>
  <c r="D1267" i="1" s="1"/>
  <c r="E1253" i="1"/>
  <c r="C1253" i="1"/>
  <c r="D1263" i="1" s="1"/>
  <c r="I1243" i="1"/>
  <c r="G1243" i="1"/>
  <c r="K1243" i="1"/>
  <c r="J1243" i="1"/>
  <c r="H1243" i="1"/>
  <c r="F1243" i="1"/>
  <c r="M1243" i="1"/>
  <c r="L1243" i="1"/>
  <c r="E1248" i="1"/>
  <c r="C1248" i="1"/>
  <c r="D1258" i="1" s="1"/>
  <c r="I1238" i="1"/>
  <c r="G1238" i="1"/>
  <c r="M1238" i="1"/>
  <c r="L1238" i="1"/>
  <c r="K1238" i="1"/>
  <c r="J1238" i="1"/>
  <c r="H1238" i="1"/>
  <c r="F1238" i="1"/>
  <c r="E1246" i="1"/>
  <c r="C1246" i="1"/>
  <c r="D1256" i="1" s="1"/>
  <c r="E1251" i="1"/>
  <c r="C1251" i="1"/>
  <c r="D1261" i="1" s="1"/>
  <c r="M1252" i="1"/>
  <c r="L1252" i="1"/>
  <c r="K1252" i="1"/>
  <c r="J1252" i="1"/>
  <c r="I1252" i="1"/>
  <c r="H1252" i="1"/>
  <c r="G1252" i="1"/>
  <c r="F1252" i="1"/>
  <c r="M1236" i="1"/>
  <c r="K1236" i="1"/>
  <c r="I1236" i="1"/>
  <c r="G1236" i="1"/>
  <c r="E1255" i="1"/>
  <c r="L1236" i="1"/>
  <c r="J1236" i="1"/>
  <c r="H1236" i="1"/>
  <c r="F1236" i="1"/>
  <c r="M1241" i="1"/>
  <c r="K1241" i="1"/>
  <c r="I1241" i="1"/>
  <c r="G1241" i="1"/>
  <c r="F1241" i="1"/>
  <c r="L1241" i="1"/>
  <c r="J1241" i="1"/>
  <c r="H1241" i="1"/>
  <c r="E1262" i="1"/>
  <c r="C1262" i="1"/>
  <c r="D1272" i="1" s="1"/>
  <c r="E1261" i="1" l="1"/>
  <c r="C1261" i="1"/>
  <c r="D1271" i="1" s="1"/>
  <c r="M1251" i="1"/>
  <c r="K1251" i="1"/>
  <c r="I1251" i="1"/>
  <c r="G1251" i="1"/>
  <c r="L1251" i="1"/>
  <c r="J1251" i="1"/>
  <c r="H1251" i="1"/>
  <c r="F1251" i="1"/>
  <c r="C1256" i="1"/>
  <c r="D1266" i="1" s="1"/>
  <c r="E1256" i="1"/>
  <c r="E1263" i="1"/>
  <c r="C1263" i="1"/>
  <c r="D1273" i="1" s="1"/>
  <c r="M1246" i="1"/>
  <c r="K1246" i="1"/>
  <c r="I1246" i="1"/>
  <c r="G1246" i="1"/>
  <c r="L1246" i="1"/>
  <c r="E1265" i="1"/>
  <c r="J1246" i="1"/>
  <c r="H1246" i="1"/>
  <c r="F1246" i="1"/>
  <c r="K1253" i="1"/>
  <c r="I1253" i="1"/>
  <c r="G1253" i="1"/>
  <c r="M1253" i="1"/>
  <c r="L1253" i="1"/>
  <c r="J1253" i="1"/>
  <c r="H1253" i="1"/>
  <c r="F1253" i="1"/>
  <c r="E1267" i="1"/>
  <c r="C1267" i="1"/>
  <c r="D1277" i="1" s="1"/>
  <c r="M1257" i="1"/>
  <c r="L1257" i="1"/>
  <c r="K1257" i="1"/>
  <c r="J1257" i="1"/>
  <c r="I1257" i="1"/>
  <c r="H1257" i="1"/>
  <c r="G1257" i="1"/>
  <c r="F1257" i="1"/>
  <c r="C1269" i="1"/>
  <c r="D1279" i="1" s="1"/>
  <c r="E1269" i="1"/>
  <c r="M1259" i="1"/>
  <c r="L1259" i="1"/>
  <c r="K1259" i="1"/>
  <c r="J1259" i="1"/>
  <c r="I1259" i="1"/>
  <c r="H1259" i="1"/>
  <c r="G1259" i="1"/>
  <c r="F1259" i="1"/>
  <c r="L1262" i="1"/>
  <c r="K1262" i="1"/>
  <c r="J1262" i="1"/>
  <c r="I1262" i="1"/>
  <c r="H1262" i="1"/>
  <c r="G1262" i="1"/>
  <c r="F1262" i="1"/>
  <c r="M1262" i="1"/>
  <c r="E1258" i="1"/>
  <c r="C1258" i="1"/>
  <c r="D1268" i="1" s="1"/>
  <c r="E1270" i="1"/>
  <c r="C1270" i="1"/>
  <c r="D1280" i="1" s="1"/>
  <c r="E1272" i="1"/>
  <c r="C1272" i="1"/>
  <c r="D1282" i="1" s="1"/>
  <c r="K1248" i="1"/>
  <c r="I1248" i="1"/>
  <c r="G1248" i="1"/>
  <c r="M1248" i="1"/>
  <c r="L1248" i="1"/>
  <c r="J1248" i="1"/>
  <c r="H1248" i="1"/>
  <c r="F1248" i="1"/>
  <c r="I1260" i="1"/>
  <c r="G1260" i="1"/>
  <c r="K1260" i="1"/>
  <c r="J1260" i="1"/>
  <c r="H1260" i="1"/>
  <c r="F1260" i="1"/>
  <c r="M1260" i="1"/>
  <c r="L1260" i="1"/>
  <c r="E1273" i="1" l="1"/>
  <c r="C1273" i="1"/>
  <c r="D1283" i="1" s="1"/>
  <c r="M1258" i="1"/>
  <c r="K1258" i="1"/>
  <c r="I1258" i="1"/>
  <c r="G1258" i="1"/>
  <c r="F1258" i="1"/>
  <c r="L1258" i="1"/>
  <c r="J1258" i="1"/>
  <c r="H1258" i="1"/>
  <c r="E1277" i="1"/>
  <c r="C1277" i="1"/>
  <c r="D1287" i="1" s="1"/>
  <c r="M1263" i="1"/>
  <c r="K1263" i="1"/>
  <c r="I1263" i="1"/>
  <c r="G1263" i="1"/>
  <c r="L1263" i="1"/>
  <c r="J1263" i="1"/>
  <c r="H1263" i="1"/>
  <c r="F1263" i="1"/>
  <c r="G1267" i="1"/>
  <c r="M1267" i="1"/>
  <c r="L1267" i="1"/>
  <c r="K1267" i="1"/>
  <c r="J1267" i="1"/>
  <c r="I1267" i="1"/>
  <c r="H1267" i="1"/>
  <c r="F1267" i="1"/>
  <c r="M1256" i="1"/>
  <c r="K1256" i="1"/>
  <c r="I1256" i="1"/>
  <c r="E1275" i="1"/>
  <c r="L1256" i="1"/>
  <c r="J1256" i="1"/>
  <c r="H1256" i="1"/>
  <c r="G1256" i="1"/>
  <c r="F1256" i="1"/>
  <c r="E1266" i="1"/>
  <c r="C1266" i="1"/>
  <c r="D1276" i="1" s="1"/>
  <c r="E1282" i="1"/>
  <c r="C1282" i="1"/>
  <c r="D1292" i="1" s="1"/>
  <c r="G1272" i="1"/>
  <c r="M1272" i="1"/>
  <c r="K1272" i="1"/>
  <c r="L1272" i="1"/>
  <c r="J1272" i="1"/>
  <c r="I1272" i="1"/>
  <c r="H1272" i="1"/>
  <c r="F1272" i="1"/>
  <c r="E1280" i="1"/>
  <c r="C1280" i="1"/>
  <c r="D1290" i="1" s="1"/>
  <c r="M1269" i="1"/>
  <c r="F1269" i="1"/>
  <c r="L1269" i="1"/>
  <c r="K1269" i="1"/>
  <c r="J1269" i="1"/>
  <c r="I1269" i="1"/>
  <c r="H1269" i="1"/>
  <c r="G1269" i="1"/>
  <c r="K1270" i="1"/>
  <c r="I1270" i="1"/>
  <c r="G1270" i="1"/>
  <c r="M1270" i="1"/>
  <c r="L1270" i="1"/>
  <c r="J1270" i="1"/>
  <c r="H1270" i="1"/>
  <c r="F1270" i="1"/>
  <c r="E1279" i="1"/>
  <c r="C1279" i="1"/>
  <c r="D1289" i="1" s="1"/>
  <c r="E1271" i="1"/>
  <c r="C1271" i="1"/>
  <c r="D1281" i="1" s="1"/>
  <c r="E1268" i="1"/>
  <c r="C1268" i="1"/>
  <c r="D1278" i="1" s="1"/>
  <c r="M1261" i="1"/>
  <c r="K1261" i="1"/>
  <c r="I1261" i="1"/>
  <c r="L1261" i="1"/>
  <c r="J1261" i="1"/>
  <c r="H1261" i="1"/>
  <c r="G1261" i="1"/>
  <c r="F1261" i="1"/>
  <c r="E1276" i="1" l="1"/>
  <c r="C1276" i="1"/>
  <c r="D1286" i="1" s="1"/>
  <c r="M1266" i="1"/>
  <c r="K1266" i="1"/>
  <c r="L1266" i="1"/>
  <c r="J1266" i="1"/>
  <c r="I1266" i="1"/>
  <c r="E1285" i="1"/>
  <c r="H1266" i="1"/>
  <c r="G1266" i="1"/>
  <c r="F1266" i="1"/>
  <c r="C1278" i="1"/>
  <c r="D1288" i="1" s="1"/>
  <c r="E1278" i="1"/>
  <c r="M1268" i="1"/>
  <c r="K1268" i="1"/>
  <c r="I1268" i="1"/>
  <c r="G1268" i="1"/>
  <c r="L1268" i="1"/>
  <c r="J1268" i="1"/>
  <c r="H1268" i="1"/>
  <c r="F1268" i="1"/>
  <c r="E1287" i="1"/>
  <c r="C1287" i="1"/>
  <c r="D1297" i="1" s="1"/>
  <c r="E1281" i="1"/>
  <c r="C1281" i="1"/>
  <c r="D1291" i="1" s="1"/>
  <c r="E1290" i="1"/>
  <c r="C1290" i="1"/>
  <c r="D1300" i="1" s="1"/>
  <c r="I1277" i="1"/>
  <c r="G1277" i="1"/>
  <c r="M1277" i="1"/>
  <c r="L1277" i="1"/>
  <c r="K1277" i="1"/>
  <c r="J1277" i="1"/>
  <c r="H1277" i="1"/>
  <c r="F1277" i="1"/>
  <c r="M1271" i="1"/>
  <c r="K1271" i="1"/>
  <c r="I1271" i="1"/>
  <c r="H1271" i="1"/>
  <c r="G1271" i="1"/>
  <c r="F1271" i="1"/>
  <c r="L1271" i="1"/>
  <c r="J1271" i="1"/>
  <c r="M1280" i="1"/>
  <c r="K1280" i="1"/>
  <c r="I1280" i="1"/>
  <c r="G1280" i="1"/>
  <c r="L1280" i="1"/>
  <c r="J1280" i="1"/>
  <c r="H1280" i="1"/>
  <c r="F1280" i="1"/>
  <c r="E1289" i="1"/>
  <c r="C1289" i="1"/>
  <c r="D1299" i="1" s="1"/>
  <c r="K1279" i="1"/>
  <c r="I1279" i="1"/>
  <c r="M1279" i="1"/>
  <c r="L1279" i="1"/>
  <c r="J1279" i="1"/>
  <c r="H1279" i="1"/>
  <c r="G1279" i="1"/>
  <c r="F1279" i="1"/>
  <c r="I1282" i="1"/>
  <c r="G1282" i="1"/>
  <c r="M1282" i="1"/>
  <c r="L1282" i="1"/>
  <c r="K1282" i="1"/>
  <c r="J1282" i="1"/>
  <c r="H1282" i="1"/>
  <c r="F1282" i="1"/>
  <c r="C1283" i="1"/>
  <c r="D1293" i="1" s="1"/>
  <c r="E1283" i="1"/>
  <c r="E1292" i="1"/>
  <c r="C1292" i="1"/>
  <c r="D1302" i="1" s="1"/>
  <c r="M1273" i="1"/>
  <c r="K1273" i="1"/>
  <c r="I1273" i="1"/>
  <c r="G1273" i="1"/>
  <c r="L1273" i="1"/>
  <c r="J1273" i="1"/>
  <c r="H1273" i="1"/>
  <c r="F1273" i="1"/>
  <c r="E1302" i="1" l="1"/>
  <c r="C1302" i="1"/>
  <c r="D1312" i="1" s="1"/>
  <c r="E1299" i="1"/>
  <c r="C1299" i="1"/>
  <c r="D1309" i="1" s="1"/>
  <c r="M1278" i="1"/>
  <c r="K1278" i="1"/>
  <c r="I1278" i="1"/>
  <c r="G1278" i="1"/>
  <c r="L1278" i="1"/>
  <c r="J1278" i="1"/>
  <c r="H1278" i="1"/>
  <c r="F1278" i="1"/>
  <c r="K1292" i="1"/>
  <c r="I1292" i="1"/>
  <c r="G1292" i="1"/>
  <c r="M1292" i="1"/>
  <c r="L1292" i="1"/>
  <c r="J1292" i="1"/>
  <c r="H1292" i="1"/>
  <c r="F1292" i="1"/>
  <c r="G1289" i="1"/>
  <c r="M1289" i="1"/>
  <c r="K1289" i="1"/>
  <c r="L1289" i="1"/>
  <c r="J1289" i="1"/>
  <c r="I1289" i="1"/>
  <c r="H1289" i="1"/>
  <c r="F1289" i="1"/>
  <c r="E1288" i="1"/>
  <c r="C1288" i="1"/>
  <c r="D1298" i="1" s="1"/>
  <c r="M1283" i="1"/>
  <c r="K1283" i="1"/>
  <c r="I1283" i="1"/>
  <c r="G1283" i="1"/>
  <c r="L1283" i="1"/>
  <c r="J1283" i="1"/>
  <c r="H1283" i="1"/>
  <c r="F1283" i="1"/>
  <c r="E1293" i="1"/>
  <c r="C1293" i="1"/>
  <c r="D1303" i="1" s="1"/>
  <c r="C1300" i="1"/>
  <c r="D1310" i="1" s="1"/>
  <c r="E1300" i="1"/>
  <c r="M1290" i="1"/>
  <c r="K1290" i="1"/>
  <c r="I1290" i="1"/>
  <c r="G1290" i="1"/>
  <c r="L1290" i="1"/>
  <c r="J1290" i="1"/>
  <c r="H1290" i="1"/>
  <c r="F1290" i="1"/>
  <c r="C1291" i="1"/>
  <c r="D1301" i="1" s="1"/>
  <c r="E1291" i="1"/>
  <c r="M1281" i="1"/>
  <c r="K1281" i="1"/>
  <c r="G1281" i="1"/>
  <c r="J1281" i="1"/>
  <c r="I1281" i="1"/>
  <c r="H1281" i="1"/>
  <c r="F1281" i="1"/>
  <c r="L1281" i="1"/>
  <c r="E1297" i="1"/>
  <c r="C1297" i="1"/>
  <c r="D1307" i="1" s="1"/>
  <c r="K1287" i="1"/>
  <c r="I1287" i="1"/>
  <c r="G1287" i="1"/>
  <c r="M1287" i="1"/>
  <c r="L1287" i="1"/>
  <c r="J1287" i="1"/>
  <c r="H1287" i="1"/>
  <c r="F1287" i="1"/>
  <c r="C1286" i="1"/>
  <c r="D1296" i="1" s="1"/>
  <c r="E1286" i="1"/>
  <c r="M1276" i="1"/>
  <c r="K1276" i="1"/>
  <c r="G1276" i="1"/>
  <c r="E1295" i="1"/>
  <c r="L1276" i="1"/>
  <c r="J1276" i="1"/>
  <c r="I1276" i="1"/>
  <c r="H1276" i="1"/>
  <c r="F1276" i="1"/>
  <c r="E1303" i="1" l="1"/>
  <c r="C1303" i="1"/>
  <c r="D1313" i="1" s="1"/>
  <c r="M1286" i="1"/>
  <c r="I1286" i="1"/>
  <c r="G1286" i="1"/>
  <c r="F1286" i="1"/>
  <c r="E1305" i="1"/>
  <c r="L1286" i="1"/>
  <c r="K1286" i="1"/>
  <c r="J1286" i="1"/>
  <c r="H1286" i="1"/>
  <c r="M1291" i="1"/>
  <c r="I1291" i="1"/>
  <c r="G1291" i="1"/>
  <c r="L1291" i="1"/>
  <c r="K1291" i="1"/>
  <c r="J1291" i="1"/>
  <c r="H1291" i="1"/>
  <c r="F1291" i="1"/>
  <c r="E1296" i="1"/>
  <c r="C1296" i="1"/>
  <c r="D1306" i="1" s="1"/>
  <c r="E1301" i="1"/>
  <c r="C1301" i="1"/>
  <c r="D1311" i="1" s="1"/>
  <c r="E1298" i="1"/>
  <c r="C1298" i="1"/>
  <c r="D1308" i="1" s="1"/>
  <c r="M1288" i="1"/>
  <c r="K1288" i="1"/>
  <c r="I1288" i="1"/>
  <c r="L1288" i="1"/>
  <c r="J1288" i="1"/>
  <c r="H1288" i="1"/>
  <c r="G1288" i="1"/>
  <c r="F1288" i="1"/>
  <c r="M1293" i="1"/>
  <c r="K1293" i="1"/>
  <c r="I1293" i="1"/>
  <c r="L1293" i="1"/>
  <c r="J1293" i="1"/>
  <c r="H1293" i="1"/>
  <c r="G1293" i="1"/>
  <c r="F1293" i="1"/>
  <c r="E1309" i="1"/>
  <c r="C1309" i="1"/>
  <c r="D1319" i="1" s="1"/>
  <c r="I1299" i="1"/>
  <c r="G1299" i="1"/>
  <c r="M1299" i="1"/>
  <c r="F1299" i="1"/>
  <c r="L1299" i="1"/>
  <c r="K1299" i="1"/>
  <c r="J1299" i="1"/>
  <c r="H1299" i="1"/>
  <c r="E1307" i="1"/>
  <c r="C1307" i="1"/>
  <c r="D1317" i="1" s="1"/>
  <c r="M1300" i="1"/>
  <c r="K1300" i="1"/>
  <c r="I1300" i="1"/>
  <c r="G1300" i="1"/>
  <c r="L1300" i="1"/>
  <c r="J1300" i="1"/>
  <c r="H1300" i="1"/>
  <c r="F1300" i="1"/>
  <c r="E1312" i="1"/>
  <c r="C1312" i="1"/>
  <c r="D1322" i="1" s="1"/>
  <c r="M1297" i="1"/>
  <c r="K1297" i="1"/>
  <c r="I1297" i="1"/>
  <c r="G1297" i="1"/>
  <c r="L1297" i="1"/>
  <c r="J1297" i="1"/>
  <c r="H1297" i="1"/>
  <c r="F1297" i="1"/>
  <c r="E1310" i="1"/>
  <c r="C1310" i="1"/>
  <c r="D1320" i="1" s="1"/>
  <c r="M1302" i="1"/>
  <c r="K1302" i="1"/>
  <c r="I1302" i="1"/>
  <c r="G1302" i="1"/>
  <c r="L1302" i="1"/>
  <c r="J1302" i="1"/>
  <c r="H1302" i="1"/>
  <c r="F1302" i="1"/>
  <c r="K1296" i="1" l="1"/>
  <c r="I1296" i="1"/>
  <c r="H1296" i="1"/>
  <c r="G1296" i="1"/>
  <c r="F1296" i="1"/>
  <c r="E1315" i="1"/>
  <c r="M1296" i="1"/>
  <c r="L1296" i="1"/>
  <c r="J1296" i="1"/>
  <c r="E1320" i="1"/>
  <c r="C1320" i="1"/>
  <c r="D1330" i="1" s="1"/>
  <c r="E1317" i="1"/>
  <c r="C1317" i="1"/>
  <c r="D1327" i="1" s="1"/>
  <c r="M1310" i="1"/>
  <c r="K1310" i="1"/>
  <c r="I1310" i="1"/>
  <c r="G1310" i="1"/>
  <c r="L1310" i="1"/>
  <c r="J1310" i="1"/>
  <c r="H1310" i="1"/>
  <c r="F1310" i="1"/>
  <c r="M1307" i="1"/>
  <c r="K1307" i="1"/>
  <c r="I1307" i="1"/>
  <c r="G1307" i="1"/>
  <c r="L1307" i="1"/>
  <c r="J1307" i="1"/>
  <c r="H1307" i="1"/>
  <c r="F1307" i="1"/>
  <c r="C1308" i="1"/>
  <c r="D1318" i="1" s="1"/>
  <c r="E1308" i="1"/>
  <c r="M1298" i="1"/>
  <c r="K1298" i="1"/>
  <c r="G1298" i="1"/>
  <c r="L1298" i="1"/>
  <c r="J1298" i="1"/>
  <c r="I1298" i="1"/>
  <c r="H1298" i="1"/>
  <c r="F1298" i="1"/>
  <c r="E1322" i="1"/>
  <c r="C1322" i="1"/>
  <c r="D1332" i="1" s="1"/>
  <c r="E1319" i="1"/>
  <c r="C1319" i="1"/>
  <c r="D1329" i="1" s="1"/>
  <c r="E1311" i="1"/>
  <c r="C1311" i="1"/>
  <c r="D1321" i="1" s="1"/>
  <c r="M1312" i="1"/>
  <c r="K1312" i="1"/>
  <c r="I1312" i="1"/>
  <c r="G1312" i="1"/>
  <c r="L1312" i="1"/>
  <c r="J1312" i="1"/>
  <c r="H1312" i="1"/>
  <c r="F1312" i="1"/>
  <c r="K1309" i="1"/>
  <c r="I1309" i="1"/>
  <c r="G1309" i="1"/>
  <c r="M1309" i="1"/>
  <c r="L1309" i="1"/>
  <c r="J1309" i="1"/>
  <c r="H1309" i="1"/>
  <c r="F1309" i="1"/>
  <c r="K1301" i="1"/>
  <c r="I1301" i="1"/>
  <c r="M1301" i="1"/>
  <c r="L1301" i="1"/>
  <c r="J1301" i="1"/>
  <c r="H1301" i="1"/>
  <c r="G1301" i="1"/>
  <c r="F1301" i="1"/>
  <c r="C1313" i="1"/>
  <c r="D1323" i="1" s="1"/>
  <c r="E1313" i="1"/>
  <c r="E1306" i="1"/>
  <c r="C1306" i="1"/>
  <c r="D1316" i="1" s="1"/>
  <c r="M1303" i="1"/>
  <c r="K1303" i="1"/>
  <c r="I1303" i="1"/>
  <c r="G1303" i="1"/>
  <c r="L1303" i="1"/>
  <c r="J1303" i="1"/>
  <c r="H1303" i="1"/>
  <c r="F1303" i="1"/>
  <c r="E1316" i="1" l="1"/>
  <c r="C1316" i="1"/>
  <c r="D1326" i="1" s="1"/>
  <c r="E1327" i="1"/>
  <c r="C1327" i="1"/>
  <c r="D1337" i="1" s="1"/>
  <c r="G1306" i="1"/>
  <c r="M1306" i="1"/>
  <c r="K1306" i="1"/>
  <c r="L1306" i="1"/>
  <c r="J1306" i="1"/>
  <c r="E1325" i="1"/>
  <c r="I1306" i="1"/>
  <c r="H1306" i="1"/>
  <c r="F1306" i="1"/>
  <c r="M1317" i="1"/>
  <c r="K1317" i="1"/>
  <c r="I1317" i="1"/>
  <c r="G1317" i="1"/>
  <c r="L1317" i="1"/>
  <c r="J1317" i="1"/>
  <c r="H1317" i="1"/>
  <c r="F1317" i="1"/>
  <c r="M1313" i="1"/>
  <c r="K1313" i="1"/>
  <c r="I1313" i="1"/>
  <c r="G1313" i="1"/>
  <c r="L1313" i="1"/>
  <c r="J1313" i="1"/>
  <c r="H1313" i="1"/>
  <c r="F1313" i="1"/>
  <c r="M1308" i="1"/>
  <c r="K1308" i="1"/>
  <c r="I1308" i="1"/>
  <c r="G1308" i="1"/>
  <c r="L1308" i="1"/>
  <c r="J1308" i="1"/>
  <c r="H1308" i="1"/>
  <c r="F1308" i="1"/>
  <c r="C1330" i="1"/>
  <c r="D1340" i="1" s="1"/>
  <c r="E1330" i="1"/>
  <c r="M1322" i="1"/>
  <c r="K1322" i="1"/>
  <c r="I1322" i="1"/>
  <c r="G1322" i="1"/>
  <c r="L1322" i="1"/>
  <c r="J1322" i="1"/>
  <c r="H1322" i="1"/>
  <c r="F1322" i="1"/>
  <c r="E1323" i="1"/>
  <c r="C1323" i="1"/>
  <c r="D1333" i="1" s="1"/>
  <c r="E1318" i="1"/>
  <c r="C1318" i="1"/>
  <c r="D1328" i="1" s="1"/>
  <c r="M1320" i="1"/>
  <c r="K1320" i="1"/>
  <c r="I1320" i="1"/>
  <c r="G1320" i="1"/>
  <c r="L1320" i="1"/>
  <c r="J1320" i="1"/>
  <c r="H1320" i="1"/>
  <c r="F1320" i="1"/>
  <c r="E1321" i="1"/>
  <c r="C1321" i="1"/>
  <c r="D1331" i="1" s="1"/>
  <c r="G1311" i="1"/>
  <c r="M1311" i="1"/>
  <c r="K1311" i="1"/>
  <c r="L1311" i="1"/>
  <c r="J1311" i="1"/>
  <c r="I1311" i="1"/>
  <c r="H1311" i="1"/>
  <c r="F1311" i="1"/>
  <c r="E1329" i="1"/>
  <c r="C1329" i="1"/>
  <c r="D1339" i="1" s="1"/>
  <c r="M1319" i="1"/>
  <c r="K1319" i="1"/>
  <c r="I1319" i="1"/>
  <c r="G1319" i="1"/>
  <c r="L1319" i="1"/>
  <c r="J1319" i="1"/>
  <c r="H1319" i="1"/>
  <c r="F1319" i="1"/>
  <c r="E1332" i="1"/>
  <c r="C1332" i="1"/>
  <c r="D1342" i="1" s="1"/>
  <c r="M1330" i="1" l="1"/>
  <c r="K1330" i="1"/>
  <c r="I1330" i="1"/>
  <c r="G1330" i="1"/>
  <c r="L1330" i="1"/>
  <c r="J1330" i="1"/>
  <c r="H1330" i="1"/>
  <c r="F1330" i="1"/>
  <c r="E1340" i="1"/>
  <c r="C1340" i="1"/>
  <c r="D1350" i="1" s="1"/>
  <c r="I1321" i="1"/>
  <c r="G1321" i="1"/>
  <c r="M1321" i="1"/>
  <c r="K1321" i="1"/>
  <c r="L1321" i="1"/>
  <c r="J1321" i="1"/>
  <c r="H1321" i="1"/>
  <c r="F1321" i="1"/>
  <c r="E1339" i="1"/>
  <c r="C1339" i="1"/>
  <c r="D1349" i="1" s="1"/>
  <c r="E1328" i="1"/>
  <c r="C1328" i="1"/>
  <c r="D1338" i="1" s="1"/>
  <c r="M1329" i="1"/>
  <c r="K1329" i="1"/>
  <c r="I1329" i="1"/>
  <c r="G1329" i="1"/>
  <c r="J1329" i="1"/>
  <c r="H1329" i="1"/>
  <c r="F1329" i="1"/>
  <c r="L1329" i="1"/>
  <c r="M1318" i="1"/>
  <c r="K1318" i="1"/>
  <c r="I1318" i="1"/>
  <c r="G1318" i="1"/>
  <c r="L1318" i="1"/>
  <c r="J1318" i="1"/>
  <c r="H1318" i="1"/>
  <c r="F1318" i="1"/>
  <c r="E1333" i="1"/>
  <c r="C1333" i="1"/>
  <c r="D1343" i="1" s="1"/>
  <c r="M1332" i="1"/>
  <c r="K1332" i="1"/>
  <c r="I1332" i="1"/>
  <c r="G1332" i="1"/>
  <c r="L1332" i="1"/>
  <c r="J1332" i="1"/>
  <c r="H1332" i="1"/>
  <c r="F1332" i="1"/>
  <c r="M1323" i="1"/>
  <c r="K1323" i="1"/>
  <c r="I1323" i="1"/>
  <c r="G1323" i="1"/>
  <c r="L1323" i="1"/>
  <c r="J1323" i="1"/>
  <c r="H1323" i="1"/>
  <c r="F1323" i="1"/>
  <c r="E1337" i="1"/>
  <c r="C1337" i="1"/>
  <c r="D1347" i="1" s="1"/>
  <c r="M1327" i="1"/>
  <c r="K1327" i="1"/>
  <c r="I1327" i="1"/>
  <c r="G1327" i="1"/>
  <c r="L1327" i="1"/>
  <c r="J1327" i="1"/>
  <c r="H1327" i="1"/>
  <c r="F1327" i="1"/>
  <c r="E1326" i="1"/>
  <c r="C1326" i="1"/>
  <c r="D1336" i="1" s="1"/>
  <c r="E1342" i="1"/>
  <c r="C1342" i="1"/>
  <c r="D1352" i="1" s="1"/>
  <c r="E1331" i="1"/>
  <c r="C1331" i="1"/>
  <c r="D1341" i="1" s="1"/>
  <c r="I1316" i="1"/>
  <c r="G1316" i="1"/>
  <c r="M1316" i="1"/>
  <c r="L1316" i="1"/>
  <c r="K1316" i="1"/>
  <c r="J1316" i="1"/>
  <c r="H1316" i="1"/>
  <c r="F1316" i="1"/>
  <c r="E1335" i="1"/>
  <c r="E1343" i="1" l="1"/>
  <c r="C1343" i="1"/>
  <c r="D1353" i="1" s="1"/>
  <c r="G1333" i="1"/>
  <c r="M1333" i="1"/>
  <c r="L1333" i="1"/>
  <c r="K1333" i="1"/>
  <c r="I1333" i="1"/>
  <c r="J1333" i="1"/>
  <c r="H1333" i="1"/>
  <c r="F1333" i="1"/>
  <c r="M1339" i="1"/>
  <c r="K1339" i="1"/>
  <c r="I1339" i="1"/>
  <c r="G1339" i="1"/>
  <c r="L1339" i="1"/>
  <c r="J1339" i="1"/>
  <c r="H1339" i="1"/>
  <c r="F1339" i="1"/>
  <c r="C1347" i="1"/>
  <c r="D1357" i="1" s="1"/>
  <c r="E1347" i="1"/>
  <c r="E1349" i="1"/>
  <c r="C1349" i="1"/>
  <c r="D1359" i="1" s="1"/>
  <c r="M1337" i="1"/>
  <c r="K1337" i="1"/>
  <c r="I1337" i="1"/>
  <c r="G1337" i="1"/>
  <c r="F1337" i="1"/>
  <c r="L1337" i="1"/>
  <c r="J1337" i="1"/>
  <c r="H1337" i="1"/>
  <c r="E1341" i="1"/>
  <c r="C1341" i="1"/>
  <c r="D1351" i="1" s="1"/>
  <c r="K1331" i="1"/>
  <c r="I1331" i="1"/>
  <c r="G1331" i="1"/>
  <c r="M1331" i="1"/>
  <c r="L1331" i="1"/>
  <c r="J1331" i="1"/>
  <c r="H1331" i="1"/>
  <c r="F1331" i="1"/>
  <c r="C1352" i="1"/>
  <c r="D1362" i="1" s="1"/>
  <c r="E1352" i="1"/>
  <c r="E1350" i="1"/>
  <c r="C1350" i="1"/>
  <c r="D1360" i="1" s="1"/>
  <c r="M1342" i="1"/>
  <c r="K1342" i="1"/>
  <c r="I1342" i="1"/>
  <c r="G1342" i="1"/>
  <c r="F1342" i="1"/>
  <c r="J1342" i="1"/>
  <c r="H1342" i="1"/>
  <c r="L1342" i="1"/>
  <c r="F1340" i="1"/>
  <c r="M1340" i="1"/>
  <c r="K1340" i="1"/>
  <c r="J1340" i="1"/>
  <c r="I1340" i="1"/>
  <c r="G1340" i="1"/>
  <c r="L1340" i="1"/>
  <c r="H1340" i="1"/>
  <c r="E1336" i="1"/>
  <c r="C1336" i="1"/>
  <c r="D1346" i="1" s="1"/>
  <c r="K1326" i="1"/>
  <c r="I1326" i="1"/>
  <c r="G1326" i="1"/>
  <c r="M1326" i="1"/>
  <c r="F1326" i="1"/>
  <c r="E1345" i="1"/>
  <c r="L1326" i="1"/>
  <c r="J1326" i="1"/>
  <c r="H1326" i="1"/>
  <c r="E1338" i="1"/>
  <c r="C1338" i="1"/>
  <c r="D1348" i="1" s="1"/>
  <c r="G1328" i="1"/>
  <c r="M1328" i="1"/>
  <c r="K1328" i="1"/>
  <c r="I1328" i="1"/>
  <c r="L1328" i="1"/>
  <c r="J1328" i="1"/>
  <c r="H1328" i="1"/>
  <c r="F1328" i="1"/>
  <c r="E1357" i="1" l="1"/>
  <c r="C1357" i="1"/>
  <c r="M1347" i="1"/>
  <c r="K1347" i="1"/>
  <c r="I1347" i="1"/>
  <c r="H1347" i="1"/>
  <c r="G1347" i="1"/>
  <c r="L1347" i="1"/>
  <c r="J1347" i="1"/>
  <c r="F1347" i="1"/>
  <c r="E1348" i="1"/>
  <c r="C1348" i="1"/>
  <c r="D1358" i="1" s="1"/>
  <c r="J1338" i="1"/>
  <c r="I1338" i="1"/>
  <c r="G1338" i="1"/>
  <c r="M1338" i="1"/>
  <c r="K1338" i="1"/>
  <c r="L1338" i="1"/>
  <c r="H1338" i="1"/>
  <c r="F1338" i="1"/>
  <c r="E1351" i="1"/>
  <c r="C1351" i="1"/>
  <c r="D1361" i="1" s="1"/>
  <c r="M1341" i="1"/>
  <c r="K1341" i="1"/>
  <c r="I1341" i="1"/>
  <c r="G1341" i="1"/>
  <c r="L1341" i="1"/>
  <c r="J1341" i="1"/>
  <c r="H1341" i="1"/>
  <c r="F1341" i="1"/>
  <c r="E1360" i="1"/>
  <c r="C1360" i="1"/>
  <c r="H1350" i="1"/>
  <c r="G1350" i="1"/>
  <c r="M1350" i="1"/>
  <c r="L1350" i="1"/>
  <c r="K1350" i="1"/>
  <c r="I1350" i="1"/>
  <c r="J1350" i="1"/>
  <c r="F1350" i="1"/>
  <c r="E1346" i="1"/>
  <c r="C1346" i="1"/>
  <c r="D1356" i="1" s="1"/>
  <c r="M1352" i="1"/>
  <c r="K1352" i="1"/>
  <c r="J1352" i="1"/>
  <c r="I1352" i="1"/>
  <c r="H1352" i="1"/>
  <c r="G1352" i="1"/>
  <c r="L1352" i="1"/>
  <c r="F1352" i="1"/>
  <c r="E1359" i="1"/>
  <c r="C1359" i="1"/>
  <c r="E1353" i="1"/>
  <c r="C1353" i="1"/>
  <c r="D1363" i="1" s="1"/>
  <c r="M1336" i="1"/>
  <c r="K1336" i="1"/>
  <c r="I1336" i="1"/>
  <c r="G1336" i="1"/>
  <c r="E1355" i="1"/>
  <c r="L1336" i="1"/>
  <c r="J1336" i="1"/>
  <c r="H1336" i="1"/>
  <c r="F1336" i="1"/>
  <c r="E1362" i="1"/>
  <c r="C1362" i="1"/>
  <c r="M1349" i="1"/>
  <c r="K1349" i="1"/>
  <c r="J1349" i="1"/>
  <c r="I1349" i="1"/>
  <c r="G1349" i="1"/>
  <c r="L1349" i="1"/>
  <c r="H1349" i="1"/>
  <c r="F1349" i="1"/>
  <c r="J1343" i="1"/>
  <c r="I1343" i="1"/>
  <c r="G1343" i="1"/>
  <c r="M1343" i="1"/>
  <c r="K1343" i="1"/>
  <c r="L1343" i="1"/>
  <c r="H1343" i="1"/>
  <c r="F1343" i="1"/>
  <c r="E1363" i="1" l="1"/>
  <c r="C1363" i="1"/>
  <c r="L1353" i="1"/>
  <c r="K1353" i="1"/>
  <c r="J1353" i="1"/>
  <c r="I1353" i="1"/>
  <c r="G1353" i="1"/>
  <c r="F1353" i="1"/>
  <c r="M1353" i="1"/>
  <c r="H1353" i="1"/>
  <c r="E1358" i="1"/>
  <c r="C1358" i="1"/>
  <c r="M1359" i="1"/>
  <c r="L1359" i="1"/>
  <c r="K1359" i="1"/>
  <c r="I1359" i="1"/>
  <c r="H1359" i="1"/>
  <c r="G1359" i="1"/>
  <c r="F1359" i="1"/>
  <c r="J1359" i="1"/>
  <c r="J1360" i="1"/>
  <c r="I1360" i="1"/>
  <c r="H1360" i="1"/>
  <c r="G1360" i="1"/>
  <c r="M1360" i="1"/>
  <c r="K1360" i="1"/>
  <c r="L1360" i="1"/>
  <c r="F1360" i="1"/>
  <c r="L1348" i="1"/>
  <c r="K1348" i="1"/>
  <c r="I1348" i="1"/>
  <c r="G1348" i="1"/>
  <c r="M1348" i="1"/>
  <c r="F1348" i="1"/>
  <c r="J1348" i="1"/>
  <c r="H1348" i="1"/>
  <c r="F1362" i="1"/>
  <c r="M1362" i="1"/>
  <c r="L1362" i="1"/>
  <c r="K1362" i="1"/>
  <c r="J1362" i="1"/>
  <c r="I1362" i="1"/>
  <c r="G1362" i="1"/>
  <c r="H1362" i="1"/>
  <c r="E1356" i="1"/>
  <c r="C1356" i="1"/>
  <c r="E1361" i="1"/>
  <c r="C1361" i="1"/>
  <c r="M1346" i="1"/>
  <c r="K1346" i="1"/>
  <c r="I1346" i="1"/>
  <c r="G1346" i="1"/>
  <c r="L1346" i="1"/>
  <c r="J1346" i="1"/>
  <c r="H1346" i="1"/>
  <c r="F1346" i="1"/>
  <c r="M1351" i="1"/>
  <c r="K1351" i="1"/>
  <c r="J1351" i="1"/>
  <c r="I1351" i="1"/>
  <c r="G1351" i="1"/>
  <c r="F1351" i="1"/>
  <c r="L1351" i="1"/>
  <c r="H1351" i="1"/>
  <c r="F1357" i="1"/>
  <c r="M1357" i="1"/>
  <c r="L1357" i="1"/>
  <c r="K1357" i="1"/>
  <c r="J1357" i="1"/>
  <c r="I1357" i="1"/>
  <c r="G1357" i="1"/>
  <c r="H1357" i="1"/>
  <c r="M1358" i="1" l="1"/>
  <c r="L1358" i="1"/>
  <c r="K1358" i="1"/>
  <c r="I1358" i="1"/>
  <c r="H1358" i="1"/>
  <c r="G1358" i="1"/>
  <c r="J1358" i="1"/>
  <c r="F1358" i="1"/>
  <c r="M1361" i="1"/>
  <c r="L1361" i="1"/>
  <c r="K1361" i="1"/>
  <c r="J1361" i="1"/>
  <c r="I1361" i="1"/>
  <c r="H1361" i="1"/>
  <c r="G1361" i="1"/>
  <c r="F1361" i="1"/>
  <c r="M1356" i="1"/>
  <c r="L1356" i="1"/>
  <c r="K1356" i="1"/>
  <c r="I1356" i="1"/>
  <c r="H1356" i="1"/>
  <c r="G1356" i="1"/>
  <c r="J1356" i="1"/>
  <c r="F1356" i="1"/>
  <c r="M1363" i="1"/>
  <c r="L1363" i="1"/>
  <c r="K1363" i="1"/>
  <c r="J1363" i="1"/>
  <c r="I1363" i="1"/>
  <c r="H1363" i="1"/>
  <c r="G1363" i="1"/>
  <c r="F1363" i="1"/>
</calcChain>
</file>

<file path=xl/sharedStrings.xml><?xml version="1.0" encoding="utf-8"?>
<sst xmlns="http://schemas.openxmlformats.org/spreadsheetml/2006/main" count="303" uniqueCount="18">
  <si>
    <t>Input Here</t>
  </si>
  <si>
    <t>Factors</t>
  </si>
  <si>
    <t/>
  </si>
  <si>
    <t>P</t>
  </si>
  <si>
    <t>=$C$6-7)/30</t>
  </si>
  <si>
    <t>Make gnu data</t>
  </si>
  <si>
    <t>#x</t>
  </si>
  <si>
    <t>#y</t>
  </si>
  <si>
    <t>#z</t>
  </si>
  <si>
    <t>#c</t>
  </si>
  <si>
    <t xml:space="preserve"> </t>
  </si>
  <si>
    <t>#P</t>
  </si>
  <si>
    <t>#comment Prime</t>
  </si>
  <si>
    <t xml:space="preserve">color pair 1(1,29)  2(7,23)  3(11,19)  4(13,17) </t>
  </si>
  <si>
    <t>kedit:</t>
  </si>
  <si>
    <t>zone 9 10 ; c/? /0?/ * 1 ; zone 17 18; c/? /0?/ * 1 ; sort * a 33 34 a 9 10</t>
  </si>
  <si>
    <t>Enter Here to make plan on X axis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</si>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</sst>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0"/>
      <name val="Arial Black"/>
      <family val="2"/>
    </font>
    <font>
      <b/>
      <sz val="12"/>
      <color theme="1"/>
      <name val="Courier New"/>
      <family val="3"/>
    </font>
    <font>
      <b/>
      <sz val="12"/>
      <color theme="0"/>
      <name val="Courier New"/>
      <family val="3"/>
    </font>
    <font>
      <sz val="10"/>
      <color theme="1"/>
      <name val="Courier New"/>
      <family val="2"/>
    </font>
    <font>
      <sz val="12"/>
      <color rgb="FFFF000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80">
    <xf numFmtId="0" fontId="0" fillId="0" borderId="0" xfId="0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 indent="1"/>
    </xf>
    <xf numFmtId="0" fontId="6" fillId="0" borderId="1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 applyAlignment="1" applyProtection="1">
      <alignment horizontal="right" indent="1"/>
      <protection locked="0"/>
    </xf>
    <xf numFmtId="0" fontId="6" fillId="0" borderId="6" xfId="0" applyFont="1" applyBorder="1"/>
    <xf numFmtId="0" fontId="0" fillId="0" borderId="7" xfId="0" applyBorder="1"/>
    <xf numFmtId="0" fontId="0" fillId="0" borderId="8" xfId="0" applyBorder="1"/>
    <xf numFmtId="0" fontId="6" fillId="0" borderId="9" xfId="0" applyFont="1" applyBorder="1"/>
    <xf numFmtId="0" fontId="6" fillId="0" borderId="5" xfId="0" applyFont="1" applyBorder="1" applyAlignment="1">
      <alignment horizontal="right" inden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7" fillId="0" borderId="0" xfId="0" applyFont="1"/>
    <xf numFmtId="0" fontId="6" fillId="0" borderId="0" xfId="0" quotePrefix="1" applyFont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8" fillId="0" borderId="0" xfId="1"/>
    <xf numFmtId="0" fontId="4" fillId="0" borderId="0" xfId="1" applyFont="1" applyAlignment="1">
      <alignment horizontal="left" vertical="top"/>
    </xf>
    <xf numFmtId="0" fontId="4" fillId="4" borderId="0" xfId="1" applyFont="1" applyFill="1" applyAlignment="1">
      <alignment horizontal="left" vertical="top"/>
    </xf>
    <xf numFmtId="0" fontId="4" fillId="0" borderId="0" xfId="1" applyFont="1" applyBorder="1" applyAlignment="1">
      <alignment horizontal="left" vertical="top"/>
    </xf>
    <xf numFmtId="0" fontId="4" fillId="0" borderId="0" xfId="1" quotePrefix="1" applyFont="1" applyAlignment="1">
      <alignment horizontal="left" vertical="top"/>
    </xf>
    <xf numFmtId="2" fontId="4" fillId="0" borderId="13" xfId="1" applyNumberFormat="1" applyFont="1" applyBorder="1" applyAlignment="1">
      <alignment horizontal="left" vertical="top"/>
    </xf>
    <xf numFmtId="2" fontId="4" fillId="4" borderId="14" xfId="1" applyNumberFormat="1" applyFont="1" applyFill="1" applyBorder="1" applyAlignment="1">
      <alignment horizontal="left" vertical="top"/>
    </xf>
    <xf numFmtId="2" fontId="4" fillId="0" borderId="14" xfId="1" applyNumberFormat="1" applyFont="1" applyBorder="1" applyAlignment="1">
      <alignment horizontal="left" vertical="top"/>
    </xf>
    <xf numFmtId="2" fontId="4" fillId="4" borderId="15" xfId="1" applyNumberFormat="1" applyFont="1" applyFill="1" applyBorder="1" applyAlignment="1">
      <alignment horizontal="left" vertical="top"/>
    </xf>
    <xf numFmtId="2" fontId="4" fillId="0" borderId="16" xfId="1" applyNumberFormat="1" applyFont="1" applyBorder="1" applyAlignment="1">
      <alignment horizontal="left" vertical="top"/>
    </xf>
    <xf numFmtId="2" fontId="4" fillId="4" borderId="0" xfId="1" applyNumberFormat="1" applyFont="1" applyFill="1" applyBorder="1" applyAlignment="1">
      <alignment horizontal="left" vertical="top"/>
    </xf>
    <xf numFmtId="2" fontId="4" fillId="4" borderId="17" xfId="1" applyNumberFormat="1" applyFont="1" applyFill="1" applyBorder="1" applyAlignment="1">
      <alignment horizontal="left" vertical="top"/>
    </xf>
    <xf numFmtId="2" fontId="4" fillId="0" borderId="18" xfId="1" applyNumberFormat="1" applyFont="1" applyBorder="1" applyAlignment="1">
      <alignment horizontal="left" vertical="top"/>
    </xf>
    <xf numFmtId="2" fontId="4" fillId="4" borderId="19" xfId="1" applyNumberFormat="1" applyFont="1" applyFill="1" applyBorder="1" applyAlignment="1">
      <alignment horizontal="left" vertical="top"/>
    </xf>
    <xf numFmtId="2" fontId="4" fillId="4" borderId="20" xfId="1" applyNumberFormat="1" applyFont="1" applyFill="1" applyBorder="1" applyAlignment="1">
      <alignment horizontal="left" vertical="top"/>
    </xf>
    <xf numFmtId="0" fontId="4" fillId="2" borderId="0" xfId="1" applyFont="1" applyFill="1" applyAlignment="1">
      <alignment horizontal="left" vertical="top"/>
    </xf>
    <xf numFmtId="0" fontId="4" fillId="0" borderId="2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9" xfId="1" applyFont="1" applyBorder="1" applyAlignment="1">
      <alignment horizontal="left" vertical="top"/>
    </xf>
    <xf numFmtId="0" fontId="4" fillId="0" borderId="21" xfId="1" applyFont="1" applyBorder="1" applyAlignment="1">
      <alignment horizontal="left" vertical="top"/>
    </xf>
    <xf numFmtId="0" fontId="4" fillId="0" borderId="6" xfId="1" applyFont="1" applyBorder="1" applyAlignment="1">
      <alignment horizontal="left" vertical="top"/>
    </xf>
    <xf numFmtId="0" fontId="4" fillId="0" borderId="8" xfId="1" applyFont="1" applyBorder="1" applyAlignment="1">
      <alignment horizontal="left" vertical="top"/>
    </xf>
    <xf numFmtId="0" fontId="4" fillId="0" borderId="0" xfId="1" applyFont="1"/>
    <xf numFmtId="2" fontId="5" fillId="0" borderId="0" xfId="1" applyNumberFormat="1" applyFont="1" applyFill="1" applyBorder="1" applyAlignment="1">
      <alignment horizontal="left" vertical="top"/>
    </xf>
    <xf numFmtId="2" fontId="5" fillId="0" borderId="14" xfId="1" applyNumberFormat="1" applyFont="1" applyFill="1" applyBorder="1" applyAlignment="1">
      <alignment horizontal="left" vertical="top"/>
    </xf>
    <xf numFmtId="2" fontId="5" fillId="0" borderId="19" xfId="1" applyNumberFormat="1" applyFont="1" applyFill="1" applyBorder="1" applyAlignment="1">
      <alignment horizontal="left" vertical="top"/>
    </xf>
    <xf numFmtId="2" fontId="4" fillId="0" borderId="14" xfId="1" applyNumberFormat="1" applyFont="1" applyFill="1" applyBorder="1" applyAlignment="1">
      <alignment horizontal="left" vertical="top"/>
    </xf>
    <xf numFmtId="2" fontId="4" fillId="0" borderId="13" xfId="1" applyNumberFormat="1" applyFont="1" applyBorder="1" applyAlignment="1">
      <alignment horizontal="left" vertical="top"/>
    </xf>
    <xf numFmtId="2" fontId="4" fillId="4" borderId="14" xfId="1" applyNumberFormat="1" applyFont="1" applyFill="1" applyBorder="1" applyAlignment="1">
      <alignment horizontal="left" vertical="top"/>
    </xf>
    <xf numFmtId="2" fontId="4" fillId="0" borderId="14" xfId="1" applyNumberFormat="1" applyFont="1" applyBorder="1" applyAlignment="1">
      <alignment horizontal="left" vertical="top"/>
    </xf>
    <xf numFmtId="2" fontId="4" fillId="4" borderId="15" xfId="1" applyNumberFormat="1" applyFont="1" applyFill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9" xfId="1" applyFont="1" applyBorder="1" applyAlignment="1">
      <alignment horizontal="left" vertical="top"/>
    </xf>
    <xf numFmtId="0" fontId="4" fillId="0" borderId="21" xfId="1" applyFont="1" applyBorder="1" applyAlignment="1">
      <alignment horizontal="left" vertical="top"/>
    </xf>
    <xf numFmtId="0" fontId="4" fillId="0" borderId="6" xfId="1" applyFont="1" applyBorder="1" applyAlignment="1">
      <alignment horizontal="left" vertical="top"/>
    </xf>
    <xf numFmtId="0" fontId="4" fillId="0" borderId="8" xfId="1" applyFont="1" applyBorder="1" applyAlignment="1">
      <alignment horizontal="left" vertical="top"/>
    </xf>
    <xf numFmtId="1" fontId="4" fillId="0" borderId="16" xfId="1" applyNumberFormat="1" applyFont="1" applyBorder="1" applyAlignment="1">
      <alignment horizontal="left" vertical="top"/>
    </xf>
    <xf numFmtId="1" fontId="4" fillId="4" borderId="0" xfId="1" applyNumberFormat="1" applyFont="1" applyFill="1" applyBorder="1" applyAlignment="1">
      <alignment horizontal="left" vertical="top"/>
    </xf>
    <xf numFmtId="1" fontId="4" fillId="0" borderId="0" xfId="1" applyNumberFormat="1" applyFont="1" applyFill="1" applyBorder="1" applyAlignment="1">
      <alignment horizontal="left" vertical="top"/>
    </xf>
    <xf numFmtId="1" fontId="4" fillId="4" borderId="17" xfId="1" applyNumberFormat="1" applyFont="1" applyFill="1" applyBorder="1" applyAlignment="1">
      <alignment horizontal="left" vertical="top"/>
    </xf>
    <xf numFmtId="1" fontId="4" fillId="0" borderId="18" xfId="1" applyNumberFormat="1" applyFont="1" applyBorder="1" applyAlignment="1">
      <alignment horizontal="left" vertical="top"/>
    </xf>
    <xf numFmtId="1" fontId="4" fillId="4" borderId="19" xfId="1" applyNumberFormat="1" applyFont="1" applyFill="1" applyBorder="1" applyAlignment="1">
      <alignment horizontal="left" vertical="top"/>
    </xf>
    <xf numFmtId="1" fontId="4" fillId="0" borderId="19" xfId="1" applyNumberFormat="1" applyFont="1" applyFill="1" applyBorder="1" applyAlignment="1">
      <alignment horizontal="left" vertical="top"/>
    </xf>
    <xf numFmtId="1" fontId="4" fillId="4" borderId="20" xfId="1" applyNumberFormat="1" applyFont="1" applyFill="1" applyBorder="1" applyAlignment="1">
      <alignment horizontal="left" vertical="top"/>
    </xf>
    <xf numFmtId="0" fontId="4" fillId="3" borderId="5" xfId="1" applyFont="1" applyFill="1" applyBorder="1" applyAlignment="1">
      <alignment horizontal="left" vertical="top"/>
    </xf>
    <xf numFmtId="0" fontId="4" fillId="0" borderId="3" xfId="1" applyFont="1" applyBorder="1" applyAlignment="1">
      <alignment horizontal="left" vertical="top"/>
    </xf>
    <xf numFmtId="0" fontId="4" fillId="2" borderId="0" xfId="1" applyFont="1" applyFill="1" applyBorder="1" applyAlignment="1">
      <alignment horizontal="left" vertical="top"/>
    </xf>
    <xf numFmtId="1" fontId="4" fillId="0" borderId="0" xfId="1" applyNumberFormat="1" applyFont="1" applyBorder="1" applyAlignment="1">
      <alignment horizontal="left" vertical="top"/>
    </xf>
    <xf numFmtId="0" fontId="4" fillId="0" borderId="7" xfId="1" applyFont="1" applyBorder="1" applyAlignment="1">
      <alignment horizontal="left" vertical="top"/>
    </xf>
    <xf numFmtId="0" fontId="3" fillId="0" borderId="9" xfId="1" applyFont="1" applyBorder="1" applyAlignment="1">
      <alignment horizontal="left" vertical="top"/>
    </xf>
    <xf numFmtId="0" fontId="3" fillId="0" borderId="2" xfId="1" applyFont="1" applyBorder="1" applyAlignment="1">
      <alignment horizontal="left" vertical="top"/>
    </xf>
    <xf numFmtId="0" fontId="3" fillId="0" borderId="0" xfId="1" applyFont="1" applyAlignment="1">
      <alignment horizontal="left" vertical="top"/>
    </xf>
    <xf numFmtId="0" fontId="9" fillId="2" borderId="0" xfId="1" applyFont="1" applyFill="1" applyAlignment="1">
      <alignment horizontal="left" vertical="top"/>
    </xf>
    <xf numFmtId="1" fontId="4" fillId="0" borderId="3" xfId="1" applyNumberFormat="1" applyFont="1" applyBorder="1" applyAlignment="1">
      <alignment horizontal="left" vertical="top"/>
    </xf>
    <xf numFmtId="1" fontId="4" fillId="0" borderId="7" xfId="1" applyNumberFormat="1" applyFont="1" applyBorder="1" applyAlignment="1">
      <alignment horizontal="left" vertical="top"/>
    </xf>
    <xf numFmtId="1" fontId="4" fillId="0" borderId="0" xfId="1" applyNumberFormat="1" applyFont="1" applyAlignment="1">
      <alignment horizontal="left" vertical="top"/>
    </xf>
    <xf numFmtId="0" fontId="2" fillId="0" borderId="9" xfId="1" applyFont="1" applyBorder="1" applyAlignment="1">
      <alignment horizontal="left" vertical="top"/>
    </xf>
    <xf numFmtId="0" fontId="1" fillId="0" borderId="9" xfId="1" applyFont="1" applyBorder="1" applyAlignment="1">
      <alignment horizontal="left" vertical="top"/>
    </xf>
  </cellXfs>
  <cellStyles count="2">
    <cellStyle name="Normal" xfId="0" builtinId="0"/>
    <cellStyle name="Normal 2" xfId="1" xr:uid="{B7686B44-2253-4882-9E96-D32CC902F5D0}"/>
  </cellStyles>
  <dxfs count="433"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F5746-C005-4CA0-B2E9-2F3E10529440}">
  <sheetPr codeName="Sheet10">
    <tabColor theme="9"/>
  </sheetPr>
  <dimension ref="A1:M1363"/>
  <sheetViews>
    <sheetView showGridLines="0" zoomScale="80" zoomScaleNormal="80" workbookViewId="0">
      <selection activeCell="G8" sqref="G8"/>
    </sheetView>
  </sheetViews>
  <sheetFormatPr defaultColWidth="8.88671875" defaultRowHeight="16.2" x14ac:dyDescent="0.35"/>
  <cols>
    <col min="1" max="1" width="4.88671875" style="1" customWidth="1"/>
    <col min="2" max="2" width="3.6640625" style="2" customWidth="1"/>
    <col min="3" max="4" width="6.21875" style="2" customWidth="1"/>
    <col min="5" max="5" width="14.33203125" style="3" customWidth="1"/>
    <col min="6" max="13" width="7.6640625" style="2" customWidth="1"/>
    <col min="14" max="14" width="3.33203125" style="2" customWidth="1"/>
    <col min="15" max="16384" width="8.88671875" style="2"/>
  </cols>
  <sheetData>
    <row r="1" spans="1:13" ht="16.8" thickBot="1" x14ac:dyDescent="0.4"/>
    <row r="2" spans="1:13" ht="16.8" thickBot="1" x14ac:dyDescent="0.4">
      <c r="E2" s="4" t="s">
        <v>0</v>
      </c>
      <c r="F2" s="5" t="s">
        <v>1</v>
      </c>
      <c r="G2" s="6"/>
      <c r="H2" s="6"/>
      <c r="I2" s="7"/>
    </row>
    <row r="3" spans="1:13" ht="16.8" thickBot="1" x14ac:dyDescent="0.4">
      <c r="E3" s="8">
        <v>7</v>
      </c>
      <c r="F3" s="9" t="e">
        <f ca="1">FactorNumber(E3)</f>
        <v>#NAME?</v>
      </c>
      <c r="G3" s="10"/>
      <c r="H3" s="10"/>
      <c r="I3" s="11"/>
    </row>
    <row r="4" spans="1:13" ht="16.8" thickBot="1" x14ac:dyDescent="0.4">
      <c r="E4" s="12" t="e">
        <f ca="1">IF(LEN(F3)-LEN(SUBSTITUTE(F3,",",""))=1,"PRIME","NOT PRIME")</f>
        <v>#NAME?</v>
      </c>
      <c r="F4"/>
    </row>
    <row r="5" spans="1:13" ht="16.8" thickBot="1" x14ac:dyDescent="0.4">
      <c r="A5" s="1">
        <v>1</v>
      </c>
      <c r="E5" s="13">
        <f>E3</f>
        <v>7</v>
      </c>
      <c r="F5" s="14">
        <v>1</v>
      </c>
      <c r="G5" s="15">
        <v>7</v>
      </c>
      <c r="H5" s="15">
        <v>11</v>
      </c>
      <c r="I5" s="15">
        <v>13</v>
      </c>
      <c r="J5" s="15">
        <v>17</v>
      </c>
      <c r="K5" s="15">
        <v>19</v>
      </c>
      <c r="L5" s="15">
        <v>23</v>
      </c>
      <c r="M5" s="16">
        <v>29</v>
      </c>
    </row>
    <row r="6" spans="1:13" x14ac:dyDescent="0.35">
      <c r="D6" s="2">
        <v>1</v>
      </c>
      <c r="E6" s="3">
        <f>D6*$E$5</f>
        <v>7</v>
      </c>
      <c r="F6" s="17">
        <f>(E6-1)/30</f>
        <v>0.2</v>
      </c>
      <c r="G6" s="17">
        <f>($E6-7)/30</f>
        <v>0</v>
      </c>
      <c r="H6" s="17">
        <f>($E6-11)/30</f>
        <v>-0.13333333333333333</v>
      </c>
      <c r="I6" s="17">
        <f>($E6-13)/30</f>
        <v>-0.2</v>
      </c>
      <c r="J6" s="17">
        <f>($E6-17)/30</f>
        <v>-0.33333333333333331</v>
      </c>
      <c r="K6" s="17">
        <f>($E6-19)/30</f>
        <v>-0.4</v>
      </c>
      <c r="L6" s="17">
        <f>($E6-23)/30</f>
        <v>-0.53333333333333333</v>
      </c>
      <c r="M6" s="17">
        <f>($E6-29)/30</f>
        <v>-0.73333333333333328</v>
      </c>
    </row>
    <row r="7" spans="1:13" x14ac:dyDescent="0.35">
      <c r="D7" s="2">
        <v>7</v>
      </c>
      <c r="E7" s="3">
        <f t="shared" ref="E7:E13" si="0">D7*$E$5</f>
        <v>49</v>
      </c>
      <c r="F7" s="17">
        <f t="shared" ref="F7:F13" si="1">(E7-1)/30</f>
        <v>1.6</v>
      </c>
      <c r="G7" s="17">
        <f t="shared" ref="G7:G13" si="2">($E7-7)/30</f>
        <v>1.4</v>
      </c>
      <c r="H7" s="17">
        <f t="shared" ref="H7:H13" si="3">($E7-11)/30</f>
        <v>1.2666666666666666</v>
      </c>
      <c r="I7" s="17">
        <f t="shared" ref="I7:I13" si="4">($E7-13)/30</f>
        <v>1.2</v>
      </c>
      <c r="J7" s="17">
        <f t="shared" ref="J7:J13" si="5">($E7-17)/30</f>
        <v>1.0666666666666667</v>
      </c>
      <c r="K7" s="17">
        <f t="shared" ref="K7:K13" si="6">($E7-19)/30</f>
        <v>1</v>
      </c>
      <c r="L7" s="17">
        <f t="shared" ref="L7:L13" si="7">($E7-23)/30</f>
        <v>0.8666666666666667</v>
      </c>
      <c r="M7" s="17">
        <f t="shared" ref="M7:M13" si="8">($E7-29)/30</f>
        <v>0.66666666666666663</v>
      </c>
    </row>
    <row r="8" spans="1:13" x14ac:dyDescent="0.35">
      <c r="D8" s="2">
        <v>11</v>
      </c>
      <c r="E8" s="3">
        <f t="shared" si="0"/>
        <v>77</v>
      </c>
      <c r="F8" s="17">
        <f t="shared" si="1"/>
        <v>2.5333333333333332</v>
      </c>
      <c r="G8" s="17">
        <f t="shared" si="2"/>
        <v>2.3333333333333335</v>
      </c>
      <c r="H8" s="17">
        <f t="shared" si="3"/>
        <v>2.2000000000000002</v>
      </c>
      <c r="I8" s="17">
        <f t="shared" si="4"/>
        <v>2.1333333333333333</v>
      </c>
      <c r="J8" s="17">
        <f t="shared" si="5"/>
        <v>2</v>
      </c>
      <c r="K8" s="17">
        <f t="shared" si="6"/>
        <v>1.9333333333333333</v>
      </c>
      <c r="L8" s="17">
        <f t="shared" si="7"/>
        <v>1.8</v>
      </c>
      <c r="M8" s="17">
        <f>($E8-29)/30</f>
        <v>1.6</v>
      </c>
    </row>
    <row r="9" spans="1:13" x14ac:dyDescent="0.35">
      <c r="D9" s="2">
        <v>13</v>
      </c>
      <c r="E9" s="3">
        <f t="shared" si="0"/>
        <v>91</v>
      </c>
      <c r="F9" s="17">
        <f t="shared" si="1"/>
        <v>3</v>
      </c>
      <c r="G9" s="17">
        <f t="shared" si="2"/>
        <v>2.8</v>
      </c>
      <c r="H9" s="17">
        <f t="shared" si="3"/>
        <v>2.6666666666666665</v>
      </c>
      <c r="I9" s="17">
        <f t="shared" si="4"/>
        <v>2.6</v>
      </c>
      <c r="J9" s="17">
        <f t="shared" si="5"/>
        <v>2.4666666666666668</v>
      </c>
      <c r="K9" s="17">
        <f t="shared" si="6"/>
        <v>2.4</v>
      </c>
      <c r="L9" s="17">
        <f t="shared" si="7"/>
        <v>2.2666666666666666</v>
      </c>
      <c r="M9" s="17">
        <f t="shared" si="8"/>
        <v>2.0666666666666669</v>
      </c>
    </row>
    <row r="10" spans="1:13" x14ac:dyDescent="0.35">
      <c r="D10" s="2">
        <v>17</v>
      </c>
      <c r="E10" s="3">
        <f t="shared" si="0"/>
        <v>119</v>
      </c>
      <c r="F10" s="17">
        <f t="shared" si="1"/>
        <v>3.9333333333333331</v>
      </c>
      <c r="G10" s="17">
        <f t="shared" si="2"/>
        <v>3.7333333333333334</v>
      </c>
      <c r="H10" s="17">
        <f t="shared" si="3"/>
        <v>3.6</v>
      </c>
      <c r="I10" s="17">
        <f t="shared" si="4"/>
        <v>3.5333333333333332</v>
      </c>
      <c r="J10" s="17">
        <f t="shared" si="5"/>
        <v>3.4</v>
      </c>
      <c r="K10" s="17">
        <f t="shared" si="6"/>
        <v>3.3333333333333335</v>
      </c>
      <c r="L10" s="17">
        <f t="shared" si="7"/>
        <v>3.2</v>
      </c>
      <c r="M10" s="17">
        <f t="shared" si="8"/>
        <v>3</v>
      </c>
    </row>
    <row r="11" spans="1:13" x14ac:dyDescent="0.35">
      <c r="D11" s="2">
        <v>19</v>
      </c>
      <c r="E11" s="3">
        <f t="shared" si="0"/>
        <v>133</v>
      </c>
      <c r="F11" s="17">
        <f t="shared" si="1"/>
        <v>4.4000000000000004</v>
      </c>
      <c r="G11" s="17">
        <f t="shared" si="2"/>
        <v>4.2</v>
      </c>
      <c r="H11" s="17">
        <f t="shared" si="3"/>
        <v>4.0666666666666664</v>
      </c>
      <c r="I11" s="17">
        <f t="shared" si="4"/>
        <v>4</v>
      </c>
      <c r="J11" s="17">
        <f t="shared" si="5"/>
        <v>3.8666666666666667</v>
      </c>
      <c r="K11" s="17">
        <f t="shared" si="6"/>
        <v>3.8</v>
      </c>
      <c r="L11" s="17">
        <f t="shared" si="7"/>
        <v>3.6666666666666665</v>
      </c>
      <c r="M11" s="17">
        <f t="shared" si="8"/>
        <v>3.4666666666666668</v>
      </c>
    </row>
    <row r="12" spans="1:13" x14ac:dyDescent="0.35">
      <c r="D12" s="2">
        <v>23</v>
      </c>
      <c r="E12" s="3">
        <f t="shared" si="0"/>
        <v>161</v>
      </c>
      <c r="F12" s="17">
        <f t="shared" si="1"/>
        <v>5.333333333333333</v>
      </c>
      <c r="G12" s="17">
        <f t="shared" si="2"/>
        <v>5.1333333333333337</v>
      </c>
      <c r="H12" s="17">
        <f t="shared" si="3"/>
        <v>5</v>
      </c>
      <c r="I12" s="17">
        <f t="shared" si="4"/>
        <v>4.9333333333333336</v>
      </c>
      <c r="J12" s="17">
        <f t="shared" si="5"/>
        <v>4.8</v>
      </c>
      <c r="K12" s="17">
        <f t="shared" si="6"/>
        <v>4.7333333333333334</v>
      </c>
      <c r="L12" s="17">
        <f t="shared" si="7"/>
        <v>4.5999999999999996</v>
      </c>
      <c r="M12" s="17">
        <f t="shared" si="8"/>
        <v>4.4000000000000004</v>
      </c>
    </row>
    <row r="13" spans="1:13" x14ac:dyDescent="0.35">
      <c r="D13" s="2">
        <v>29</v>
      </c>
      <c r="E13" s="3">
        <f t="shared" si="0"/>
        <v>203</v>
      </c>
      <c r="F13" s="17">
        <f t="shared" si="1"/>
        <v>6.7333333333333334</v>
      </c>
      <c r="G13" s="17">
        <f t="shared" si="2"/>
        <v>6.5333333333333332</v>
      </c>
      <c r="H13" s="17">
        <f t="shared" si="3"/>
        <v>6.4</v>
      </c>
      <c r="I13" s="17">
        <f t="shared" si="4"/>
        <v>6.333333333333333</v>
      </c>
      <c r="J13" s="17">
        <f t="shared" si="5"/>
        <v>6.2</v>
      </c>
      <c r="K13" s="17">
        <f t="shared" si="6"/>
        <v>6.1333333333333337</v>
      </c>
      <c r="L13" s="17">
        <f t="shared" si="7"/>
        <v>6</v>
      </c>
      <c r="M13" s="17">
        <f t="shared" si="8"/>
        <v>5.8</v>
      </c>
    </row>
    <row r="14" spans="1:13" ht="16.8" thickBot="1" x14ac:dyDescent="0.4"/>
    <row r="15" spans="1:13" ht="16.8" thickBot="1" x14ac:dyDescent="0.4">
      <c r="A15" s="1">
        <v>2</v>
      </c>
      <c r="C15" s="18" t="s">
        <v>2</v>
      </c>
      <c r="E15" s="13">
        <f>E5</f>
        <v>7</v>
      </c>
      <c r="F15" s="14">
        <v>1</v>
      </c>
      <c r="G15" s="15">
        <v>7</v>
      </c>
      <c r="H15" s="15">
        <v>11</v>
      </c>
      <c r="I15" s="15">
        <v>13</v>
      </c>
      <c r="J15" s="15">
        <v>17</v>
      </c>
      <c r="K15" s="15">
        <v>19</v>
      </c>
      <c r="L15" s="15">
        <v>23</v>
      </c>
      <c r="M15" s="16">
        <v>29</v>
      </c>
    </row>
    <row r="16" spans="1:13" x14ac:dyDescent="0.35">
      <c r="D16" s="2">
        <v>31</v>
      </c>
      <c r="E16" s="3">
        <f>D16*$E$5</f>
        <v>217</v>
      </c>
      <c r="F16" s="17">
        <f>(E16-1)/30</f>
        <v>7.2</v>
      </c>
      <c r="G16" s="17">
        <f>($E16-7)/30</f>
        <v>7</v>
      </c>
      <c r="H16" s="17">
        <f>($E16-11)/30</f>
        <v>6.8666666666666663</v>
      </c>
      <c r="I16" s="17">
        <f>($E16-13)/30</f>
        <v>6.8</v>
      </c>
      <c r="J16" s="17">
        <f>($E16-17)/30</f>
        <v>6.666666666666667</v>
      </c>
      <c r="K16" s="17">
        <f>($E16-19)/30</f>
        <v>6.6</v>
      </c>
      <c r="L16" s="17">
        <f>($E16-23)/30</f>
        <v>6.4666666666666668</v>
      </c>
      <c r="M16" s="17">
        <f>($E16-29)/30</f>
        <v>6.2666666666666666</v>
      </c>
    </row>
    <row r="17" spans="1:13" x14ac:dyDescent="0.35">
      <c r="D17" s="2">
        <v>37</v>
      </c>
      <c r="E17" s="3">
        <f t="shared" ref="E17:E23" si="9">D17*$E$5</f>
        <v>259</v>
      </c>
      <c r="F17" s="17">
        <f t="shared" ref="F17:F23" si="10">(E17-1)/30</f>
        <v>8.6</v>
      </c>
      <c r="G17" s="17">
        <f t="shared" ref="G17:G23" si="11">($E17-7)/30</f>
        <v>8.4</v>
      </c>
      <c r="H17" s="17">
        <f t="shared" ref="H17:H23" si="12">($E17-11)/30</f>
        <v>8.2666666666666675</v>
      </c>
      <c r="I17" s="17">
        <f t="shared" ref="I17:I23" si="13">($E17-13)/30</f>
        <v>8.1999999999999993</v>
      </c>
      <c r="J17" s="17">
        <f t="shared" ref="J17:J23" si="14">($E17-17)/30</f>
        <v>8.0666666666666664</v>
      </c>
      <c r="K17" s="17">
        <f t="shared" ref="K17:K23" si="15">($E17-19)/30</f>
        <v>8</v>
      </c>
      <c r="L17" s="17">
        <f t="shared" ref="L17:L23" si="16">($E17-23)/30</f>
        <v>7.8666666666666663</v>
      </c>
      <c r="M17" s="17">
        <f t="shared" ref="M17:M23" si="17">($E17-29)/30</f>
        <v>7.666666666666667</v>
      </c>
    </row>
    <row r="18" spans="1:13" x14ac:dyDescent="0.35">
      <c r="D18" s="2">
        <v>41</v>
      </c>
      <c r="E18" s="3">
        <f t="shared" si="9"/>
        <v>287</v>
      </c>
      <c r="F18" s="17">
        <f t="shared" si="10"/>
        <v>9.5333333333333332</v>
      </c>
      <c r="G18" s="17">
        <f t="shared" si="11"/>
        <v>9.3333333333333339</v>
      </c>
      <c r="H18" s="17">
        <f t="shared" si="12"/>
        <v>9.1999999999999993</v>
      </c>
      <c r="I18" s="17">
        <f t="shared" si="13"/>
        <v>9.1333333333333329</v>
      </c>
      <c r="J18" s="17">
        <f t="shared" si="14"/>
        <v>9</v>
      </c>
      <c r="K18" s="17">
        <f t="shared" si="15"/>
        <v>8.9333333333333336</v>
      </c>
      <c r="L18" s="17">
        <f t="shared" si="16"/>
        <v>8.8000000000000007</v>
      </c>
      <c r="M18" s="17">
        <f t="shared" si="17"/>
        <v>8.6</v>
      </c>
    </row>
    <row r="19" spans="1:13" x14ac:dyDescent="0.35">
      <c r="D19" s="2">
        <v>43</v>
      </c>
      <c r="E19" s="3">
        <f t="shared" si="9"/>
        <v>301</v>
      </c>
      <c r="F19" s="17">
        <f t="shared" si="10"/>
        <v>10</v>
      </c>
      <c r="G19" s="17">
        <f t="shared" si="11"/>
        <v>9.8000000000000007</v>
      </c>
      <c r="H19" s="17">
        <f t="shared" si="12"/>
        <v>9.6666666666666661</v>
      </c>
      <c r="I19" s="17">
        <f t="shared" si="13"/>
        <v>9.6</v>
      </c>
      <c r="J19" s="17">
        <f t="shared" si="14"/>
        <v>9.4666666666666668</v>
      </c>
      <c r="K19" s="17">
        <f t="shared" si="15"/>
        <v>9.4</v>
      </c>
      <c r="L19" s="17">
        <f t="shared" si="16"/>
        <v>9.2666666666666675</v>
      </c>
      <c r="M19" s="17">
        <f t="shared" si="17"/>
        <v>9.0666666666666664</v>
      </c>
    </row>
    <row r="20" spans="1:13" x14ac:dyDescent="0.35">
      <c r="D20" s="2">
        <v>47</v>
      </c>
      <c r="E20" s="3">
        <f t="shared" si="9"/>
        <v>329</v>
      </c>
      <c r="F20" s="17">
        <f t="shared" si="10"/>
        <v>10.933333333333334</v>
      </c>
      <c r="G20" s="17">
        <f t="shared" si="11"/>
        <v>10.733333333333333</v>
      </c>
      <c r="H20" s="17">
        <f t="shared" si="12"/>
        <v>10.6</v>
      </c>
      <c r="I20" s="17">
        <f t="shared" si="13"/>
        <v>10.533333333333333</v>
      </c>
      <c r="J20" s="17">
        <f t="shared" si="14"/>
        <v>10.4</v>
      </c>
      <c r="K20" s="17">
        <f t="shared" si="15"/>
        <v>10.333333333333334</v>
      </c>
      <c r="L20" s="17">
        <f t="shared" si="16"/>
        <v>10.199999999999999</v>
      </c>
      <c r="M20" s="17">
        <f t="shared" si="17"/>
        <v>10</v>
      </c>
    </row>
    <row r="21" spans="1:13" x14ac:dyDescent="0.35">
      <c r="D21" s="2">
        <v>49</v>
      </c>
      <c r="E21" s="3">
        <f t="shared" si="9"/>
        <v>343</v>
      </c>
      <c r="F21" s="17">
        <f t="shared" si="10"/>
        <v>11.4</v>
      </c>
      <c r="G21" s="17">
        <f t="shared" si="11"/>
        <v>11.2</v>
      </c>
      <c r="H21" s="17">
        <f t="shared" si="12"/>
        <v>11.066666666666666</v>
      </c>
      <c r="I21" s="17">
        <f t="shared" si="13"/>
        <v>11</v>
      </c>
      <c r="J21" s="17">
        <f t="shared" si="14"/>
        <v>10.866666666666667</v>
      </c>
      <c r="K21" s="17">
        <f t="shared" si="15"/>
        <v>10.8</v>
      </c>
      <c r="L21" s="17">
        <f t="shared" si="16"/>
        <v>10.666666666666666</v>
      </c>
      <c r="M21" s="17">
        <f t="shared" si="17"/>
        <v>10.466666666666667</v>
      </c>
    </row>
    <row r="22" spans="1:13" x14ac:dyDescent="0.35">
      <c r="D22" s="2">
        <v>53</v>
      </c>
      <c r="E22" s="3">
        <f t="shared" si="9"/>
        <v>371</v>
      </c>
      <c r="F22" s="17">
        <f t="shared" si="10"/>
        <v>12.333333333333334</v>
      </c>
      <c r="G22" s="17">
        <f t="shared" si="11"/>
        <v>12.133333333333333</v>
      </c>
      <c r="H22" s="17">
        <f t="shared" si="12"/>
        <v>12</v>
      </c>
      <c r="I22" s="17">
        <f t="shared" si="13"/>
        <v>11.933333333333334</v>
      </c>
      <c r="J22" s="17">
        <f t="shared" si="14"/>
        <v>11.8</v>
      </c>
      <c r="K22" s="17">
        <f t="shared" si="15"/>
        <v>11.733333333333333</v>
      </c>
      <c r="L22" s="17">
        <f t="shared" si="16"/>
        <v>11.6</v>
      </c>
      <c r="M22" s="17">
        <f t="shared" si="17"/>
        <v>11.4</v>
      </c>
    </row>
    <row r="23" spans="1:13" x14ac:dyDescent="0.35">
      <c r="D23" s="2">
        <v>59</v>
      </c>
      <c r="E23" s="3">
        <f t="shared" si="9"/>
        <v>413</v>
      </c>
      <c r="F23" s="17">
        <f t="shared" si="10"/>
        <v>13.733333333333333</v>
      </c>
      <c r="G23" s="17">
        <f t="shared" si="11"/>
        <v>13.533333333333333</v>
      </c>
      <c r="H23" s="17">
        <f t="shared" si="12"/>
        <v>13.4</v>
      </c>
      <c r="I23" s="17">
        <f t="shared" si="13"/>
        <v>13.333333333333334</v>
      </c>
      <c r="J23" s="17">
        <f t="shared" si="14"/>
        <v>13.2</v>
      </c>
      <c r="K23" s="17">
        <f t="shared" si="15"/>
        <v>13.133333333333333</v>
      </c>
      <c r="L23" s="17">
        <f t="shared" si="16"/>
        <v>13</v>
      </c>
      <c r="M23" s="17">
        <f t="shared" si="17"/>
        <v>12.8</v>
      </c>
    </row>
    <row r="24" spans="1:13" ht="16.8" thickBot="1" x14ac:dyDescent="0.4"/>
    <row r="25" spans="1:13" ht="16.8" thickBot="1" x14ac:dyDescent="0.4">
      <c r="A25" s="1">
        <v>3</v>
      </c>
      <c r="C25" s="18" t="s">
        <v>2</v>
      </c>
      <c r="E25" s="13">
        <f>E5</f>
        <v>7</v>
      </c>
      <c r="F25" s="14">
        <v>1</v>
      </c>
      <c r="G25" s="15">
        <v>7</v>
      </c>
      <c r="H25" s="15">
        <v>11</v>
      </c>
      <c r="I25" s="15">
        <v>13</v>
      </c>
      <c r="J25" s="15">
        <v>17</v>
      </c>
      <c r="K25" s="15">
        <v>19</v>
      </c>
      <c r="L25" s="15">
        <v>23</v>
      </c>
      <c r="M25" s="16">
        <v>29</v>
      </c>
    </row>
    <row r="26" spans="1:13" x14ac:dyDescent="0.35">
      <c r="B26" s="2">
        <v>30</v>
      </c>
      <c r="C26" s="2">
        <f>D26+B26</f>
        <v>91</v>
      </c>
      <c r="D26" s="2">
        <v>61</v>
      </c>
      <c r="E26" s="3">
        <f>D26*$E$5</f>
        <v>427</v>
      </c>
      <c r="F26" s="17">
        <f>(E26-1)/30</f>
        <v>14.2</v>
      </c>
      <c r="G26" s="17">
        <f>($E26-7)/30</f>
        <v>14</v>
      </c>
      <c r="H26" s="17">
        <f>($E26-11)/30</f>
        <v>13.866666666666667</v>
      </c>
      <c r="I26" s="17">
        <f>($E26-13)/30</f>
        <v>13.8</v>
      </c>
      <c r="J26" s="17">
        <f>($E26-17)/30</f>
        <v>13.666666666666666</v>
      </c>
      <c r="K26" s="17">
        <f>($E26-19)/30</f>
        <v>13.6</v>
      </c>
      <c r="L26" s="17">
        <f>($E26-23)/30</f>
        <v>13.466666666666667</v>
      </c>
      <c r="M26" s="17">
        <f>($E26-29)/30</f>
        <v>13.266666666666667</v>
      </c>
    </row>
    <row r="27" spans="1:13" x14ac:dyDescent="0.35">
      <c r="B27" s="2">
        <v>30</v>
      </c>
      <c r="C27" s="2">
        <f t="shared" ref="C27:C33" si="18">D27+B27</f>
        <v>97</v>
      </c>
      <c r="D27" s="2">
        <v>67</v>
      </c>
      <c r="E27" s="3">
        <f t="shared" ref="E27:E33" si="19">D27*$E$5</f>
        <v>469</v>
      </c>
      <c r="F27" s="17">
        <f t="shared" ref="F27:F33" si="20">(E27-1)/30</f>
        <v>15.6</v>
      </c>
      <c r="G27" s="17">
        <f t="shared" ref="G27:G33" si="21">($E27-7)/30</f>
        <v>15.4</v>
      </c>
      <c r="H27" s="17">
        <f t="shared" ref="H27:H33" si="22">($E27-11)/30</f>
        <v>15.266666666666667</v>
      </c>
      <c r="I27" s="17">
        <f t="shared" ref="I27:I33" si="23">($E27-13)/30</f>
        <v>15.2</v>
      </c>
      <c r="J27" s="17">
        <f t="shared" ref="J27:J33" si="24">($E27-17)/30</f>
        <v>15.066666666666666</v>
      </c>
      <c r="K27" s="17">
        <f t="shared" ref="K27:K33" si="25">($E27-19)/30</f>
        <v>15</v>
      </c>
      <c r="L27" s="17">
        <f t="shared" ref="L27:L33" si="26">($E27-23)/30</f>
        <v>14.866666666666667</v>
      </c>
      <c r="M27" s="17">
        <f t="shared" ref="M27:M33" si="27">($E27-29)/30</f>
        <v>14.666666666666666</v>
      </c>
    </row>
    <row r="28" spans="1:13" x14ac:dyDescent="0.35">
      <c r="B28" s="2">
        <v>30</v>
      </c>
      <c r="C28" s="2">
        <f t="shared" si="18"/>
        <v>101</v>
      </c>
      <c r="D28" s="2">
        <v>71</v>
      </c>
      <c r="E28" s="3">
        <f t="shared" si="19"/>
        <v>497</v>
      </c>
      <c r="F28" s="17">
        <f t="shared" si="20"/>
        <v>16.533333333333335</v>
      </c>
      <c r="G28" s="17">
        <f t="shared" si="21"/>
        <v>16.333333333333332</v>
      </c>
      <c r="H28" s="17">
        <f t="shared" si="22"/>
        <v>16.2</v>
      </c>
      <c r="I28" s="17">
        <f t="shared" si="23"/>
        <v>16.133333333333333</v>
      </c>
      <c r="J28" s="17">
        <f t="shared" si="24"/>
        <v>16</v>
      </c>
      <c r="K28" s="17">
        <f t="shared" si="25"/>
        <v>15.933333333333334</v>
      </c>
      <c r="L28" s="17">
        <f t="shared" si="26"/>
        <v>15.8</v>
      </c>
      <c r="M28" s="17">
        <f t="shared" si="27"/>
        <v>15.6</v>
      </c>
    </row>
    <row r="29" spans="1:13" x14ac:dyDescent="0.35">
      <c r="B29" s="2">
        <v>30</v>
      </c>
      <c r="C29" s="2">
        <f t="shared" si="18"/>
        <v>103</v>
      </c>
      <c r="D29" s="2">
        <v>73</v>
      </c>
      <c r="E29" s="3">
        <f t="shared" si="19"/>
        <v>511</v>
      </c>
      <c r="F29" s="17">
        <f t="shared" si="20"/>
        <v>17</v>
      </c>
      <c r="G29" s="17">
        <f t="shared" si="21"/>
        <v>16.8</v>
      </c>
      <c r="H29" s="17">
        <f t="shared" si="22"/>
        <v>16.666666666666668</v>
      </c>
      <c r="I29" s="17">
        <f t="shared" si="23"/>
        <v>16.600000000000001</v>
      </c>
      <c r="J29" s="17">
        <f t="shared" si="24"/>
        <v>16.466666666666665</v>
      </c>
      <c r="K29" s="17">
        <f t="shared" si="25"/>
        <v>16.399999999999999</v>
      </c>
      <c r="L29" s="17">
        <f t="shared" si="26"/>
        <v>16.266666666666666</v>
      </c>
      <c r="M29" s="17">
        <f t="shared" si="27"/>
        <v>16.066666666666666</v>
      </c>
    </row>
    <row r="30" spans="1:13" x14ac:dyDescent="0.35">
      <c r="B30" s="2">
        <v>30</v>
      </c>
      <c r="C30" s="2">
        <f t="shared" si="18"/>
        <v>107</v>
      </c>
      <c r="D30" s="2">
        <v>77</v>
      </c>
      <c r="E30" s="3">
        <f t="shared" si="19"/>
        <v>539</v>
      </c>
      <c r="F30" s="17">
        <f t="shared" si="20"/>
        <v>17.933333333333334</v>
      </c>
      <c r="G30" s="17">
        <f t="shared" si="21"/>
        <v>17.733333333333334</v>
      </c>
      <c r="H30" s="17">
        <f t="shared" si="22"/>
        <v>17.600000000000001</v>
      </c>
      <c r="I30" s="17">
        <f t="shared" si="23"/>
        <v>17.533333333333335</v>
      </c>
      <c r="J30" s="17">
        <f t="shared" si="24"/>
        <v>17.399999999999999</v>
      </c>
      <c r="K30" s="17">
        <f t="shared" si="25"/>
        <v>17.333333333333332</v>
      </c>
      <c r="L30" s="17">
        <f t="shared" si="26"/>
        <v>17.2</v>
      </c>
      <c r="M30" s="17">
        <f t="shared" si="27"/>
        <v>17</v>
      </c>
    </row>
    <row r="31" spans="1:13" x14ac:dyDescent="0.35">
      <c r="B31" s="2">
        <v>30</v>
      </c>
      <c r="C31" s="2">
        <f t="shared" si="18"/>
        <v>109</v>
      </c>
      <c r="D31" s="2">
        <v>79</v>
      </c>
      <c r="E31" s="3">
        <f t="shared" si="19"/>
        <v>553</v>
      </c>
      <c r="F31" s="17">
        <f t="shared" si="20"/>
        <v>18.399999999999999</v>
      </c>
      <c r="G31" s="17">
        <f t="shared" si="21"/>
        <v>18.2</v>
      </c>
      <c r="H31" s="17">
        <f t="shared" si="22"/>
        <v>18.066666666666666</v>
      </c>
      <c r="I31" s="17">
        <f t="shared" si="23"/>
        <v>18</v>
      </c>
      <c r="J31" s="17">
        <f t="shared" si="24"/>
        <v>17.866666666666667</v>
      </c>
      <c r="K31" s="17">
        <f t="shared" si="25"/>
        <v>17.8</v>
      </c>
      <c r="L31" s="17">
        <f t="shared" si="26"/>
        <v>17.666666666666668</v>
      </c>
      <c r="M31" s="17">
        <f t="shared" si="27"/>
        <v>17.466666666666665</v>
      </c>
    </row>
    <row r="32" spans="1:13" x14ac:dyDescent="0.35">
      <c r="B32" s="2">
        <v>30</v>
      </c>
      <c r="C32" s="2">
        <f t="shared" si="18"/>
        <v>113</v>
      </c>
      <c r="D32" s="2">
        <v>83</v>
      </c>
      <c r="E32" s="3">
        <f t="shared" si="19"/>
        <v>581</v>
      </c>
      <c r="F32" s="17">
        <f t="shared" si="20"/>
        <v>19.333333333333332</v>
      </c>
      <c r="G32" s="17">
        <f t="shared" si="21"/>
        <v>19.133333333333333</v>
      </c>
      <c r="H32" s="17">
        <f t="shared" si="22"/>
        <v>19</v>
      </c>
      <c r="I32" s="17">
        <f t="shared" si="23"/>
        <v>18.933333333333334</v>
      </c>
      <c r="J32" s="17">
        <f t="shared" si="24"/>
        <v>18.8</v>
      </c>
      <c r="K32" s="17">
        <f t="shared" si="25"/>
        <v>18.733333333333334</v>
      </c>
      <c r="L32" s="17">
        <f t="shared" si="26"/>
        <v>18.600000000000001</v>
      </c>
      <c r="M32" s="17">
        <f t="shared" si="27"/>
        <v>18.399999999999999</v>
      </c>
    </row>
    <row r="33" spans="1:13" x14ac:dyDescent="0.35">
      <c r="B33" s="2">
        <v>30</v>
      </c>
      <c r="C33" s="2">
        <f t="shared" si="18"/>
        <v>119</v>
      </c>
      <c r="D33" s="2">
        <v>89</v>
      </c>
      <c r="E33" s="3">
        <f t="shared" si="19"/>
        <v>623</v>
      </c>
      <c r="F33" s="17">
        <f t="shared" si="20"/>
        <v>20.733333333333334</v>
      </c>
      <c r="G33" s="17">
        <f t="shared" si="21"/>
        <v>20.533333333333335</v>
      </c>
      <c r="H33" s="17">
        <f t="shared" si="22"/>
        <v>20.399999999999999</v>
      </c>
      <c r="I33" s="17">
        <f t="shared" si="23"/>
        <v>20.333333333333332</v>
      </c>
      <c r="J33" s="17">
        <f t="shared" si="24"/>
        <v>20.2</v>
      </c>
      <c r="K33" s="17">
        <f t="shared" si="25"/>
        <v>20.133333333333333</v>
      </c>
      <c r="L33" s="17">
        <f t="shared" si="26"/>
        <v>20</v>
      </c>
      <c r="M33" s="17">
        <f t="shared" si="27"/>
        <v>19.8</v>
      </c>
    </row>
    <row r="34" spans="1:13" ht="16.8" thickBot="1" x14ac:dyDescent="0.4"/>
    <row r="35" spans="1:13" ht="16.8" thickBot="1" x14ac:dyDescent="0.4">
      <c r="A35" s="1">
        <v>4</v>
      </c>
      <c r="C35" s="18" t="s">
        <v>2</v>
      </c>
      <c r="E35" s="13">
        <f>E15</f>
        <v>7</v>
      </c>
      <c r="F35" s="14">
        <v>1</v>
      </c>
      <c r="G35" s="15">
        <v>7</v>
      </c>
      <c r="H35" s="15">
        <v>11</v>
      </c>
      <c r="I35" s="15">
        <v>13</v>
      </c>
      <c r="J35" s="15">
        <v>17</v>
      </c>
      <c r="K35" s="15">
        <v>19</v>
      </c>
      <c r="L35" s="15">
        <v>23</v>
      </c>
      <c r="M35" s="16">
        <v>29</v>
      </c>
    </row>
    <row r="36" spans="1:13" x14ac:dyDescent="0.35">
      <c r="B36" s="2">
        <v>30</v>
      </c>
      <c r="C36" s="2">
        <f>D36+B36</f>
        <v>121</v>
      </c>
      <c r="D36" s="2">
        <v>91</v>
      </c>
      <c r="E36" s="3">
        <f>D36*$E$5</f>
        <v>637</v>
      </c>
      <c r="F36" s="17">
        <f>(E36-1)/30</f>
        <v>21.2</v>
      </c>
      <c r="G36" s="17">
        <f>($E36-7)/30</f>
        <v>21</v>
      </c>
      <c r="H36" s="17">
        <f>($E36-11)/30</f>
        <v>20.866666666666667</v>
      </c>
      <c r="I36" s="17">
        <f>($E36-13)/30</f>
        <v>20.8</v>
      </c>
      <c r="J36" s="17">
        <f>($E36-17)/30</f>
        <v>20.666666666666668</v>
      </c>
      <c r="K36" s="17">
        <f>($E36-19)/30</f>
        <v>20.6</v>
      </c>
      <c r="L36" s="17">
        <f>($E36-23)/30</f>
        <v>20.466666666666665</v>
      </c>
      <c r="M36" s="17">
        <f>($E36-29)/30</f>
        <v>20.266666666666666</v>
      </c>
    </row>
    <row r="37" spans="1:13" x14ac:dyDescent="0.35">
      <c r="B37" s="2">
        <v>30</v>
      </c>
      <c r="C37" s="2">
        <f t="shared" ref="C37:C43" si="28">D37+B37</f>
        <v>127</v>
      </c>
      <c r="D37" s="2">
        <v>97</v>
      </c>
      <c r="E37" s="3">
        <f t="shared" ref="E37:E43" si="29">D37*$E$5</f>
        <v>679</v>
      </c>
      <c r="F37" s="17">
        <f t="shared" ref="F37:F43" si="30">(E37-1)/30</f>
        <v>22.6</v>
      </c>
      <c r="G37" s="17">
        <f t="shared" ref="G37:G43" si="31">($E37-7)/30</f>
        <v>22.4</v>
      </c>
      <c r="H37" s="17">
        <f t="shared" ref="H37:H43" si="32">($E37-11)/30</f>
        <v>22.266666666666666</v>
      </c>
      <c r="I37" s="17">
        <f t="shared" ref="I37:I43" si="33">($E37-13)/30</f>
        <v>22.2</v>
      </c>
      <c r="J37" s="17">
        <f t="shared" ref="J37:J43" si="34">($E37-17)/30</f>
        <v>22.066666666666666</v>
      </c>
      <c r="K37" s="17">
        <f t="shared" ref="K37:K43" si="35">($E37-19)/30</f>
        <v>22</v>
      </c>
      <c r="L37" s="17">
        <f t="shared" ref="L37:L43" si="36">($E37-23)/30</f>
        <v>21.866666666666667</v>
      </c>
      <c r="M37" s="17">
        <f t="shared" ref="M37:M43" si="37">($E37-29)/30</f>
        <v>21.666666666666668</v>
      </c>
    </row>
    <row r="38" spans="1:13" x14ac:dyDescent="0.35">
      <c r="B38" s="2">
        <v>30</v>
      </c>
      <c r="C38" s="2">
        <f t="shared" si="28"/>
        <v>131</v>
      </c>
      <c r="D38" s="2">
        <v>101</v>
      </c>
      <c r="E38" s="3">
        <f t="shared" si="29"/>
        <v>707</v>
      </c>
      <c r="F38" s="17">
        <f t="shared" si="30"/>
        <v>23.533333333333335</v>
      </c>
      <c r="G38" s="17">
        <f t="shared" si="31"/>
        <v>23.333333333333332</v>
      </c>
      <c r="H38" s="17">
        <f t="shared" si="32"/>
        <v>23.2</v>
      </c>
      <c r="I38" s="17">
        <f t="shared" si="33"/>
        <v>23.133333333333333</v>
      </c>
      <c r="J38" s="17">
        <f t="shared" si="34"/>
        <v>23</v>
      </c>
      <c r="K38" s="17">
        <f t="shared" si="35"/>
        <v>22.933333333333334</v>
      </c>
      <c r="L38" s="17">
        <f t="shared" si="36"/>
        <v>22.8</v>
      </c>
      <c r="M38" s="17">
        <f t="shared" si="37"/>
        <v>22.6</v>
      </c>
    </row>
    <row r="39" spans="1:13" x14ac:dyDescent="0.35">
      <c r="B39" s="2">
        <v>30</v>
      </c>
      <c r="C39" s="2">
        <f t="shared" si="28"/>
        <v>133</v>
      </c>
      <c r="D39" s="2">
        <v>103</v>
      </c>
      <c r="E39" s="3">
        <f t="shared" si="29"/>
        <v>721</v>
      </c>
      <c r="F39" s="17">
        <f t="shared" si="30"/>
        <v>24</v>
      </c>
      <c r="G39" s="17">
        <f t="shared" si="31"/>
        <v>23.8</v>
      </c>
      <c r="H39" s="17">
        <f t="shared" si="32"/>
        <v>23.666666666666668</v>
      </c>
      <c r="I39" s="17">
        <f t="shared" si="33"/>
        <v>23.6</v>
      </c>
      <c r="J39" s="17">
        <f t="shared" si="34"/>
        <v>23.466666666666665</v>
      </c>
      <c r="K39" s="17">
        <f t="shared" si="35"/>
        <v>23.4</v>
      </c>
      <c r="L39" s="17">
        <f t="shared" si="36"/>
        <v>23.266666666666666</v>
      </c>
      <c r="M39" s="17">
        <f t="shared" si="37"/>
        <v>23.066666666666666</v>
      </c>
    </row>
    <row r="40" spans="1:13" x14ac:dyDescent="0.35">
      <c r="B40" s="2">
        <v>30</v>
      </c>
      <c r="C40" s="2">
        <f t="shared" si="28"/>
        <v>137</v>
      </c>
      <c r="D40" s="2">
        <v>107</v>
      </c>
      <c r="E40" s="3">
        <f t="shared" si="29"/>
        <v>749</v>
      </c>
      <c r="F40" s="17">
        <f t="shared" si="30"/>
        <v>24.933333333333334</v>
      </c>
      <c r="G40" s="17">
        <f t="shared" si="31"/>
        <v>24.733333333333334</v>
      </c>
      <c r="H40" s="17">
        <f t="shared" si="32"/>
        <v>24.6</v>
      </c>
      <c r="I40" s="17">
        <f t="shared" si="33"/>
        <v>24.533333333333335</v>
      </c>
      <c r="J40" s="17">
        <f t="shared" si="34"/>
        <v>24.4</v>
      </c>
      <c r="K40" s="17">
        <f t="shared" si="35"/>
        <v>24.333333333333332</v>
      </c>
      <c r="L40" s="17">
        <f t="shared" si="36"/>
        <v>24.2</v>
      </c>
      <c r="M40" s="17">
        <f t="shared" si="37"/>
        <v>24</v>
      </c>
    </row>
    <row r="41" spans="1:13" x14ac:dyDescent="0.35">
      <c r="B41" s="2">
        <v>30</v>
      </c>
      <c r="C41" s="2">
        <f t="shared" si="28"/>
        <v>139</v>
      </c>
      <c r="D41" s="2">
        <v>109</v>
      </c>
      <c r="E41" s="3">
        <f t="shared" si="29"/>
        <v>763</v>
      </c>
      <c r="F41" s="17">
        <f t="shared" si="30"/>
        <v>25.4</v>
      </c>
      <c r="G41" s="17">
        <f t="shared" si="31"/>
        <v>25.2</v>
      </c>
      <c r="H41" s="17">
        <f t="shared" si="32"/>
        <v>25.066666666666666</v>
      </c>
      <c r="I41" s="17">
        <f t="shared" si="33"/>
        <v>25</v>
      </c>
      <c r="J41" s="17">
        <f t="shared" si="34"/>
        <v>24.866666666666667</v>
      </c>
      <c r="K41" s="17">
        <f t="shared" si="35"/>
        <v>24.8</v>
      </c>
      <c r="L41" s="17">
        <f t="shared" si="36"/>
        <v>24.666666666666668</v>
      </c>
      <c r="M41" s="17">
        <f t="shared" si="37"/>
        <v>24.466666666666665</v>
      </c>
    </row>
    <row r="42" spans="1:13" x14ac:dyDescent="0.35">
      <c r="B42" s="2">
        <v>30</v>
      </c>
      <c r="C42" s="2">
        <f t="shared" si="28"/>
        <v>143</v>
      </c>
      <c r="D42" s="2">
        <v>113</v>
      </c>
      <c r="E42" s="3">
        <f t="shared" si="29"/>
        <v>791</v>
      </c>
      <c r="F42" s="17">
        <f t="shared" si="30"/>
        <v>26.333333333333332</v>
      </c>
      <c r="G42" s="17">
        <f t="shared" si="31"/>
        <v>26.133333333333333</v>
      </c>
      <c r="H42" s="17">
        <f t="shared" si="32"/>
        <v>26</v>
      </c>
      <c r="I42" s="17">
        <f t="shared" si="33"/>
        <v>25.933333333333334</v>
      </c>
      <c r="J42" s="17">
        <f t="shared" si="34"/>
        <v>25.8</v>
      </c>
      <c r="K42" s="17">
        <f t="shared" si="35"/>
        <v>25.733333333333334</v>
      </c>
      <c r="L42" s="17">
        <f t="shared" si="36"/>
        <v>25.6</v>
      </c>
      <c r="M42" s="17">
        <f t="shared" si="37"/>
        <v>25.4</v>
      </c>
    </row>
    <row r="43" spans="1:13" x14ac:dyDescent="0.35">
      <c r="B43" s="2">
        <v>30</v>
      </c>
      <c r="C43" s="2">
        <f t="shared" si="28"/>
        <v>149</v>
      </c>
      <c r="D43" s="2">
        <v>119</v>
      </c>
      <c r="E43" s="3">
        <f t="shared" si="29"/>
        <v>833</v>
      </c>
      <c r="F43" s="17">
        <f t="shared" si="30"/>
        <v>27.733333333333334</v>
      </c>
      <c r="G43" s="17">
        <f t="shared" si="31"/>
        <v>27.533333333333335</v>
      </c>
      <c r="H43" s="17">
        <f t="shared" si="32"/>
        <v>27.4</v>
      </c>
      <c r="I43" s="17">
        <f t="shared" si="33"/>
        <v>27.333333333333332</v>
      </c>
      <c r="J43" s="17">
        <f t="shared" si="34"/>
        <v>27.2</v>
      </c>
      <c r="K43" s="17">
        <f t="shared" si="35"/>
        <v>27.133333333333333</v>
      </c>
      <c r="L43" s="17">
        <f t="shared" si="36"/>
        <v>27</v>
      </c>
      <c r="M43" s="17">
        <f t="shared" si="37"/>
        <v>26.8</v>
      </c>
    </row>
    <row r="44" spans="1:13" ht="16.8" thickBot="1" x14ac:dyDescent="0.4"/>
    <row r="45" spans="1:13" ht="16.8" thickBot="1" x14ac:dyDescent="0.4">
      <c r="A45" s="1">
        <v>5</v>
      </c>
      <c r="C45" s="18" t="s">
        <v>2</v>
      </c>
      <c r="E45" s="13">
        <f>E26</f>
        <v>427</v>
      </c>
      <c r="F45" s="14">
        <v>1</v>
      </c>
      <c r="G45" s="15">
        <v>7</v>
      </c>
      <c r="H45" s="15">
        <v>11</v>
      </c>
      <c r="I45" s="15">
        <v>13</v>
      </c>
      <c r="J45" s="15">
        <v>17</v>
      </c>
      <c r="K45" s="15">
        <v>19</v>
      </c>
      <c r="L45" s="15">
        <v>23</v>
      </c>
      <c r="M45" s="16">
        <v>29</v>
      </c>
    </row>
    <row r="46" spans="1:13" x14ac:dyDescent="0.35">
      <c r="B46" s="2">
        <v>30</v>
      </c>
      <c r="C46" s="2">
        <f>D46+B46</f>
        <v>151</v>
      </c>
      <c r="D46" s="2">
        <v>121</v>
      </c>
      <c r="E46" s="3">
        <f>D46*$E$5</f>
        <v>847</v>
      </c>
      <c r="F46" s="17">
        <f>(E46-1)/30</f>
        <v>28.2</v>
      </c>
      <c r="G46" s="17">
        <f>($E46-7)/30</f>
        <v>28</v>
      </c>
      <c r="H46" s="17">
        <f>($E46-11)/30</f>
        <v>27.866666666666667</v>
      </c>
      <c r="I46" s="17">
        <f>($E46-13)/30</f>
        <v>27.8</v>
      </c>
      <c r="J46" s="17">
        <f>($E46-17)/30</f>
        <v>27.666666666666668</v>
      </c>
      <c r="K46" s="17">
        <f>($E46-19)/30</f>
        <v>27.6</v>
      </c>
      <c r="L46" s="17">
        <f>($E46-23)/30</f>
        <v>27.466666666666665</v>
      </c>
      <c r="M46" s="17">
        <f>($E46-29)/30</f>
        <v>27.266666666666666</v>
      </c>
    </row>
    <row r="47" spans="1:13" x14ac:dyDescent="0.35">
      <c r="B47" s="2">
        <v>30</v>
      </c>
      <c r="C47" s="2">
        <f t="shared" ref="C47:C53" si="38">D47+B47</f>
        <v>157</v>
      </c>
      <c r="D47" s="2">
        <v>127</v>
      </c>
      <c r="E47" s="3">
        <f t="shared" ref="E47:E53" si="39">D47*$E$5</f>
        <v>889</v>
      </c>
      <c r="F47" s="17">
        <f t="shared" ref="F47:F53" si="40">(E47-1)/30</f>
        <v>29.6</v>
      </c>
      <c r="G47" s="17">
        <f t="shared" ref="G47:G53" si="41">($E47-7)/30</f>
        <v>29.4</v>
      </c>
      <c r="H47" s="17">
        <f t="shared" ref="H47:H53" si="42">($E47-11)/30</f>
        <v>29.266666666666666</v>
      </c>
      <c r="I47" s="17">
        <f t="shared" ref="I47:I53" si="43">($E47-13)/30</f>
        <v>29.2</v>
      </c>
      <c r="J47" s="17">
        <f t="shared" ref="J47:J53" si="44">($E47-17)/30</f>
        <v>29.066666666666666</v>
      </c>
      <c r="K47" s="17">
        <f t="shared" ref="K47:K53" si="45">($E47-19)/30</f>
        <v>29</v>
      </c>
      <c r="L47" s="17">
        <f t="shared" ref="L47:L53" si="46">($E47-23)/30</f>
        <v>28.866666666666667</v>
      </c>
      <c r="M47" s="17">
        <f t="shared" ref="M47:M53" si="47">($E47-29)/30</f>
        <v>28.666666666666668</v>
      </c>
    </row>
    <row r="48" spans="1:13" x14ac:dyDescent="0.35">
      <c r="B48" s="2">
        <v>30</v>
      </c>
      <c r="C48" s="2">
        <f t="shared" si="38"/>
        <v>161</v>
      </c>
      <c r="D48" s="2">
        <v>131</v>
      </c>
      <c r="E48" s="3">
        <f t="shared" si="39"/>
        <v>917</v>
      </c>
      <c r="F48" s="17">
        <f t="shared" si="40"/>
        <v>30.533333333333335</v>
      </c>
      <c r="G48" s="17">
        <f t="shared" si="41"/>
        <v>30.333333333333332</v>
      </c>
      <c r="H48" s="17">
        <f t="shared" si="42"/>
        <v>30.2</v>
      </c>
      <c r="I48" s="17">
        <f t="shared" si="43"/>
        <v>30.133333333333333</v>
      </c>
      <c r="J48" s="17">
        <f t="shared" si="44"/>
        <v>30</v>
      </c>
      <c r="K48" s="17">
        <f t="shared" si="45"/>
        <v>29.933333333333334</v>
      </c>
      <c r="L48" s="17">
        <f t="shared" si="46"/>
        <v>29.8</v>
      </c>
      <c r="M48" s="17">
        <f t="shared" si="47"/>
        <v>29.6</v>
      </c>
    </row>
    <row r="49" spans="1:13" x14ac:dyDescent="0.35">
      <c r="B49" s="2">
        <v>30</v>
      </c>
      <c r="C49" s="2">
        <f t="shared" si="38"/>
        <v>163</v>
      </c>
      <c r="D49" s="2">
        <v>133</v>
      </c>
      <c r="E49" s="3">
        <f t="shared" si="39"/>
        <v>931</v>
      </c>
      <c r="F49" s="17">
        <f t="shared" si="40"/>
        <v>31</v>
      </c>
      <c r="G49" s="17">
        <f t="shared" si="41"/>
        <v>30.8</v>
      </c>
      <c r="H49" s="17">
        <f t="shared" si="42"/>
        <v>30.666666666666668</v>
      </c>
      <c r="I49" s="17">
        <f t="shared" si="43"/>
        <v>30.6</v>
      </c>
      <c r="J49" s="17">
        <f t="shared" si="44"/>
        <v>30.466666666666665</v>
      </c>
      <c r="K49" s="17">
        <f t="shared" si="45"/>
        <v>30.4</v>
      </c>
      <c r="L49" s="17">
        <f t="shared" si="46"/>
        <v>30.266666666666666</v>
      </c>
      <c r="M49" s="17">
        <f t="shared" si="47"/>
        <v>30.066666666666666</v>
      </c>
    </row>
    <row r="50" spans="1:13" x14ac:dyDescent="0.35">
      <c r="B50" s="2">
        <v>30</v>
      </c>
      <c r="C50" s="2">
        <f t="shared" si="38"/>
        <v>167</v>
      </c>
      <c r="D50" s="2">
        <v>137</v>
      </c>
      <c r="E50" s="3">
        <f t="shared" si="39"/>
        <v>959</v>
      </c>
      <c r="F50" s="17">
        <f t="shared" si="40"/>
        <v>31.933333333333334</v>
      </c>
      <c r="G50" s="17">
        <f t="shared" si="41"/>
        <v>31.733333333333334</v>
      </c>
      <c r="H50" s="17">
        <f t="shared" si="42"/>
        <v>31.6</v>
      </c>
      <c r="I50" s="17">
        <f t="shared" si="43"/>
        <v>31.533333333333335</v>
      </c>
      <c r="J50" s="17">
        <f t="shared" si="44"/>
        <v>31.4</v>
      </c>
      <c r="K50" s="17">
        <f t="shared" si="45"/>
        <v>31.333333333333332</v>
      </c>
      <c r="L50" s="17">
        <f t="shared" si="46"/>
        <v>31.2</v>
      </c>
      <c r="M50" s="17">
        <f t="shared" si="47"/>
        <v>31</v>
      </c>
    </row>
    <row r="51" spans="1:13" x14ac:dyDescent="0.35">
      <c r="B51" s="2">
        <v>30</v>
      </c>
      <c r="C51" s="2">
        <f t="shared" si="38"/>
        <v>169</v>
      </c>
      <c r="D51" s="2">
        <v>139</v>
      </c>
      <c r="E51" s="3">
        <f t="shared" si="39"/>
        <v>973</v>
      </c>
      <c r="F51" s="17">
        <f t="shared" si="40"/>
        <v>32.4</v>
      </c>
      <c r="G51" s="17">
        <f t="shared" si="41"/>
        <v>32.200000000000003</v>
      </c>
      <c r="H51" s="17">
        <f t="shared" si="42"/>
        <v>32.06666666666667</v>
      </c>
      <c r="I51" s="17">
        <f t="shared" si="43"/>
        <v>32</v>
      </c>
      <c r="J51" s="17">
        <f t="shared" si="44"/>
        <v>31.866666666666667</v>
      </c>
      <c r="K51" s="17">
        <f t="shared" si="45"/>
        <v>31.8</v>
      </c>
      <c r="L51" s="17">
        <f t="shared" si="46"/>
        <v>31.666666666666668</v>
      </c>
      <c r="M51" s="17">
        <f t="shared" si="47"/>
        <v>31.466666666666665</v>
      </c>
    </row>
    <row r="52" spans="1:13" x14ac:dyDescent="0.35">
      <c r="B52" s="2">
        <v>30</v>
      </c>
      <c r="C52" s="2">
        <f t="shared" si="38"/>
        <v>173</v>
      </c>
      <c r="D52" s="2">
        <v>143</v>
      </c>
      <c r="E52" s="3">
        <f t="shared" si="39"/>
        <v>1001</v>
      </c>
      <c r="F52" s="17">
        <f t="shared" si="40"/>
        <v>33.333333333333336</v>
      </c>
      <c r="G52" s="17">
        <f t="shared" si="41"/>
        <v>33.133333333333333</v>
      </c>
      <c r="H52" s="17">
        <f t="shared" si="42"/>
        <v>33</v>
      </c>
      <c r="I52" s="17">
        <f t="shared" si="43"/>
        <v>32.93333333333333</v>
      </c>
      <c r="J52" s="17">
        <f t="shared" si="44"/>
        <v>32.799999999999997</v>
      </c>
      <c r="K52" s="17">
        <f t="shared" si="45"/>
        <v>32.733333333333334</v>
      </c>
      <c r="L52" s="17">
        <f t="shared" si="46"/>
        <v>32.6</v>
      </c>
      <c r="M52" s="17">
        <f t="shared" si="47"/>
        <v>32.4</v>
      </c>
    </row>
    <row r="53" spans="1:13" x14ac:dyDescent="0.35">
      <c r="B53" s="2">
        <v>30</v>
      </c>
      <c r="C53" s="2">
        <f t="shared" si="38"/>
        <v>179</v>
      </c>
      <c r="D53" s="2">
        <v>149</v>
      </c>
      <c r="E53" s="3">
        <f t="shared" si="39"/>
        <v>1043</v>
      </c>
      <c r="F53" s="17">
        <f t="shared" si="40"/>
        <v>34.733333333333334</v>
      </c>
      <c r="G53" s="17">
        <f t="shared" si="41"/>
        <v>34.533333333333331</v>
      </c>
      <c r="H53" s="17">
        <f t="shared" si="42"/>
        <v>34.4</v>
      </c>
      <c r="I53" s="17">
        <f t="shared" si="43"/>
        <v>34.333333333333336</v>
      </c>
      <c r="J53" s="17">
        <f t="shared" si="44"/>
        <v>34.200000000000003</v>
      </c>
      <c r="K53" s="17">
        <f t="shared" si="45"/>
        <v>34.133333333333333</v>
      </c>
      <c r="L53" s="17">
        <f t="shared" si="46"/>
        <v>34</v>
      </c>
      <c r="M53" s="17">
        <f t="shared" si="47"/>
        <v>33.799999999999997</v>
      </c>
    </row>
    <row r="54" spans="1:13" ht="16.8" thickBot="1" x14ac:dyDescent="0.4">
      <c r="F54" s="17"/>
      <c r="G54" s="17"/>
      <c r="H54" s="17"/>
      <c r="I54" s="17"/>
      <c r="J54" s="17"/>
      <c r="K54" s="17"/>
      <c r="L54" s="17"/>
      <c r="M54" s="17"/>
    </row>
    <row r="55" spans="1:13" ht="16.8" thickBot="1" x14ac:dyDescent="0.4">
      <c r="A55" s="1">
        <v>6</v>
      </c>
      <c r="C55" s="18" t="s">
        <v>2</v>
      </c>
      <c r="E55" s="13">
        <f>E36</f>
        <v>637</v>
      </c>
      <c r="F55" s="19">
        <v>1</v>
      </c>
      <c r="G55" s="20">
        <v>7</v>
      </c>
      <c r="H55" s="20">
        <v>11</v>
      </c>
      <c r="I55" s="20">
        <v>13</v>
      </c>
      <c r="J55" s="20">
        <v>17</v>
      </c>
      <c r="K55" s="20">
        <v>19</v>
      </c>
      <c r="L55" s="20">
        <v>23</v>
      </c>
      <c r="M55" s="21">
        <v>29</v>
      </c>
    </row>
    <row r="56" spans="1:13" x14ac:dyDescent="0.35">
      <c r="B56" s="2">
        <v>30</v>
      </c>
      <c r="C56" s="2">
        <f>D56+B56</f>
        <v>181</v>
      </c>
      <c r="D56" s="2">
        <v>151</v>
      </c>
      <c r="E56" s="3">
        <f>D56*$E$5</f>
        <v>1057</v>
      </c>
      <c r="F56" s="17">
        <f>(E56-1)/30</f>
        <v>35.200000000000003</v>
      </c>
      <c r="G56" s="17">
        <f>($E56-7)/30</f>
        <v>35</v>
      </c>
      <c r="H56" s="17">
        <f>($E56-11)/30</f>
        <v>34.866666666666667</v>
      </c>
      <c r="I56" s="17">
        <f>($E56-13)/30</f>
        <v>34.799999999999997</v>
      </c>
      <c r="J56" s="17">
        <f>($E56-17)/30</f>
        <v>34.666666666666664</v>
      </c>
      <c r="K56" s="17">
        <f>($E56-19)/30</f>
        <v>34.6</v>
      </c>
      <c r="L56" s="17">
        <f>($E56-23)/30</f>
        <v>34.466666666666669</v>
      </c>
      <c r="M56" s="17">
        <f>($E56-29)/30</f>
        <v>34.266666666666666</v>
      </c>
    </row>
    <row r="57" spans="1:13" x14ac:dyDescent="0.35">
      <c r="B57" s="2">
        <v>30</v>
      </c>
      <c r="C57" s="2">
        <f t="shared" ref="C57:C63" si="48">D57+B57</f>
        <v>187</v>
      </c>
      <c r="D57" s="2">
        <v>157</v>
      </c>
      <c r="E57" s="3">
        <f t="shared" ref="E57:E63" si="49">D57*$E$5</f>
        <v>1099</v>
      </c>
      <c r="F57" s="17">
        <f t="shared" ref="F57:F63" si="50">(E57-1)/30</f>
        <v>36.6</v>
      </c>
      <c r="G57" s="17">
        <f t="shared" ref="G57:G63" si="51">($E57-7)/30</f>
        <v>36.4</v>
      </c>
      <c r="H57" s="17">
        <f t="shared" ref="H57:H63" si="52">($E57-11)/30</f>
        <v>36.266666666666666</v>
      </c>
      <c r="I57" s="17">
        <f t="shared" ref="I57:I63" si="53">($E57-13)/30</f>
        <v>36.200000000000003</v>
      </c>
      <c r="J57" s="17">
        <f t="shared" ref="J57:J63" si="54">($E57-17)/30</f>
        <v>36.06666666666667</v>
      </c>
      <c r="K57" s="17">
        <f t="shared" ref="K57:K63" si="55">($E57-19)/30</f>
        <v>36</v>
      </c>
      <c r="L57" s="17">
        <f t="shared" ref="L57:L63" si="56">($E57-23)/30</f>
        <v>35.866666666666667</v>
      </c>
      <c r="M57" s="17">
        <f t="shared" ref="M57:M63" si="57">($E57-29)/30</f>
        <v>35.666666666666664</v>
      </c>
    </row>
    <row r="58" spans="1:13" x14ac:dyDescent="0.35">
      <c r="B58" s="2">
        <v>30</v>
      </c>
      <c r="C58" s="2">
        <f t="shared" si="48"/>
        <v>191</v>
      </c>
      <c r="D58" s="2">
        <v>161</v>
      </c>
      <c r="E58" s="3">
        <f t="shared" si="49"/>
        <v>1127</v>
      </c>
      <c r="F58" s="17">
        <f t="shared" si="50"/>
        <v>37.533333333333331</v>
      </c>
      <c r="G58" s="17">
        <f t="shared" si="51"/>
        <v>37.333333333333336</v>
      </c>
      <c r="H58" s="17">
        <f t="shared" si="52"/>
        <v>37.200000000000003</v>
      </c>
      <c r="I58" s="17">
        <f t="shared" si="53"/>
        <v>37.133333333333333</v>
      </c>
      <c r="J58" s="17">
        <f t="shared" si="54"/>
        <v>37</v>
      </c>
      <c r="K58" s="17">
        <f t="shared" si="55"/>
        <v>36.93333333333333</v>
      </c>
      <c r="L58" s="17">
        <f t="shared" si="56"/>
        <v>36.799999999999997</v>
      </c>
      <c r="M58" s="17">
        <f t="shared" si="57"/>
        <v>36.6</v>
      </c>
    </row>
    <row r="59" spans="1:13" x14ac:dyDescent="0.35">
      <c r="B59" s="2">
        <v>30</v>
      </c>
      <c r="C59" s="2">
        <f t="shared" si="48"/>
        <v>193</v>
      </c>
      <c r="D59" s="2">
        <v>163</v>
      </c>
      <c r="E59" s="3">
        <f t="shared" si="49"/>
        <v>1141</v>
      </c>
      <c r="F59" s="17">
        <f t="shared" si="50"/>
        <v>38</v>
      </c>
      <c r="G59" s="17">
        <f t="shared" si="51"/>
        <v>37.799999999999997</v>
      </c>
      <c r="H59" s="17">
        <f t="shared" si="52"/>
        <v>37.666666666666664</v>
      </c>
      <c r="I59" s="17">
        <f t="shared" si="53"/>
        <v>37.6</v>
      </c>
      <c r="J59" s="17">
        <f t="shared" si="54"/>
        <v>37.466666666666669</v>
      </c>
      <c r="K59" s="17">
        <f t="shared" si="55"/>
        <v>37.4</v>
      </c>
      <c r="L59" s="17">
        <f t="shared" si="56"/>
        <v>37.266666666666666</v>
      </c>
      <c r="M59" s="17">
        <f t="shared" si="57"/>
        <v>37.06666666666667</v>
      </c>
    </row>
    <row r="60" spans="1:13" x14ac:dyDescent="0.35">
      <c r="B60" s="2">
        <v>30</v>
      </c>
      <c r="C60" s="2">
        <f t="shared" si="48"/>
        <v>197</v>
      </c>
      <c r="D60" s="2">
        <v>167</v>
      </c>
      <c r="E60" s="3">
        <f t="shared" si="49"/>
        <v>1169</v>
      </c>
      <c r="F60" s="17">
        <f t="shared" si="50"/>
        <v>38.93333333333333</v>
      </c>
      <c r="G60" s="17">
        <f t="shared" si="51"/>
        <v>38.733333333333334</v>
      </c>
      <c r="H60" s="17">
        <f t="shared" si="52"/>
        <v>38.6</v>
      </c>
      <c r="I60" s="17">
        <f t="shared" si="53"/>
        <v>38.533333333333331</v>
      </c>
      <c r="J60" s="17">
        <f t="shared" si="54"/>
        <v>38.4</v>
      </c>
      <c r="K60" s="17">
        <f t="shared" si="55"/>
        <v>38.333333333333336</v>
      </c>
      <c r="L60" s="17">
        <f t="shared" si="56"/>
        <v>38.200000000000003</v>
      </c>
      <c r="M60" s="17">
        <f t="shared" si="57"/>
        <v>38</v>
      </c>
    </row>
    <row r="61" spans="1:13" x14ac:dyDescent="0.35">
      <c r="B61" s="2">
        <v>30</v>
      </c>
      <c r="C61" s="2">
        <f t="shared" si="48"/>
        <v>199</v>
      </c>
      <c r="D61" s="2">
        <v>169</v>
      </c>
      <c r="E61" s="3">
        <f t="shared" si="49"/>
        <v>1183</v>
      </c>
      <c r="F61" s="17">
        <f t="shared" si="50"/>
        <v>39.4</v>
      </c>
      <c r="G61" s="17">
        <f t="shared" si="51"/>
        <v>39.200000000000003</v>
      </c>
      <c r="H61" s="17">
        <f t="shared" si="52"/>
        <v>39.06666666666667</v>
      </c>
      <c r="I61" s="17">
        <f t="shared" si="53"/>
        <v>39</v>
      </c>
      <c r="J61" s="17">
        <f t="shared" si="54"/>
        <v>38.866666666666667</v>
      </c>
      <c r="K61" s="17">
        <f t="shared" si="55"/>
        <v>38.799999999999997</v>
      </c>
      <c r="L61" s="17">
        <f t="shared" si="56"/>
        <v>38.666666666666664</v>
      </c>
      <c r="M61" s="17">
        <f t="shared" si="57"/>
        <v>38.466666666666669</v>
      </c>
    </row>
    <row r="62" spans="1:13" x14ac:dyDescent="0.35">
      <c r="B62" s="2">
        <v>30</v>
      </c>
      <c r="C62" s="2">
        <f t="shared" si="48"/>
        <v>203</v>
      </c>
      <c r="D62" s="2">
        <v>173</v>
      </c>
      <c r="E62" s="3">
        <f t="shared" si="49"/>
        <v>1211</v>
      </c>
      <c r="F62" s="17">
        <f t="shared" si="50"/>
        <v>40.333333333333336</v>
      </c>
      <c r="G62" s="17">
        <f t="shared" si="51"/>
        <v>40.133333333333333</v>
      </c>
      <c r="H62" s="17">
        <f t="shared" si="52"/>
        <v>40</v>
      </c>
      <c r="I62" s="17">
        <f t="shared" si="53"/>
        <v>39.93333333333333</v>
      </c>
      <c r="J62" s="17">
        <f t="shared" si="54"/>
        <v>39.799999999999997</v>
      </c>
      <c r="K62" s="17">
        <f t="shared" si="55"/>
        <v>39.733333333333334</v>
      </c>
      <c r="L62" s="17">
        <f t="shared" si="56"/>
        <v>39.6</v>
      </c>
      <c r="M62" s="17">
        <f t="shared" si="57"/>
        <v>39.4</v>
      </c>
    </row>
    <row r="63" spans="1:13" x14ac:dyDescent="0.35">
      <c r="B63" s="2">
        <v>30</v>
      </c>
      <c r="C63" s="2">
        <f t="shared" si="48"/>
        <v>209</v>
      </c>
      <c r="D63" s="2">
        <v>179</v>
      </c>
      <c r="E63" s="3">
        <f t="shared" si="49"/>
        <v>1253</v>
      </c>
      <c r="F63" s="17">
        <f t="shared" si="50"/>
        <v>41.733333333333334</v>
      </c>
      <c r="G63" s="17">
        <f t="shared" si="51"/>
        <v>41.533333333333331</v>
      </c>
      <c r="H63" s="17">
        <f t="shared" si="52"/>
        <v>41.4</v>
      </c>
      <c r="I63" s="17">
        <f t="shared" si="53"/>
        <v>41.333333333333336</v>
      </c>
      <c r="J63" s="17">
        <f t="shared" si="54"/>
        <v>41.2</v>
      </c>
      <c r="K63" s="17">
        <f t="shared" si="55"/>
        <v>41.133333333333333</v>
      </c>
      <c r="L63" s="17">
        <f t="shared" si="56"/>
        <v>41</v>
      </c>
      <c r="M63" s="17">
        <f t="shared" si="57"/>
        <v>40.799999999999997</v>
      </c>
    </row>
    <row r="64" spans="1:13" ht="16.8" thickBot="1" x14ac:dyDescent="0.4">
      <c r="F64" s="17"/>
      <c r="G64" s="17"/>
      <c r="H64" s="17"/>
      <c r="I64" s="17"/>
      <c r="J64" s="17"/>
      <c r="K64" s="17"/>
      <c r="L64" s="17"/>
      <c r="M64" s="17"/>
    </row>
    <row r="65" spans="1:13" ht="16.8" thickBot="1" x14ac:dyDescent="0.4">
      <c r="A65" s="1">
        <v>7</v>
      </c>
      <c r="C65" s="18" t="s">
        <v>2</v>
      </c>
      <c r="E65" s="13">
        <f>E46</f>
        <v>847</v>
      </c>
      <c r="F65" s="19">
        <v>1</v>
      </c>
      <c r="G65" s="20">
        <v>7</v>
      </c>
      <c r="H65" s="20">
        <v>11</v>
      </c>
      <c r="I65" s="20">
        <v>13</v>
      </c>
      <c r="J65" s="20">
        <v>17</v>
      </c>
      <c r="K65" s="20">
        <v>19</v>
      </c>
      <c r="L65" s="20">
        <v>23</v>
      </c>
      <c r="M65" s="21">
        <v>29</v>
      </c>
    </row>
    <row r="66" spans="1:13" x14ac:dyDescent="0.35">
      <c r="B66" s="2">
        <v>30</v>
      </c>
      <c r="C66" s="2">
        <f>D66+B66</f>
        <v>211</v>
      </c>
      <c r="D66" s="2">
        <v>181</v>
      </c>
      <c r="E66" s="3">
        <f>D66*$E$5</f>
        <v>1267</v>
      </c>
      <c r="F66" s="17">
        <f>(E66-1)/30</f>
        <v>42.2</v>
      </c>
      <c r="G66" s="17">
        <f>($E66-7)/30</f>
        <v>42</v>
      </c>
      <c r="H66" s="17">
        <f>($E66-11)/30</f>
        <v>41.866666666666667</v>
      </c>
      <c r="I66" s="17">
        <f>($E66-13)/30</f>
        <v>41.8</v>
      </c>
      <c r="J66" s="17">
        <f>($E66-17)/30</f>
        <v>41.666666666666664</v>
      </c>
      <c r="K66" s="17">
        <f>($E66-19)/30</f>
        <v>41.6</v>
      </c>
      <c r="L66" s="17">
        <f>($E66-23)/30</f>
        <v>41.466666666666669</v>
      </c>
      <c r="M66" s="17">
        <f>($E66-29)/30</f>
        <v>41.266666666666666</v>
      </c>
    </row>
    <row r="67" spans="1:13" x14ac:dyDescent="0.35">
      <c r="B67" s="2">
        <v>30</v>
      </c>
      <c r="C67" s="2">
        <f t="shared" ref="C67:C73" si="58">D67+B67</f>
        <v>217</v>
      </c>
      <c r="D67" s="2">
        <v>187</v>
      </c>
      <c r="E67" s="3">
        <f t="shared" ref="E67:E73" si="59">D67*$E$5</f>
        <v>1309</v>
      </c>
      <c r="F67" s="17">
        <f t="shared" ref="F67:F73" si="60">(E67-1)/30</f>
        <v>43.6</v>
      </c>
      <c r="G67" s="17">
        <f t="shared" ref="G67:G73" si="61">($E67-7)/30</f>
        <v>43.4</v>
      </c>
      <c r="H67" s="17">
        <f t="shared" ref="H67:H73" si="62">($E67-11)/30</f>
        <v>43.266666666666666</v>
      </c>
      <c r="I67" s="17">
        <f t="shared" ref="I67:I73" si="63">($E67-13)/30</f>
        <v>43.2</v>
      </c>
      <c r="J67" s="17">
        <f t="shared" ref="J67:J73" si="64">($E67-17)/30</f>
        <v>43.06666666666667</v>
      </c>
      <c r="K67" s="17">
        <f t="shared" ref="K67:K73" si="65">($E67-19)/30</f>
        <v>43</v>
      </c>
      <c r="L67" s="17">
        <f t="shared" ref="L67:L73" si="66">($E67-23)/30</f>
        <v>42.866666666666667</v>
      </c>
      <c r="M67" s="17">
        <f t="shared" ref="M67:M73" si="67">($E67-29)/30</f>
        <v>42.666666666666664</v>
      </c>
    </row>
    <row r="68" spans="1:13" x14ac:dyDescent="0.35">
      <c r="B68" s="2">
        <v>30</v>
      </c>
      <c r="C68" s="2">
        <f t="shared" si="58"/>
        <v>221</v>
      </c>
      <c r="D68" s="2">
        <v>191</v>
      </c>
      <c r="E68" s="3">
        <f t="shared" si="59"/>
        <v>1337</v>
      </c>
      <c r="F68" s="17">
        <f t="shared" si="60"/>
        <v>44.533333333333331</v>
      </c>
      <c r="G68" s="17">
        <f t="shared" si="61"/>
        <v>44.333333333333336</v>
      </c>
      <c r="H68" s="17">
        <f t="shared" si="62"/>
        <v>44.2</v>
      </c>
      <c r="I68" s="17">
        <f t="shared" si="63"/>
        <v>44.133333333333333</v>
      </c>
      <c r="J68" s="17">
        <f t="shared" si="64"/>
        <v>44</v>
      </c>
      <c r="K68" s="17">
        <f t="shared" si="65"/>
        <v>43.93333333333333</v>
      </c>
      <c r="L68" s="17">
        <f t="shared" si="66"/>
        <v>43.8</v>
      </c>
      <c r="M68" s="17">
        <f t="shared" si="67"/>
        <v>43.6</v>
      </c>
    </row>
    <row r="69" spans="1:13" x14ac:dyDescent="0.35">
      <c r="B69" s="2">
        <v>30</v>
      </c>
      <c r="C69" s="2">
        <f t="shared" si="58"/>
        <v>223</v>
      </c>
      <c r="D69" s="2">
        <v>193</v>
      </c>
      <c r="E69" s="3">
        <f t="shared" si="59"/>
        <v>1351</v>
      </c>
      <c r="F69" s="17">
        <f t="shared" si="60"/>
        <v>45</v>
      </c>
      <c r="G69" s="17">
        <f t="shared" si="61"/>
        <v>44.8</v>
      </c>
      <c r="H69" s="17">
        <f t="shared" si="62"/>
        <v>44.666666666666664</v>
      </c>
      <c r="I69" s="17">
        <f t="shared" si="63"/>
        <v>44.6</v>
      </c>
      <c r="J69" s="17">
        <f t="shared" si="64"/>
        <v>44.466666666666669</v>
      </c>
      <c r="K69" s="17">
        <f t="shared" si="65"/>
        <v>44.4</v>
      </c>
      <c r="L69" s="17">
        <f t="shared" si="66"/>
        <v>44.266666666666666</v>
      </c>
      <c r="M69" s="17">
        <f t="shared" si="67"/>
        <v>44.06666666666667</v>
      </c>
    </row>
    <row r="70" spans="1:13" x14ac:dyDescent="0.35">
      <c r="B70" s="2">
        <v>30</v>
      </c>
      <c r="C70" s="2">
        <f t="shared" si="58"/>
        <v>227</v>
      </c>
      <c r="D70" s="2">
        <v>197</v>
      </c>
      <c r="E70" s="3">
        <f t="shared" si="59"/>
        <v>1379</v>
      </c>
      <c r="F70" s="17">
        <f t="shared" si="60"/>
        <v>45.93333333333333</v>
      </c>
      <c r="G70" s="17">
        <f t="shared" si="61"/>
        <v>45.733333333333334</v>
      </c>
      <c r="H70" s="17">
        <f t="shared" si="62"/>
        <v>45.6</v>
      </c>
      <c r="I70" s="17">
        <f t="shared" si="63"/>
        <v>45.533333333333331</v>
      </c>
      <c r="J70" s="17">
        <f t="shared" si="64"/>
        <v>45.4</v>
      </c>
      <c r="K70" s="17">
        <f t="shared" si="65"/>
        <v>45.333333333333336</v>
      </c>
      <c r="L70" s="17">
        <f t="shared" si="66"/>
        <v>45.2</v>
      </c>
      <c r="M70" s="17">
        <f t="shared" si="67"/>
        <v>45</v>
      </c>
    </row>
    <row r="71" spans="1:13" x14ac:dyDescent="0.35">
      <c r="B71" s="2">
        <v>30</v>
      </c>
      <c r="C71" s="2">
        <f t="shared" si="58"/>
        <v>229</v>
      </c>
      <c r="D71" s="2">
        <v>199</v>
      </c>
      <c r="E71" s="3">
        <f t="shared" si="59"/>
        <v>1393</v>
      </c>
      <c r="F71" s="17">
        <f t="shared" si="60"/>
        <v>46.4</v>
      </c>
      <c r="G71" s="17">
        <f t="shared" si="61"/>
        <v>46.2</v>
      </c>
      <c r="H71" s="17">
        <f t="shared" si="62"/>
        <v>46.06666666666667</v>
      </c>
      <c r="I71" s="17">
        <f t="shared" si="63"/>
        <v>46</v>
      </c>
      <c r="J71" s="17">
        <f t="shared" si="64"/>
        <v>45.866666666666667</v>
      </c>
      <c r="K71" s="17">
        <f t="shared" si="65"/>
        <v>45.8</v>
      </c>
      <c r="L71" s="17">
        <f t="shared" si="66"/>
        <v>45.666666666666664</v>
      </c>
      <c r="M71" s="17">
        <f t="shared" si="67"/>
        <v>45.466666666666669</v>
      </c>
    </row>
    <row r="72" spans="1:13" x14ac:dyDescent="0.35">
      <c r="B72" s="2">
        <v>30</v>
      </c>
      <c r="C72" s="2">
        <f t="shared" si="58"/>
        <v>233</v>
      </c>
      <c r="D72" s="2">
        <v>203</v>
      </c>
      <c r="E72" s="3">
        <f t="shared" si="59"/>
        <v>1421</v>
      </c>
      <c r="F72" s="17">
        <f t="shared" si="60"/>
        <v>47.333333333333336</v>
      </c>
      <c r="G72" s="17">
        <f t="shared" si="61"/>
        <v>47.133333333333333</v>
      </c>
      <c r="H72" s="17">
        <f t="shared" si="62"/>
        <v>47</v>
      </c>
      <c r="I72" s="17">
        <f t="shared" si="63"/>
        <v>46.93333333333333</v>
      </c>
      <c r="J72" s="17">
        <f t="shared" si="64"/>
        <v>46.8</v>
      </c>
      <c r="K72" s="17">
        <f t="shared" si="65"/>
        <v>46.733333333333334</v>
      </c>
      <c r="L72" s="17">
        <f t="shared" si="66"/>
        <v>46.6</v>
      </c>
      <c r="M72" s="17">
        <f t="shared" si="67"/>
        <v>46.4</v>
      </c>
    </row>
    <row r="73" spans="1:13" x14ac:dyDescent="0.35">
      <c r="B73" s="2">
        <v>30</v>
      </c>
      <c r="C73" s="2">
        <f t="shared" si="58"/>
        <v>239</v>
      </c>
      <c r="D73" s="2">
        <v>209</v>
      </c>
      <c r="E73" s="3">
        <f t="shared" si="59"/>
        <v>1463</v>
      </c>
      <c r="F73" s="17">
        <f t="shared" si="60"/>
        <v>48.733333333333334</v>
      </c>
      <c r="G73" s="17">
        <f t="shared" si="61"/>
        <v>48.533333333333331</v>
      </c>
      <c r="H73" s="17">
        <f t="shared" si="62"/>
        <v>48.4</v>
      </c>
      <c r="I73" s="17">
        <f t="shared" si="63"/>
        <v>48.333333333333336</v>
      </c>
      <c r="J73" s="17">
        <f t="shared" si="64"/>
        <v>48.2</v>
      </c>
      <c r="K73" s="17">
        <f t="shared" si="65"/>
        <v>48.133333333333333</v>
      </c>
      <c r="L73" s="17">
        <f t="shared" si="66"/>
        <v>48</v>
      </c>
      <c r="M73" s="17">
        <f t="shared" si="67"/>
        <v>47.8</v>
      </c>
    </row>
    <row r="74" spans="1:13" ht="16.8" thickBot="1" x14ac:dyDescent="0.4">
      <c r="F74" s="17"/>
      <c r="G74" s="17"/>
      <c r="H74" s="17"/>
      <c r="I74" s="17"/>
      <c r="J74" s="17"/>
      <c r="K74" s="17"/>
      <c r="L74" s="17"/>
      <c r="M74" s="17"/>
    </row>
    <row r="75" spans="1:13" ht="16.8" thickBot="1" x14ac:dyDescent="0.4">
      <c r="A75" s="1">
        <v>8</v>
      </c>
      <c r="C75" s="18" t="s">
        <v>2</v>
      </c>
      <c r="E75" s="13">
        <f>E56</f>
        <v>1057</v>
      </c>
      <c r="F75" s="19">
        <v>1</v>
      </c>
      <c r="G75" s="20">
        <v>7</v>
      </c>
      <c r="H75" s="20">
        <v>11</v>
      </c>
      <c r="I75" s="20">
        <v>13</v>
      </c>
      <c r="J75" s="20">
        <v>17</v>
      </c>
      <c r="K75" s="20">
        <v>19</v>
      </c>
      <c r="L75" s="20">
        <v>23</v>
      </c>
      <c r="M75" s="21">
        <v>29</v>
      </c>
    </row>
    <row r="76" spans="1:13" x14ac:dyDescent="0.35">
      <c r="B76" s="2">
        <v>30</v>
      </c>
      <c r="C76" s="2">
        <f>D76+B76</f>
        <v>241</v>
      </c>
      <c r="D76" s="2">
        <v>211</v>
      </c>
      <c r="E76" s="3">
        <f>D76*$E$5</f>
        <v>1477</v>
      </c>
      <c r="F76" s="17">
        <f>(E76-1)/30</f>
        <v>49.2</v>
      </c>
      <c r="G76" s="17">
        <f>($E76-7)/30</f>
        <v>49</v>
      </c>
      <c r="H76" s="17">
        <f>($E76-11)/30</f>
        <v>48.866666666666667</v>
      </c>
      <c r="I76" s="17">
        <f>($E76-13)/30</f>
        <v>48.8</v>
      </c>
      <c r="J76" s="17">
        <f>($E76-17)/30</f>
        <v>48.666666666666664</v>
      </c>
      <c r="K76" s="17">
        <f>($E76-19)/30</f>
        <v>48.6</v>
      </c>
      <c r="L76" s="17">
        <f>($E76-23)/30</f>
        <v>48.466666666666669</v>
      </c>
      <c r="M76" s="17">
        <f>($E76-29)/30</f>
        <v>48.266666666666666</v>
      </c>
    </row>
    <row r="77" spans="1:13" x14ac:dyDescent="0.35">
      <c r="B77" s="2">
        <v>30</v>
      </c>
      <c r="C77" s="2">
        <f t="shared" ref="C77:C83" si="68">D77+B77</f>
        <v>247</v>
      </c>
      <c r="D77" s="2">
        <v>217</v>
      </c>
      <c r="E77" s="3">
        <f t="shared" ref="E77:E83" si="69">D77*$E$5</f>
        <v>1519</v>
      </c>
      <c r="F77" s="17">
        <f t="shared" ref="F77:F83" si="70">(E77-1)/30</f>
        <v>50.6</v>
      </c>
      <c r="G77" s="17">
        <f t="shared" ref="G77:G83" si="71">($E77-7)/30</f>
        <v>50.4</v>
      </c>
      <c r="H77" s="17">
        <f t="shared" ref="H77:H83" si="72">($E77-11)/30</f>
        <v>50.266666666666666</v>
      </c>
      <c r="I77" s="17">
        <f t="shared" ref="I77:I83" si="73">($E77-13)/30</f>
        <v>50.2</v>
      </c>
      <c r="J77" s="17">
        <f t="shared" ref="J77:J83" si="74">($E77-17)/30</f>
        <v>50.06666666666667</v>
      </c>
      <c r="K77" s="17">
        <f t="shared" ref="K77:K83" si="75">($E77-19)/30</f>
        <v>50</v>
      </c>
      <c r="L77" s="17">
        <f t="shared" ref="L77:L83" si="76">($E77-23)/30</f>
        <v>49.866666666666667</v>
      </c>
      <c r="M77" s="17">
        <f t="shared" ref="M77:M83" si="77">($E77-29)/30</f>
        <v>49.666666666666664</v>
      </c>
    </row>
    <row r="78" spans="1:13" x14ac:dyDescent="0.35">
      <c r="B78" s="2">
        <v>30</v>
      </c>
      <c r="C78" s="2">
        <f t="shared" si="68"/>
        <v>251</v>
      </c>
      <c r="D78" s="2">
        <v>221</v>
      </c>
      <c r="E78" s="3">
        <f t="shared" si="69"/>
        <v>1547</v>
      </c>
      <c r="F78" s="17">
        <f t="shared" si="70"/>
        <v>51.533333333333331</v>
      </c>
      <c r="G78" s="17">
        <f t="shared" si="71"/>
        <v>51.333333333333336</v>
      </c>
      <c r="H78" s="17">
        <f t="shared" si="72"/>
        <v>51.2</v>
      </c>
      <c r="I78" s="17">
        <f t="shared" si="73"/>
        <v>51.133333333333333</v>
      </c>
      <c r="J78" s="17">
        <f t="shared" si="74"/>
        <v>51</v>
      </c>
      <c r="K78" s="17">
        <f t="shared" si="75"/>
        <v>50.93333333333333</v>
      </c>
      <c r="L78" s="17">
        <f t="shared" si="76"/>
        <v>50.8</v>
      </c>
      <c r="M78" s="17">
        <f t="shared" si="77"/>
        <v>50.6</v>
      </c>
    </row>
    <row r="79" spans="1:13" x14ac:dyDescent="0.35">
      <c r="B79" s="2">
        <v>30</v>
      </c>
      <c r="C79" s="2">
        <f t="shared" si="68"/>
        <v>253</v>
      </c>
      <c r="D79" s="2">
        <v>223</v>
      </c>
      <c r="E79" s="3">
        <f t="shared" si="69"/>
        <v>1561</v>
      </c>
      <c r="F79" s="17">
        <f t="shared" si="70"/>
        <v>52</v>
      </c>
      <c r="G79" s="17">
        <f t="shared" si="71"/>
        <v>51.8</v>
      </c>
      <c r="H79" s="17">
        <f t="shared" si="72"/>
        <v>51.666666666666664</v>
      </c>
      <c r="I79" s="17">
        <f t="shared" si="73"/>
        <v>51.6</v>
      </c>
      <c r="J79" s="17">
        <f t="shared" si="74"/>
        <v>51.466666666666669</v>
      </c>
      <c r="K79" s="17">
        <f t="shared" si="75"/>
        <v>51.4</v>
      </c>
      <c r="L79" s="17">
        <f t="shared" si="76"/>
        <v>51.266666666666666</v>
      </c>
      <c r="M79" s="17">
        <f t="shared" si="77"/>
        <v>51.06666666666667</v>
      </c>
    </row>
    <row r="80" spans="1:13" x14ac:dyDescent="0.35">
      <c r="B80" s="2">
        <v>30</v>
      </c>
      <c r="C80" s="2">
        <f t="shared" si="68"/>
        <v>257</v>
      </c>
      <c r="D80" s="2">
        <v>227</v>
      </c>
      <c r="E80" s="3">
        <f t="shared" si="69"/>
        <v>1589</v>
      </c>
      <c r="F80" s="17">
        <f t="shared" si="70"/>
        <v>52.93333333333333</v>
      </c>
      <c r="G80" s="17">
        <f t="shared" si="71"/>
        <v>52.733333333333334</v>
      </c>
      <c r="H80" s="17">
        <f t="shared" si="72"/>
        <v>52.6</v>
      </c>
      <c r="I80" s="17">
        <f t="shared" si="73"/>
        <v>52.533333333333331</v>
      </c>
      <c r="J80" s="17">
        <f t="shared" si="74"/>
        <v>52.4</v>
      </c>
      <c r="K80" s="17">
        <f t="shared" si="75"/>
        <v>52.333333333333336</v>
      </c>
      <c r="L80" s="17">
        <f t="shared" si="76"/>
        <v>52.2</v>
      </c>
      <c r="M80" s="17">
        <f t="shared" si="77"/>
        <v>52</v>
      </c>
    </row>
    <row r="81" spans="1:13" x14ac:dyDescent="0.35">
      <c r="B81" s="2">
        <v>30</v>
      </c>
      <c r="C81" s="2">
        <f t="shared" si="68"/>
        <v>259</v>
      </c>
      <c r="D81" s="2">
        <v>229</v>
      </c>
      <c r="E81" s="3">
        <f t="shared" si="69"/>
        <v>1603</v>
      </c>
      <c r="F81" s="17">
        <f t="shared" si="70"/>
        <v>53.4</v>
      </c>
      <c r="G81" s="17">
        <f t="shared" si="71"/>
        <v>53.2</v>
      </c>
      <c r="H81" s="17">
        <f t="shared" si="72"/>
        <v>53.06666666666667</v>
      </c>
      <c r="I81" s="17">
        <f t="shared" si="73"/>
        <v>53</v>
      </c>
      <c r="J81" s="17">
        <f t="shared" si="74"/>
        <v>52.866666666666667</v>
      </c>
      <c r="K81" s="17">
        <f t="shared" si="75"/>
        <v>52.8</v>
      </c>
      <c r="L81" s="17">
        <f t="shared" si="76"/>
        <v>52.666666666666664</v>
      </c>
      <c r="M81" s="17">
        <f t="shared" si="77"/>
        <v>52.466666666666669</v>
      </c>
    </row>
    <row r="82" spans="1:13" x14ac:dyDescent="0.35">
      <c r="B82" s="2">
        <v>30</v>
      </c>
      <c r="C82" s="2">
        <f t="shared" si="68"/>
        <v>263</v>
      </c>
      <c r="D82" s="2">
        <v>233</v>
      </c>
      <c r="E82" s="3">
        <f t="shared" si="69"/>
        <v>1631</v>
      </c>
      <c r="F82" s="17">
        <f t="shared" si="70"/>
        <v>54.333333333333336</v>
      </c>
      <c r="G82" s="17">
        <f t="shared" si="71"/>
        <v>54.133333333333333</v>
      </c>
      <c r="H82" s="17">
        <f t="shared" si="72"/>
        <v>54</v>
      </c>
      <c r="I82" s="17">
        <f t="shared" si="73"/>
        <v>53.93333333333333</v>
      </c>
      <c r="J82" s="17">
        <f t="shared" si="74"/>
        <v>53.8</v>
      </c>
      <c r="K82" s="17">
        <f t="shared" si="75"/>
        <v>53.733333333333334</v>
      </c>
      <c r="L82" s="17">
        <f t="shared" si="76"/>
        <v>53.6</v>
      </c>
      <c r="M82" s="17">
        <f t="shared" si="77"/>
        <v>53.4</v>
      </c>
    </row>
    <row r="83" spans="1:13" x14ac:dyDescent="0.35">
      <c r="B83" s="2">
        <v>30</v>
      </c>
      <c r="C83" s="2">
        <f t="shared" si="68"/>
        <v>269</v>
      </c>
      <c r="D83" s="2">
        <v>239</v>
      </c>
      <c r="E83" s="3">
        <f t="shared" si="69"/>
        <v>1673</v>
      </c>
      <c r="F83" s="17">
        <f t="shared" si="70"/>
        <v>55.733333333333334</v>
      </c>
      <c r="G83" s="17">
        <f t="shared" si="71"/>
        <v>55.533333333333331</v>
      </c>
      <c r="H83" s="17">
        <f t="shared" si="72"/>
        <v>55.4</v>
      </c>
      <c r="I83" s="17">
        <f t="shared" si="73"/>
        <v>55.333333333333336</v>
      </c>
      <c r="J83" s="17">
        <f t="shared" si="74"/>
        <v>55.2</v>
      </c>
      <c r="K83" s="17">
        <f t="shared" si="75"/>
        <v>55.133333333333333</v>
      </c>
      <c r="L83" s="17">
        <f t="shared" si="76"/>
        <v>55</v>
      </c>
      <c r="M83" s="17">
        <f t="shared" si="77"/>
        <v>54.8</v>
      </c>
    </row>
    <row r="84" spans="1:13" ht="16.8" thickBot="1" x14ac:dyDescent="0.4">
      <c r="F84" s="17"/>
      <c r="G84" s="17"/>
      <c r="H84" s="17"/>
      <c r="I84" s="17"/>
      <c r="J84" s="17"/>
      <c r="K84" s="17"/>
      <c r="L84" s="17"/>
      <c r="M84" s="17"/>
    </row>
    <row r="85" spans="1:13" ht="16.8" thickBot="1" x14ac:dyDescent="0.4">
      <c r="A85" s="1">
        <v>9</v>
      </c>
      <c r="C85" s="18" t="s">
        <v>2</v>
      </c>
      <c r="E85" s="13">
        <f>E66</f>
        <v>1267</v>
      </c>
      <c r="F85" s="19">
        <v>1</v>
      </c>
      <c r="G85" s="20">
        <v>7</v>
      </c>
      <c r="H85" s="20">
        <v>11</v>
      </c>
      <c r="I85" s="20">
        <v>13</v>
      </c>
      <c r="J85" s="20">
        <v>17</v>
      </c>
      <c r="K85" s="20">
        <v>19</v>
      </c>
      <c r="L85" s="20">
        <v>23</v>
      </c>
      <c r="M85" s="21">
        <v>29</v>
      </c>
    </row>
    <row r="86" spans="1:13" x14ac:dyDescent="0.35">
      <c r="B86" s="2">
        <v>30</v>
      </c>
      <c r="C86" s="2">
        <f>D86+B86</f>
        <v>271</v>
      </c>
      <c r="D86" s="2">
        <v>241</v>
      </c>
      <c r="E86" s="3">
        <f>D86*$E$5</f>
        <v>1687</v>
      </c>
      <c r="F86" s="17">
        <f>(E86-1)/30</f>
        <v>56.2</v>
      </c>
      <c r="G86" s="17">
        <f>($E86-7)/30</f>
        <v>56</v>
      </c>
      <c r="H86" s="17">
        <f>($E86-11)/30</f>
        <v>55.866666666666667</v>
      </c>
      <c r="I86" s="17">
        <f>($E86-13)/30</f>
        <v>55.8</v>
      </c>
      <c r="J86" s="17">
        <f>($E86-17)/30</f>
        <v>55.666666666666664</v>
      </c>
      <c r="K86" s="17">
        <f>($E86-19)/30</f>
        <v>55.6</v>
      </c>
      <c r="L86" s="17">
        <f>($E86-23)/30</f>
        <v>55.466666666666669</v>
      </c>
      <c r="M86" s="17">
        <f>($E86-29)/30</f>
        <v>55.266666666666666</v>
      </c>
    </row>
    <row r="87" spans="1:13" x14ac:dyDescent="0.35">
      <c r="B87" s="2">
        <v>30</v>
      </c>
      <c r="C87" s="2">
        <f t="shared" ref="C87:C93" si="78">D87+B87</f>
        <v>277</v>
      </c>
      <c r="D87" s="2">
        <v>247</v>
      </c>
      <c r="E87" s="3">
        <f t="shared" ref="E87:E93" si="79">D87*$E$5</f>
        <v>1729</v>
      </c>
      <c r="F87" s="17">
        <f t="shared" ref="F87:F93" si="80">(E87-1)/30</f>
        <v>57.6</v>
      </c>
      <c r="G87" s="17">
        <f t="shared" ref="G87:G93" si="81">($E87-7)/30</f>
        <v>57.4</v>
      </c>
      <c r="H87" s="17">
        <f t="shared" ref="H87:H93" si="82">($E87-11)/30</f>
        <v>57.266666666666666</v>
      </c>
      <c r="I87" s="17">
        <f t="shared" ref="I87:I93" si="83">($E87-13)/30</f>
        <v>57.2</v>
      </c>
      <c r="J87" s="17">
        <f t="shared" ref="J87:J93" si="84">($E87-17)/30</f>
        <v>57.06666666666667</v>
      </c>
      <c r="K87" s="17">
        <f t="shared" ref="K87:K93" si="85">($E87-19)/30</f>
        <v>57</v>
      </c>
      <c r="L87" s="17">
        <f t="shared" ref="L87:L93" si="86">($E87-23)/30</f>
        <v>56.866666666666667</v>
      </c>
      <c r="M87" s="17">
        <f t="shared" ref="M87:M93" si="87">($E87-29)/30</f>
        <v>56.666666666666664</v>
      </c>
    </row>
    <row r="88" spans="1:13" x14ac:dyDescent="0.35">
      <c r="B88" s="2">
        <v>30</v>
      </c>
      <c r="C88" s="2">
        <f t="shared" si="78"/>
        <v>281</v>
      </c>
      <c r="D88" s="2">
        <v>251</v>
      </c>
      <c r="E88" s="3">
        <f t="shared" si="79"/>
        <v>1757</v>
      </c>
      <c r="F88" s="17">
        <f t="shared" si="80"/>
        <v>58.533333333333331</v>
      </c>
      <c r="G88" s="17">
        <f t="shared" si="81"/>
        <v>58.333333333333336</v>
      </c>
      <c r="H88" s="17">
        <f t="shared" si="82"/>
        <v>58.2</v>
      </c>
      <c r="I88" s="17">
        <f t="shared" si="83"/>
        <v>58.133333333333333</v>
      </c>
      <c r="J88" s="17">
        <f t="shared" si="84"/>
        <v>58</v>
      </c>
      <c r="K88" s="17">
        <f t="shared" si="85"/>
        <v>57.93333333333333</v>
      </c>
      <c r="L88" s="17">
        <f t="shared" si="86"/>
        <v>57.8</v>
      </c>
      <c r="M88" s="17">
        <f t="shared" si="87"/>
        <v>57.6</v>
      </c>
    </row>
    <row r="89" spans="1:13" x14ac:dyDescent="0.35">
      <c r="B89" s="2">
        <v>30</v>
      </c>
      <c r="C89" s="2">
        <f t="shared" si="78"/>
        <v>283</v>
      </c>
      <c r="D89" s="2">
        <v>253</v>
      </c>
      <c r="E89" s="3">
        <f t="shared" si="79"/>
        <v>1771</v>
      </c>
      <c r="F89" s="17">
        <f t="shared" si="80"/>
        <v>59</v>
      </c>
      <c r="G89" s="17">
        <f t="shared" si="81"/>
        <v>58.8</v>
      </c>
      <c r="H89" s="17">
        <f t="shared" si="82"/>
        <v>58.666666666666664</v>
      </c>
      <c r="I89" s="17">
        <f t="shared" si="83"/>
        <v>58.6</v>
      </c>
      <c r="J89" s="17">
        <f t="shared" si="84"/>
        <v>58.466666666666669</v>
      </c>
      <c r="K89" s="17">
        <f t="shared" si="85"/>
        <v>58.4</v>
      </c>
      <c r="L89" s="17">
        <f t="shared" si="86"/>
        <v>58.266666666666666</v>
      </c>
      <c r="M89" s="17">
        <f t="shared" si="87"/>
        <v>58.06666666666667</v>
      </c>
    </row>
    <row r="90" spans="1:13" x14ac:dyDescent="0.35">
      <c r="B90" s="2">
        <v>30</v>
      </c>
      <c r="C90" s="2">
        <f t="shared" si="78"/>
        <v>287</v>
      </c>
      <c r="D90" s="2">
        <v>257</v>
      </c>
      <c r="E90" s="3">
        <f t="shared" si="79"/>
        <v>1799</v>
      </c>
      <c r="F90" s="17">
        <f t="shared" si="80"/>
        <v>59.93333333333333</v>
      </c>
      <c r="G90" s="17">
        <f t="shared" si="81"/>
        <v>59.733333333333334</v>
      </c>
      <c r="H90" s="17">
        <f t="shared" si="82"/>
        <v>59.6</v>
      </c>
      <c r="I90" s="17">
        <f t="shared" si="83"/>
        <v>59.533333333333331</v>
      </c>
      <c r="J90" s="17">
        <f t="shared" si="84"/>
        <v>59.4</v>
      </c>
      <c r="K90" s="17">
        <f t="shared" si="85"/>
        <v>59.333333333333336</v>
      </c>
      <c r="L90" s="17">
        <f t="shared" si="86"/>
        <v>59.2</v>
      </c>
      <c r="M90" s="17">
        <f t="shared" si="87"/>
        <v>59</v>
      </c>
    </row>
    <row r="91" spans="1:13" x14ac:dyDescent="0.35">
      <c r="B91" s="2">
        <v>30</v>
      </c>
      <c r="C91" s="2">
        <f t="shared" si="78"/>
        <v>289</v>
      </c>
      <c r="D91" s="2">
        <v>259</v>
      </c>
      <c r="E91" s="3">
        <f t="shared" si="79"/>
        <v>1813</v>
      </c>
      <c r="F91" s="17">
        <f t="shared" si="80"/>
        <v>60.4</v>
      </c>
      <c r="G91" s="17">
        <f t="shared" si="81"/>
        <v>60.2</v>
      </c>
      <c r="H91" s="17">
        <f t="shared" si="82"/>
        <v>60.06666666666667</v>
      </c>
      <c r="I91" s="17">
        <f t="shared" si="83"/>
        <v>60</v>
      </c>
      <c r="J91" s="17">
        <f t="shared" si="84"/>
        <v>59.866666666666667</v>
      </c>
      <c r="K91" s="17">
        <f t="shared" si="85"/>
        <v>59.8</v>
      </c>
      <c r="L91" s="17">
        <f t="shared" si="86"/>
        <v>59.666666666666664</v>
      </c>
      <c r="M91" s="17">
        <f t="shared" si="87"/>
        <v>59.466666666666669</v>
      </c>
    </row>
    <row r="92" spans="1:13" x14ac:dyDescent="0.35">
      <c r="B92" s="2">
        <v>30</v>
      </c>
      <c r="C92" s="2">
        <f t="shared" si="78"/>
        <v>293</v>
      </c>
      <c r="D92" s="2">
        <v>263</v>
      </c>
      <c r="E92" s="3">
        <f t="shared" si="79"/>
        <v>1841</v>
      </c>
      <c r="F92" s="17">
        <f t="shared" si="80"/>
        <v>61.333333333333336</v>
      </c>
      <c r="G92" s="17">
        <f t="shared" si="81"/>
        <v>61.133333333333333</v>
      </c>
      <c r="H92" s="17">
        <f t="shared" si="82"/>
        <v>61</v>
      </c>
      <c r="I92" s="17">
        <f t="shared" si="83"/>
        <v>60.93333333333333</v>
      </c>
      <c r="J92" s="17">
        <f t="shared" si="84"/>
        <v>60.8</v>
      </c>
      <c r="K92" s="17">
        <f t="shared" si="85"/>
        <v>60.733333333333334</v>
      </c>
      <c r="L92" s="17">
        <f t="shared" si="86"/>
        <v>60.6</v>
      </c>
      <c r="M92" s="17">
        <f t="shared" si="87"/>
        <v>60.4</v>
      </c>
    </row>
    <row r="93" spans="1:13" x14ac:dyDescent="0.35">
      <c r="B93" s="2">
        <v>30</v>
      </c>
      <c r="C93" s="2">
        <f t="shared" si="78"/>
        <v>299</v>
      </c>
      <c r="D93" s="2">
        <v>269</v>
      </c>
      <c r="E93" s="3">
        <f t="shared" si="79"/>
        <v>1883</v>
      </c>
      <c r="F93" s="17">
        <f t="shared" si="80"/>
        <v>62.733333333333334</v>
      </c>
      <c r="G93" s="17">
        <f t="shared" si="81"/>
        <v>62.533333333333331</v>
      </c>
      <c r="H93" s="17">
        <f t="shared" si="82"/>
        <v>62.4</v>
      </c>
      <c r="I93" s="17">
        <f t="shared" si="83"/>
        <v>62.333333333333336</v>
      </c>
      <c r="J93" s="17">
        <f t="shared" si="84"/>
        <v>62.2</v>
      </c>
      <c r="K93" s="17">
        <f t="shared" si="85"/>
        <v>62.133333333333333</v>
      </c>
      <c r="L93" s="17">
        <f t="shared" si="86"/>
        <v>62</v>
      </c>
      <c r="M93" s="17">
        <f t="shared" si="87"/>
        <v>61.8</v>
      </c>
    </row>
    <row r="94" spans="1:13" ht="16.8" thickBot="1" x14ac:dyDescent="0.4">
      <c r="F94" s="17"/>
      <c r="G94" s="17"/>
      <c r="H94" s="17"/>
      <c r="I94" s="17"/>
      <c r="J94" s="17"/>
      <c r="K94" s="17"/>
      <c r="L94" s="17"/>
      <c r="M94" s="17"/>
    </row>
    <row r="95" spans="1:13" ht="16.8" thickBot="1" x14ac:dyDescent="0.4">
      <c r="A95" s="1">
        <v>10</v>
      </c>
      <c r="C95" s="18" t="s">
        <v>2</v>
      </c>
      <c r="E95" s="13">
        <f>E76</f>
        <v>1477</v>
      </c>
      <c r="F95" s="19">
        <v>1</v>
      </c>
      <c r="G95" s="20">
        <v>7</v>
      </c>
      <c r="H95" s="20">
        <v>11</v>
      </c>
      <c r="I95" s="20">
        <v>13</v>
      </c>
      <c r="J95" s="20">
        <v>17</v>
      </c>
      <c r="K95" s="20">
        <v>19</v>
      </c>
      <c r="L95" s="20">
        <v>23</v>
      </c>
      <c r="M95" s="21">
        <v>29</v>
      </c>
    </row>
    <row r="96" spans="1:13" x14ac:dyDescent="0.35">
      <c r="B96" s="2">
        <v>30</v>
      </c>
      <c r="C96" s="2">
        <f>D96+B96</f>
        <v>301</v>
      </c>
      <c r="D96" s="2">
        <f>C86</f>
        <v>271</v>
      </c>
      <c r="E96" s="3">
        <f>D96*$E$5</f>
        <v>1897</v>
      </c>
      <c r="F96" s="17">
        <f>(E96-1)/30</f>
        <v>63.2</v>
      </c>
      <c r="G96" s="17">
        <f>($E96-7)/30</f>
        <v>63</v>
      </c>
      <c r="H96" s="17">
        <f>($E96-11)/30</f>
        <v>62.866666666666667</v>
      </c>
      <c r="I96" s="17">
        <f>($E96-13)/30</f>
        <v>62.8</v>
      </c>
      <c r="J96" s="17">
        <f>($E96-17)/30</f>
        <v>62.666666666666664</v>
      </c>
      <c r="K96" s="17">
        <f>($E96-19)/30</f>
        <v>62.6</v>
      </c>
      <c r="L96" s="17">
        <f>($E96-23)/30</f>
        <v>62.466666666666669</v>
      </c>
      <c r="M96" s="17">
        <f>($E96-29)/30</f>
        <v>62.266666666666666</v>
      </c>
    </row>
    <row r="97" spans="1:13" x14ac:dyDescent="0.35">
      <c r="B97" s="2">
        <v>30</v>
      </c>
      <c r="C97" s="2">
        <f t="shared" ref="C97:C103" si="88">D97+B97</f>
        <v>307</v>
      </c>
      <c r="D97" s="2">
        <f t="shared" ref="D97:D103" si="89">C87</f>
        <v>277</v>
      </c>
      <c r="E97" s="3">
        <f t="shared" ref="E97:E103" si="90">D97*$E$5</f>
        <v>1939</v>
      </c>
      <c r="F97" s="17">
        <f t="shared" ref="F97:F103" si="91">(E97-1)/30</f>
        <v>64.599999999999994</v>
      </c>
      <c r="G97" s="17">
        <f t="shared" ref="G97:G103" si="92">($E97-7)/30</f>
        <v>64.400000000000006</v>
      </c>
      <c r="H97" s="17">
        <f t="shared" ref="H97:H103" si="93">($E97-11)/30</f>
        <v>64.266666666666666</v>
      </c>
      <c r="I97" s="17">
        <f t="shared" ref="I97:I103" si="94">($E97-13)/30</f>
        <v>64.2</v>
      </c>
      <c r="J97" s="17">
        <f t="shared" ref="J97:J103" si="95">($E97-17)/30</f>
        <v>64.066666666666663</v>
      </c>
      <c r="K97" s="17">
        <f t="shared" ref="K97:K103" si="96">($E97-19)/30</f>
        <v>64</v>
      </c>
      <c r="L97" s="17">
        <f t="shared" ref="L97:L103" si="97">($E97-23)/30</f>
        <v>63.866666666666667</v>
      </c>
      <c r="M97" s="17">
        <f t="shared" ref="M97:M103" si="98">($E97-29)/30</f>
        <v>63.666666666666664</v>
      </c>
    </row>
    <row r="98" spans="1:13" x14ac:dyDescent="0.35">
      <c r="B98" s="2">
        <v>30</v>
      </c>
      <c r="C98" s="2">
        <f t="shared" si="88"/>
        <v>311</v>
      </c>
      <c r="D98" s="2">
        <f t="shared" si="89"/>
        <v>281</v>
      </c>
      <c r="E98" s="3">
        <f t="shared" si="90"/>
        <v>1967</v>
      </c>
      <c r="F98" s="17">
        <f t="shared" si="91"/>
        <v>65.533333333333331</v>
      </c>
      <c r="G98" s="17">
        <f t="shared" si="92"/>
        <v>65.333333333333329</v>
      </c>
      <c r="H98" s="17">
        <f t="shared" si="93"/>
        <v>65.2</v>
      </c>
      <c r="I98" s="17">
        <f t="shared" si="94"/>
        <v>65.13333333333334</v>
      </c>
      <c r="J98" s="17">
        <f t="shared" si="95"/>
        <v>65</v>
      </c>
      <c r="K98" s="17">
        <f t="shared" si="96"/>
        <v>64.933333333333337</v>
      </c>
      <c r="L98" s="17">
        <f t="shared" si="97"/>
        <v>64.8</v>
      </c>
      <c r="M98" s="17">
        <f t="shared" si="98"/>
        <v>64.599999999999994</v>
      </c>
    </row>
    <row r="99" spans="1:13" x14ac:dyDescent="0.35">
      <c r="B99" s="2">
        <v>30</v>
      </c>
      <c r="C99" s="2">
        <f t="shared" si="88"/>
        <v>313</v>
      </c>
      <c r="D99" s="2">
        <f t="shared" si="89"/>
        <v>283</v>
      </c>
      <c r="E99" s="3">
        <f t="shared" si="90"/>
        <v>1981</v>
      </c>
      <c r="F99" s="17">
        <f t="shared" si="91"/>
        <v>66</v>
      </c>
      <c r="G99" s="17">
        <f t="shared" si="92"/>
        <v>65.8</v>
      </c>
      <c r="H99" s="17">
        <f t="shared" si="93"/>
        <v>65.666666666666671</v>
      </c>
      <c r="I99" s="17">
        <f t="shared" si="94"/>
        <v>65.599999999999994</v>
      </c>
      <c r="J99" s="17">
        <f t="shared" si="95"/>
        <v>65.466666666666669</v>
      </c>
      <c r="K99" s="17">
        <f t="shared" si="96"/>
        <v>65.400000000000006</v>
      </c>
      <c r="L99" s="17">
        <f t="shared" si="97"/>
        <v>65.266666666666666</v>
      </c>
      <c r="M99" s="17">
        <f t="shared" si="98"/>
        <v>65.066666666666663</v>
      </c>
    </row>
    <row r="100" spans="1:13" x14ac:dyDescent="0.35">
      <c r="B100" s="2">
        <v>30</v>
      </c>
      <c r="C100" s="2">
        <f t="shared" si="88"/>
        <v>317</v>
      </c>
      <c r="D100" s="2">
        <f t="shared" si="89"/>
        <v>287</v>
      </c>
      <c r="E100" s="3">
        <f t="shared" si="90"/>
        <v>2009</v>
      </c>
      <c r="F100" s="17">
        <f t="shared" si="91"/>
        <v>66.933333333333337</v>
      </c>
      <c r="G100" s="17">
        <f t="shared" si="92"/>
        <v>66.733333333333334</v>
      </c>
      <c r="H100" s="17">
        <f t="shared" si="93"/>
        <v>66.599999999999994</v>
      </c>
      <c r="I100" s="17">
        <f t="shared" si="94"/>
        <v>66.533333333333331</v>
      </c>
      <c r="J100" s="17">
        <f t="shared" si="95"/>
        <v>66.400000000000006</v>
      </c>
      <c r="K100" s="17">
        <f t="shared" si="96"/>
        <v>66.333333333333329</v>
      </c>
      <c r="L100" s="17">
        <f t="shared" si="97"/>
        <v>66.2</v>
      </c>
      <c r="M100" s="17">
        <f t="shared" si="98"/>
        <v>66</v>
      </c>
    </row>
    <row r="101" spans="1:13" x14ac:dyDescent="0.35">
      <c r="B101" s="2">
        <v>30</v>
      </c>
      <c r="C101" s="2">
        <f t="shared" si="88"/>
        <v>319</v>
      </c>
      <c r="D101" s="2">
        <f t="shared" si="89"/>
        <v>289</v>
      </c>
      <c r="E101" s="3">
        <f t="shared" si="90"/>
        <v>2023</v>
      </c>
      <c r="F101" s="17">
        <f t="shared" si="91"/>
        <v>67.400000000000006</v>
      </c>
      <c r="G101" s="17">
        <f t="shared" si="92"/>
        <v>67.2</v>
      </c>
      <c r="H101" s="17">
        <f t="shared" si="93"/>
        <v>67.066666666666663</v>
      </c>
      <c r="I101" s="17">
        <f t="shared" si="94"/>
        <v>67</v>
      </c>
      <c r="J101" s="17">
        <f t="shared" si="95"/>
        <v>66.86666666666666</v>
      </c>
      <c r="K101" s="17">
        <f t="shared" si="96"/>
        <v>66.8</v>
      </c>
      <c r="L101" s="17">
        <f t="shared" si="97"/>
        <v>66.666666666666671</v>
      </c>
      <c r="M101" s="17">
        <f t="shared" si="98"/>
        <v>66.466666666666669</v>
      </c>
    </row>
    <row r="102" spans="1:13" x14ac:dyDescent="0.35">
      <c r="B102" s="2">
        <v>30</v>
      </c>
      <c r="C102" s="2">
        <f t="shared" si="88"/>
        <v>323</v>
      </c>
      <c r="D102" s="2">
        <f t="shared" si="89"/>
        <v>293</v>
      </c>
      <c r="E102" s="3">
        <f t="shared" si="90"/>
        <v>2051</v>
      </c>
      <c r="F102" s="17">
        <f t="shared" si="91"/>
        <v>68.333333333333329</v>
      </c>
      <c r="G102" s="17">
        <f t="shared" si="92"/>
        <v>68.13333333333334</v>
      </c>
      <c r="H102" s="17">
        <f t="shared" si="93"/>
        <v>68</v>
      </c>
      <c r="I102" s="17">
        <f t="shared" si="94"/>
        <v>67.933333333333337</v>
      </c>
      <c r="J102" s="17">
        <f t="shared" si="95"/>
        <v>67.8</v>
      </c>
      <c r="K102" s="17">
        <f t="shared" si="96"/>
        <v>67.733333333333334</v>
      </c>
      <c r="L102" s="17">
        <f t="shared" si="97"/>
        <v>67.599999999999994</v>
      </c>
      <c r="M102" s="17">
        <f t="shared" si="98"/>
        <v>67.400000000000006</v>
      </c>
    </row>
    <row r="103" spans="1:13" x14ac:dyDescent="0.35">
      <c r="B103" s="2">
        <v>30</v>
      </c>
      <c r="C103" s="2">
        <f t="shared" si="88"/>
        <v>329</v>
      </c>
      <c r="D103" s="2">
        <f t="shared" si="89"/>
        <v>299</v>
      </c>
      <c r="E103" s="3">
        <f t="shared" si="90"/>
        <v>2093</v>
      </c>
      <c r="F103" s="17">
        <f t="shared" si="91"/>
        <v>69.733333333333334</v>
      </c>
      <c r="G103" s="17">
        <f t="shared" si="92"/>
        <v>69.533333333333331</v>
      </c>
      <c r="H103" s="17">
        <f t="shared" si="93"/>
        <v>69.400000000000006</v>
      </c>
      <c r="I103" s="17">
        <f t="shared" si="94"/>
        <v>69.333333333333329</v>
      </c>
      <c r="J103" s="17">
        <f t="shared" si="95"/>
        <v>69.2</v>
      </c>
      <c r="K103" s="17">
        <f t="shared" si="96"/>
        <v>69.13333333333334</v>
      </c>
      <c r="L103" s="17">
        <f t="shared" si="97"/>
        <v>69</v>
      </c>
      <c r="M103" s="17">
        <f t="shared" si="98"/>
        <v>68.8</v>
      </c>
    </row>
    <row r="104" spans="1:13" ht="16.8" thickBot="1" x14ac:dyDescent="0.4">
      <c r="F104" s="17"/>
      <c r="G104" s="17"/>
      <c r="H104" s="17"/>
      <c r="I104" s="17"/>
      <c r="J104" s="17"/>
      <c r="K104" s="17"/>
      <c r="L104" s="17"/>
      <c r="M104" s="17"/>
    </row>
    <row r="105" spans="1:13" ht="16.8" thickBot="1" x14ac:dyDescent="0.4">
      <c r="A105" s="1">
        <v>11</v>
      </c>
      <c r="C105" s="18" t="s">
        <v>2</v>
      </c>
      <c r="E105" s="13">
        <f>E86</f>
        <v>1687</v>
      </c>
      <c r="F105" s="19">
        <v>1</v>
      </c>
      <c r="G105" s="20">
        <v>7</v>
      </c>
      <c r="H105" s="20">
        <v>11</v>
      </c>
      <c r="I105" s="20">
        <v>13</v>
      </c>
      <c r="J105" s="20">
        <v>17</v>
      </c>
      <c r="K105" s="20">
        <v>19</v>
      </c>
      <c r="L105" s="20">
        <v>23</v>
      </c>
      <c r="M105" s="21">
        <v>29</v>
      </c>
    </row>
    <row r="106" spans="1:13" x14ac:dyDescent="0.35">
      <c r="B106" s="2">
        <v>30</v>
      </c>
      <c r="C106" s="2">
        <f>D106+B106</f>
        <v>331</v>
      </c>
      <c r="D106" s="2">
        <f>C96</f>
        <v>301</v>
      </c>
      <c r="E106" s="3">
        <f>D106*$E$5</f>
        <v>2107</v>
      </c>
      <c r="F106" s="17">
        <f>(E106-1)/30</f>
        <v>70.2</v>
      </c>
      <c r="G106" s="17">
        <f>($E106-7)/30</f>
        <v>70</v>
      </c>
      <c r="H106" s="17">
        <f>($E106-11)/30</f>
        <v>69.86666666666666</v>
      </c>
      <c r="I106" s="17">
        <f>($E106-13)/30</f>
        <v>69.8</v>
      </c>
      <c r="J106" s="17">
        <f>($E106-17)/30</f>
        <v>69.666666666666671</v>
      </c>
      <c r="K106" s="17">
        <f>($E106-19)/30</f>
        <v>69.599999999999994</v>
      </c>
      <c r="L106" s="17">
        <f>($E106-23)/30</f>
        <v>69.466666666666669</v>
      </c>
      <c r="M106" s="17">
        <f>($E106-29)/30</f>
        <v>69.266666666666666</v>
      </c>
    </row>
    <row r="107" spans="1:13" x14ac:dyDescent="0.35">
      <c r="B107" s="2">
        <v>30</v>
      </c>
      <c r="C107" s="2">
        <f t="shared" ref="C107:C113" si="99">D107+B107</f>
        <v>337</v>
      </c>
      <c r="D107" s="2">
        <f t="shared" ref="D107:D113" si="100">C97</f>
        <v>307</v>
      </c>
      <c r="E107" s="3">
        <f t="shared" ref="E107:E113" si="101">D107*$E$5</f>
        <v>2149</v>
      </c>
      <c r="F107" s="17">
        <f t="shared" ref="F107:F113" si="102">(E107-1)/30</f>
        <v>71.599999999999994</v>
      </c>
      <c r="G107" s="17">
        <f t="shared" ref="G107:G113" si="103">($E107-7)/30</f>
        <v>71.400000000000006</v>
      </c>
      <c r="H107" s="17">
        <f t="shared" ref="H107:H113" si="104">($E107-11)/30</f>
        <v>71.266666666666666</v>
      </c>
      <c r="I107" s="17">
        <f t="shared" ref="I107:I113" si="105">($E107-13)/30</f>
        <v>71.2</v>
      </c>
      <c r="J107" s="17">
        <f t="shared" ref="J107:J113" si="106">($E107-17)/30</f>
        <v>71.066666666666663</v>
      </c>
      <c r="K107" s="17">
        <f t="shared" ref="K107:K113" si="107">($E107-19)/30</f>
        <v>71</v>
      </c>
      <c r="L107" s="17">
        <f t="shared" ref="L107:L113" si="108">($E107-23)/30</f>
        <v>70.86666666666666</v>
      </c>
      <c r="M107" s="17">
        <f t="shared" ref="M107:M113" si="109">($E107-29)/30</f>
        <v>70.666666666666671</v>
      </c>
    </row>
    <row r="108" spans="1:13" x14ac:dyDescent="0.35">
      <c r="B108" s="2">
        <v>30</v>
      </c>
      <c r="C108" s="2">
        <f t="shared" si="99"/>
        <v>341</v>
      </c>
      <c r="D108" s="2">
        <f t="shared" si="100"/>
        <v>311</v>
      </c>
      <c r="E108" s="3">
        <f t="shared" si="101"/>
        <v>2177</v>
      </c>
      <c r="F108" s="17">
        <f t="shared" si="102"/>
        <v>72.533333333333331</v>
      </c>
      <c r="G108" s="17">
        <f t="shared" si="103"/>
        <v>72.333333333333329</v>
      </c>
      <c r="H108" s="17">
        <f t="shared" si="104"/>
        <v>72.2</v>
      </c>
      <c r="I108" s="17">
        <f t="shared" si="105"/>
        <v>72.13333333333334</v>
      </c>
      <c r="J108" s="17">
        <f t="shared" si="106"/>
        <v>72</v>
      </c>
      <c r="K108" s="17">
        <f t="shared" si="107"/>
        <v>71.933333333333337</v>
      </c>
      <c r="L108" s="17">
        <f t="shared" si="108"/>
        <v>71.8</v>
      </c>
      <c r="M108" s="17">
        <f t="shared" si="109"/>
        <v>71.599999999999994</v>
      </c>
    </row>
    <row r="109" spans="1:13" x14ac:dyDescent="0.35">
      <c r="B109" s="2">
        <v>30</v>
      </c>
      <c r="C109" s="2">
        <f t="shared" si="99"/>
        <v>343</v>
      </c>
      <c r="D109" s="2">
        <f t="shared" si="100"/>
        <v>313</v>
      </c>
      <c r="E109" s="3">
        <f t="shared" si="101"/>
        <v>2191</v>
      </c>
      <c r="F109" s="17">
        <f t="shared" si="102"/>
        <v>73</v>
      </c>
      <c r="G109" s="17">
        <f t="shared" si="103"/>
        <v>72.8</v>
      </c>
      <c r="H109" s="17">
        <f t="shared" si="104"/>
        <v>72.666666666666671</v>
      </c>
      <c r="I109" s="17">
        <f t="shared" si="105"/>
        <v>72.599999999999994</v>
      </c>
      <c r="J109" s="17">
        <f t="shared" si="106"/>
        <v>72.466666666666669</v>
      </c>
      <c r="K109" s="17">
        <f t="shared" si="107"/>
        <v>72.400000000000006</v>
      </c>
      <c r="L109" s="17">
        <f t="shared" si="108"/>
        <v>72.266666666666666</v>
      </c>
      <c r="M109" s="17">
        <f t="shared" si="109"/>
        <v>72.066666666666663</v>
      </c>
    </row>
    <row r="110" spans="1:13" x14ac:dyDescent="0.35">
      <c r="B110" s="2">
        <v>30</v>
      </c>
      <c r="C110" s="2">
        <f t="shared" si="99"/>
        <v>347</v>
      </c>
      <c r="D110" s="2">
        <f t="shared" si="100"/>
        <v>317</v>
      </c>
      <c r="E110" s="3">
        <f t="shared" si="101"/>
        <v>2219</v>
      </c>
      <c r="F110" s="17">
        <f t="shared" si="102"/>
        <v>73.933333333333337</v>
      </c>
      <c r="G110" s="17">
        <f t="shared" si="103"/>
        <v>73.733333333333334</v>
      </c>
      <c r="H110" s="17">
        <f t="shared" si="104"/>
        <v>73.599999999999994</v>
      </c>
      <c r="I110" s="17">
        <f t="shared" si="105"/>
        <v>73.533333333333331</v>
      </c>
      <c r="J110" s="17">
        <f t="shared" si="106"/>
        <v>73.400000000000006</v>
      </c>
      <c r="K110" s="17">
        <f t="shared" si="107"/>
        <v>73.333333333333329</v>
      </c>
      <c r="L110" s="17">
        <f t="shared" si="108"/>
        <v>73.2</v>
      </c>
      <c r="M110" s="17">
        <f t="shared" si="109"/>
        <v>73</v>
      </c>
    </row>
    <row r="111" spans="1:13" x14ac:dyDescent="0.35">
      <c r="B111" s="2">
        <v>30</v>
      </c>
      <c r="C111" s="2">
        <f t="shared" si="99"/>
        <v>349</v>
      </c>
      <c r="D111" s="2">
        <f t="shared" si="100"/>
        <v>319</v>
      </c>
      <c r="E111" s="3">
        <f t="shared" si="101"/>
        <v>2233</v>
      </c>
      <c r="F111" s="17">
        <f t="shared" si="102"/>
        <v>74.400000000000006</v>
      </c>
      <c r="G111" s="17">
        <f t="shared" si="103"/>
        <v>74.2</v>
      </c>
      <c r="H111" s="17">
        <f t="shared" si="104"/>
        <v>74.066666666666663</v>
      </c>
      <c r="I111" s="17">
        <f t="shared" si="105"/>
        <v>74</v>
      </c>
      <c r="J111" s="17">
        <f t="shared" si="106"/>
        <v>73.86666666666666</v>
      </c>
      <c r="K111" s="17">
        <f t="shared" si="107"/>
        <v>73.8</v>
      </c>
      <c r="L111" s="17">
        <f t="shared" si="108"/>
        <v>73.666666666666671</v>
      </c>
      <c r="M111" s="17">
        <f t="shared" si="109"/>
        <v>73.466666666666669</v>
      </c>
    </row>
    <row r="112" spans="1:13" x14ac:dyDescent="0.35">
      <c r="B112" s="2">
        <v>30</v>
      </c>
      <c r="C112" s="2">
        <f t="shared" si="99"/>
        <v>353</v>
      </c>
      <c r="D112" s="2">
        <f t="shared" si="100"/>
        <v>323</v>
      </c>
      <c r="E112" s="3">
        <f t="shared" si="101"/>
        <v>2261</v>
      </c>
      <c r="F112" s="17">
        <f t="shared" si="102"/>
        <v>75.333333333333329</v>
      </c>
      <c r="G112" s="17">
        <f t="shared" si="103"/>
        <v>75.13333333333334</v>
      </c>
      <c r="H112" s="17">
        <f t="shared" si="104"/>
        <v>75</v>
      </c>
      <c r="I112" s="17">
        <f t="shared" si="105"/>
        <v>74.933333333333337</v>
      </c>
      <c r="J112" s="17">
        <f t="shared" si="106"/>
        <v>74.8</v>
      </c>
      <c r="K112" s="17">
        <f t="shared" si="107"/>
        <v>74.733333333333334</v>
      </c>
      <c r="L112" s="17">
        <f t="shared" si="108"/>
        <v>74.599999999999994</v>
      </c>
      <c r="M112" s="17">
        <f t="shared" si="109"/>
        <v>74.400000000000006</v>
      </c>
    </row>
    <row r="113" spans="1:13" x14ac:dyDescent="0.35">
      <c r="B113" s="2">
        <v>30</v>
      </c>
      <c r="C113" s="2">
        <f t="shared" si="99"/>
        <v>359</v>
      </c>
      <c r="D113" s="2">
        <f t="shared" si="100"/>
        <v>329</v>
      </c>
      <c r="E113" s="3">
        <f t="shared" si="101"/>
        <v>2303</v>
      </c>
      <c r="F113" s="17">
        <f t="shared" si="102"/>
        <v>76.733333333333334</v>
      </c>
      <c r="G113" s="17">
        <f t="shared" si="103"/>
        <v>76.533333333333331</v>
      </c>
      <c r="H113" s="17">
        <f t="shared" si="104"/>
        <v>76.400000000000006</v>
      </c>
      <c r="I113" s="17">
        <f t="shared" si="105"/>
        <v>76.333333333333329</v>
      </c>
      <c r="J113" s="17">
        <f t="shared" si="106"/>
        <v>76.2</v>
      </c>
      <c r="K113" s="17">
        <f t="shared" si="107"/>
        <v>76.13333333333334</v>
      </c>
      <c r="L113" s="17">
        <f t="shared" si="108"/>
        <v>76</v>
      </c>
      <c r="M113" s="17">
        <f t="shared" si="109"/>
        <v>75.8</v>
      </c>
    </row>
    <row r="114" spans="1:13" ht="16.8" thickBot="1" x14ac:dyDescent="0.4">
      <c r="F114" s="17"/>
      <c r="G114" s="17"/>
      <c r="H114" s="17"/>
      <c r="I114" s="17"/>
      <c r="J114" s="17"/>
      <c r="K114" s="17"/>
      <c r="L114" s="17"/>
      <c r="M114" s="17"/>
    </row>
    <row r="115" spans="1:13" ht="16.8" thickBot="1" x14ac:dyDescent="0.4">
      <c r="A115" s="1">
        <v>12</v>
      </c>
      <c r="C115" s="18" t="s">
        <v>2</v>
      </c>
      <c r="E115" s="13">
        <f>E96</f>
        <v>1897</v>
      </c>
      <c r="F115" s="19">
        <v>1</v>
      </c>
      <c r="G115" s="20">
        <v>7</v>
      </c>
      <c r="H115" s="20">
        <v>11</v>
      </c>
      <c r="I115" s="20">
        <v>13</v>
      </c>
      <c r="J115" s="20">
        <v>17</v>
      </c>
      <c r="K115" s="20">
        <v>19</v>
      </c>
      <c r="L115" s="20">
        <v>23</v>
      </c>
      <c r="M115" s="21">
        <v>29</v>
      </c>
    </row>
    <row r="116" spans="1:13" x14ac:dyDescent="0.35">
      <c r="B116" s="2">
        <v>30</v>
      </c>
      <c r="C116" s="2">
        <f>D116+B116</f>
        <v>361</v>
      </c>
      <c r="D116" s="2">
        <f>C106</f>
        <v>331</v>
      </c>
      <c r="E116" s="3">
        <f>D116*$E$5</f>
        <v>2317</v>
      </c>
      <c r="F116" s="17">
        <f>(E116-1)/30</f>
        <v>77.2</v>
      </c>
      <c r="G116" s="17">
        <f>($E116-7)/30</f>
        <v>77</v>
      </c>
      <c r="H116" s="17">
        <f>($E116-11)/30</f>
        <v>76.86666666666666</v>
      </c>
      <c r="I116" s="17">
        <f>($E116-13)/30</f>
        <v>76.8</v>
      </c>
      <c r="J116" s="17">
        <f>($E116-17)/30</f>
        <v>76.666666666666671</v>
      </c>
      <c r="K116" s="17">
        <f>($E116-19)/30</f>
        <v>76.599999999999994</v>
      </c>
      <c r="L116" s="17">
        <f>($E116-23)/30</f>
        <v>76.466666666666669</v>
      </c>
      <c r="M116" s="17">
        <f>($E116-29)/30</f>
        <v>76.266666666666666</v>
      </c>
    </row>
    <row r="117" spans="1:13" x14ac:dyDescent="0.35">
      <c r="B117" s="2">
        <v>30</v>
      </c>
      <c r="C117" s="2">
        <f t="shared" ref="C117:C123" si="110">D117+B117</f>
        <v>367</v>
      </c>
      <c r="D117" s="2">
        <f t="shared" ref="D117:D123" si="111">C107</f>
        <v>337</v>
      </c>
      <c r="E117" s="3">
        <f t="shared" ref="E117:E123" si="112">D117*$E$5</f>
        <v>2359</v>
      </c>
      <c r="F117" s="17">
        <f t="shared" ref="F117:F123" si="113">(E117-1)/30</f>
        <v>78.599999999999994</v>
      </c>
      <c r="G117" s="17">
        <f t="shared" ref="G117:G123" si="114">($E117-7)/30</f>
        <v>78.400000000000006</v>
      </c>
      <c r="H117" s="17">
        <f t="shared" ref="H117:H123" si="115">($E117-11)/30</f>
        <v>78.266666666666666</v>
      </c>
      <c r="I117" s="17">
        <f t="shared" ref="I117:I123" si="116">($E117-13)/30</f>
        <v>78.2</v>
      </c>
      <c r="J117" s="17">
        <f t="shared" ref="J117:J123" si="117">($E117-17)/30</f>
        <v>78.066666666666663</v>
      </c>
      <c r="K117" s="17">
        <f t="shared" ref="K117:K123" si="118">($E117-19)/30</f>
        <v>78</v>
      </c>
      <c r="L117" s="17">
        <f t="shared" ref="L117:L123" si="119">($E117-23)/30</f>
        <v>77.86666666666666</v>
      </c>
      <c r="M117" s="17">
        <f t="shared" ref="M117:M123" si="120">($E117-29)/30</f>
        <v>77.666666666666671</v>
      </c>
    </row>
    <row r="118" spans="1:13" x14ac:dyDescent="0.35">
      <c r="B118" s="2">
        <v>30</v>
      </c>
      <c r="C118" s="2">
        <f t="shared" si="110"/>
        <v>371</v>
      </c>
      <c r="D118" s="2">
        <f t="shared" si="111"/>
        <v>341</v>
      </c>
      <c r="E118" s="3">
        <f t="shared" si="112"/>
        <v>2387</v>
      </c>
      <c r="F118" s="17">
        <f t="shared" si="113"/>
        <v>79.533333333333331</v>
      </c>
      <c r="G118" s="17">
        <f t="shared" si="114"/>
        <v>79.333333333333329</v>
      </c>
      <c r="H118" s="17">
        <f t="shared" si="115"/>
        <v>79.2</v>
      </c>
      <c r="I118" s="17">
        <f t="shared" si="116"/>
        <v>79.13333333333334</v>
      </c>
      <c r="J118" s="17">
        <f t="shared" si="117"/>
        <v>79</v>
      </c>
      <c r="K118" s="17">
        <f t="shared" si="118"/>
        <v>78.933333333333337</v>
      </c>
      <c r="L118" s="17">
        <f t="shared" si="119"/>
        <v>78.8</v>
      </c>
      <c r="M118" s="17">
        <f t="shared" si="120"/>
        <v>78.599999999999994</v>
      </c>
    </row>
    <row r="119" spans="1:13" x14ac:dyDescent="0.35">
      <c r="B119" s="2">
        <v>30</v>
      </c>
      <c r="C119" s="2">
        <f t="shared" si="110"/>
        <v>373</v>
      </c>
      <c r="D119" s="2">
        <f t="shared" si="111"/>
        <v>343</v>
      </c>
      <c r="E119" s="3">
        <f t="shared" si="112"/>
        <v>2401</v>
      </c>
      <c r="F119" s="17">
        <f t="shared" si="113"/>
        <v>80</v>
      </c>
      <c r="G119" s="17">
        <f t="shared" si="114"/>
        <v>79.8</v>
      </c>
      <c r="H119" s="17">
        <f t="shared" si="115"/>
        <v>79.666666666666671</v>
      </c>
      <c r="I119" s="17">
        <f t="shared" si="116"/>
        <v>79.599999999999994</v>
      </c>
      <c r="J119" s="17">
        <f t="shared" si="117"/>
        <v>79.466666666666669</v>
      </c>
      <c r="K119" s="17">
        <f t="shared" si="118"/>
        <v>79.400000000000006</v>
      </c>
      <c r="L119" s="17">
        <f t="shared" si="119"/>
        <v>79.266666666666666</v>
      </c>
      <c r="M119" s="17">
        <f t="shared" si="120"/>
        <v>79.066666666666663</v>
      </c>
    </row>
    <row r="120" spans="1:13" x14ac:dyDescent="0.35">
      <c r="B120" s="2">
        <v>30</v>
      </c>
      <c r="C120" s="2">
        <f t="shared" si="110"/>
        <v>377</v>
      </c>
      <c r="D120" s="2">
        <f t="shared" si="111"/>
        <v>347</v>
      </c>
      <c r="E120" s="3">
        <f t="shared" si="112"/>
        <v>2429</v>
      </c>
      <c r="F120" s="17">
        <f t="shared" si="113"/>
        <v>80.933333333333337</v>
      </c>
      <c r="G120" s="17">
        <f t="shared" si="114"/>
        <v>80.733333333333334</v>
      </c>
      <c r="H120" s="17">
        <f t="shared" si="115"/>
        <v>80.599999999999994</v>
      </c>
      <c r="I120" s="17">
        <f t="shared" si="116"/>
        <v>80.533333333333331</v>
      </c>
      <c r="J120" s="17">
        <f t="shared" si="117"/>
        <v>80.400000000000006</v>
      </c>
      <c r="K120" s="17">
        <f t="shared" si="118"/>
        <v>80.333333333333329</v>
      </c>
      <c r="L120" s="17">
        <f t="shared" si="119"/>
        <v>80.2</v>
      </c>
      <c r="M120" s="17">
        <f t="shared" si="120"/>
        <v>80</v>
      </c>
    </row>
    <row r="121" spans="1:13" x14ac:dyDescent="0.35">
      <c r="B121" s="2">
        <v>30</v>
      </c>
      <c r="C121" s="2">
        <f t="shared" si="110"/>
        <v>379</v>
      </c>
      <c r="D121" s="2">
        <f t="shared" si="111"/>
        <v>349</v>
      </c>
      <c r="E121" s="3">
        <f t="shared" si="112"/>
        <v>2443</v>
      </c>
      <c r="F121" s="17">
        <f t="shared" si="113"/>
        <v>81.400000000000006</v>
      </c>
      <c r="G121" s="17">
        <f t="shared" si="114"/>
        <v>81.2</v>
      </c>
      <c r="H121" s="17">
        <f t="shared" si="115"/>
        <v>81.066666666666663</v>
      </c>
      <c r="I121" s="17">
        <f t="shared" si="116"/>
        <v>81</v>
      </c>
      <c r="J121" s="17">
        <f t="shared" si="117"/>
        <v>80.86666666666666</v>
      </c>
      <c r="K121" s="17">
        <f t="shared" si="118"/>
        <v>80.8</v>
      </c>
      <c r="L121" s="17">
        <f t="shared" si="119"/>
        <v>80.666666666666671</v>
      </c>
      <c r="M121" s="17">
        <f t="shared" si="120"/>
        <v>80.466666666666669</v>
      </c>
    </row>
    <row r="122" spans="1:13" x14ac:dyDescent="0.35">
      <c r="B122" s="2">
        <v>30</v>
      </c>
      <c r="C122" s="2">
        <f t="shared" si="110"/>
        <v>383</v>
      </c>
      <c r="D122" s="2">
        <f t="shared" si="111"/>
        <v>353</v>
      </c>
      <c r="E122" s="3">
        <f t="shared" si="112"/>
        <v>2471</v>
      </c>
      <c r="F122" s="17">
        <f t="shared" si="113"/>
        <v>82.333333333333329</v>
      </c>
      <c r="G122" s="17">
        <f t="shared" si="114"/>
        <v>82.13333333333334</v>
      </c>
      <c r="H122" s="17">
        <f t="shared" si="115"/>
        <v>82</v>
      </c>
      <c r="I122" s="17">
        <f t="shared" si="116"/>
        <v>81.933333333333337</v>
      </c>
      <c r="J122" s="17">
        <f t="shared" si="117"/>
        <v>81.8</v>
      </c>
      <c r="K122" s="17">
        <f t="shared" si="118"/>
        <v>81.733333333333334</v>
      </c>
      <c r="L122" s="17">
        <f t="shared" si="119"/>
        <v>81.599999999999994</v>
      </c>
      <c r="M122" s="17">
        <f t="shared" si="120"/>
        <v>81.400000000000006</v>
      </c>
    </row>
    <row r="123" spans="1:13" x14ac:dyDescent="0.35">
      <c r="B123" s="2">
        <v>30</v>
      </c>
      <c r="C123" s="2">
        <f t="shared" si="110"/>
        <v>389</v>
      </c>
      <c r="D123" s="2">
        <f t="shared" si="111"/>
        <v>359</v>
      </c>
      <c r="E123" s="3">
        <f t="shared" si="112"/>
        <v>2513</v>
      </c>
      <c r="F123" s="17">
        <f t="shared" si="113"/>
        <v>83.733333333333334</v>
      </c>
      <c r="G123" s="17">
        <f t="shared" si="114"/>
        <v>83.533333333333331</v>
      </c>
      <c r="H123" s="17">
        <f t="shared" si="115"/>
        <v>83.4</v>
      </c>
      <c r="I123" s="17">
        <f t="shared" si="116"/>
        <v>83.333333333333329</v>
      </c>
      <c r="J123" s="17">
        <f t="shared" si="117"/>
        <v>83.2</v>
      </c>
      <c r="K123" s="17">
        <f t="shared" si="118"/>
        <v>83.13333333333334</v>
      </c>
      <c r="L123" s="17">
        <f t="shared" si="119"/>
        <v>83</v>
      </c>
      <c r="M123" s="17">
        <f t="shared" si="120"/>
        <v>82.8</v>
      </c>
    </row>
    <row r="124" spans="1:13" ht="16.8" thickBot="1" x14ac:dyDescent="0.4">
      <c r="F124" s="17"/>
      <c r="G124" s="17"/>
      <c r="H124" s="17"/>
      <c r="I124" s="17"/>
      <c r="J124" s="17"/>
      <c r="K124" s="17"/>
      <c r="L124" s="17"/>
      <c r="M124" s="17"/>
    </row>
    <row r="125" spans="1:13" ht="16.8" thickBot="1" x14ac:dyDescent="0.4">
      <c r="A125" s="1">
        <v>13</v>
      </c>
      <c r="C125" s="18" t="s">
        <v>2</v>
      </c>
      <c r="E125" s="13">
        <f>E106</f>
        <v>2107</v>
      </c>
      <c r="F125" s="19">
        <v>1</v>
      </c>
      <c r="G125" s="20">
        <v>7</v>
      </c>
      <c r="H125" s="20">
        <v>11</v>
      </c>
      <c r="I125" s="20">
        <v>13</v>
      </c>
      <c r="J125" s="20">
        <v>17</v>
      </c>
      <c r="K125" s="20">
        <v>19</v>
      </c>
      <c r="L125" s="20">
        <v>23</v>
      </c>
      <c r="M125" s="21">
        <v>29</v>
      </c>
    </row>
    <row r="126" spans="1:13" x14ac:dyDescent="0.35">
      <c r="B126" s="2">
        <v>30</v>
      </c>
      <c r="C126" s="2">
        <f>D126+B126</f>
        <v>391</v>
      </c>
      <c r="D126" s="2">
        <f>C116</f>
        <v>361</v>
      </c>
      <c r="E126" s="3">
        <f>D126*$E$5</f>
        <v>2527</v>
      </c>
      <c r="F126" s="17">
        <f>(E126-1)/30</f>
        <v>84.2</v>
      </c>
      <c r="G126" s="17">
        <f>($E126-7)/30</f>
        <v>84</v>
      </c>
      <c r="H126" s="17">
        <f>($E126-11)/30</f>
        <v>83.86666666666666</v>
      </c>
      <c r="I126" s="17">
        <f>($E126-13)/30</f>
        <v>83.8</v>
      </c>
      <c r="J126" s="17">
        <f>($E126-17)/30</f>
        <v>83.666666666666671</v>
      </c>
      <c r="K126" s="17">
        <f>($E126-19)/30</f>
        <v>83.6</v>
      </c>
      <c r="L126" s="17">
        <f>($E126-23)/30</f>
        <v>83.466666666666669</v>
      </c>
      <c r="M126" s="17">
        <f>($E126-29)/30</f>
        <v>83.266666666666666</v>
      </c>
    </row>
    <row r="127" spans="1:13" x14ac:dyDescent="0.35">
      <c r="B127" s="2">
        <v>30</v>
      </c>
      <c r="C127" s="2">
        <f t="shared" ref="C127:C133" si="121">D127+B127</f>
        <v>397</v>
      </c>
      <c r="D127" s="2">
        <f t="shared" ref="D127:D133" si="122">C117</f>
        <v>367</v>
      </c>
      <c r="E127" s="3">
        <f t="shared" ref="E127:E133" si="123">D127*$E$5</f>
        <v>2569</v>
      </c>
      <c r="F127" s="17">
        <f t="shared" ref="F127:F133" si="124">(E127-1)/30</f>
        <v>85.6</v>
      </c>
      <c r="G127" s="17">
        <f t="shared" ref="G127:G133" si="125">($E127-7)/30</f>
        <v>85.4</v>
      </c>
      <c r="H127" s="17">
        <f t="shared" ref="H127:H133" si="126">($E127-11)/30</f>
        <v>85.266666666666666</v>
      </c>
      <c r="I127" s="17">
        <f t="shared" ref="I127:I133" si="127">($E127-13)/30</f>
        <v>85.2</v>
      </c>
      <c r="J127" s="17">
        <f t="shared" ref="J127:J133" si="128">($E127-17)/30</f>
        <v>85.066666666666663</v>
      </c>
      <c r="K127" s="17">
        <f t="shared" ref="K127:K133" si="129">($E127-19)/30</f>
        <v>85</v>
      </c>
      <c r="L127" s="17">
        <f t="shared" ref="L127:L133" si="130">($E127-23)/30</f>
        <v>84.86666666666666</v>
      </c>
      <c r="M127" s="17">
        <f t="shared" ref="M127:M133" si="131">($E127-29)/30</f>
        <v>84.666666666666671</v>
      </c>
    </row>
    <row r="128" spans="1:13" x14ac:dyDescent="0.35">
      <c r="B128" s="2">
        <v>30</v>
      </c>
      <c r="C128" s="2">
        <f t="shared" si="121"/>
        <v>401</v>
      </c>
      <c r="D128" s="2">
        <f t="shared" si="122"/>
        <v>371</v>
      </c>
      <c r="E128" s="3">
        <f t="shared" si="123"/>
        <v>2597</v>
      </c>
      <c r="F128" s="17">
        <f t="shared" si="124"/>
        <v>86.533333333333331</v>
      </c>
      <c r="G128" s="17">
        <f t="shared" si="125"/>
        <v>86.333333333333329</v>
      </c>
      <c r="H128" s="17">
        <f t="shared" si="126"/>
        <v>86.2</v>
      </c>
      <c r="I128" s="17">
        <f t="shared" si="127"/>
        <v>86.13333333333334</v>
      </c>
      <c r="J128" s="17">
        <f t="shared" si="128"/>
        <v>86</v>
      </c>
      <c r="K128" s="17">
        <f t="shared" si="129"/>
        <v>85.933333333333337</v>
      </c>
      <c r="L128" s="17">
        <f t="shared" si="130"/>
        <v>85.8</v>
      </c>
      <c r="M128" s="17">
        <f t="shared" si="131"/>
        <v>85.6</v>
      </c>
    </row>
    <row r="129" spans="1:13" x14ac:dyDescent="0.35">
      <c r="B129" s="2">
        <v>30</v>
      </c>
      <c r="C129" s="2">
        <f t="shared" si="121"/>
        <v>403</v>
      </c>
      <c r="D129" s="2">
        <f t="shared" si="122"/>
        <v>373</v>
      </c>
      <c r="E129" s="3">
        <f t="shared" si="123"/>
        <v>2611</v>
      </c>
      <c r="F129" s="17">
        <f t="shared" si="124"/>
        <v>87</v>
      </c>
      <c r="G129" s="17">
        <f t="shared" si="125"/>
        <v>86.8</v>
      </c>
      <c r="H129" s="17">
        <f t="shared" si="126"/>
        <v>86.666666666666671</v>
      </c>
      <c r="I129" s="17">
        <f t="shared" si="127"/>
        <v>86.6</v>
      </c>
      <c r="J129" s="17">
        <f t="shared" si="128"/>
        <v>86.466666666666669</v>
      </c>
      <c r="K129" s="17">
        <f t="shared" si="129"/>
        <v>86.4</v>
      </c>
      <c r="L129" s="17">
        <f t="shared" si="130"/>
        <v>86.266666666666666</v>
      </c>
      <c r="M129" s="17">
        <f t="shared" si="131"/>
        <v>86.066666666666663</v>
      </c>
    </row>
    <row r="130" spans="1:13" x14ac:dyDescent="0.35">
      <c r="B130" s="2">
        <v>30</v>
      </c>
      <c r="C130" s="2">
        <f t="shared" si="121"/>
        <v>407</v>
      </c>
      <c r="D130" s="2">
        <f t="shared" si="122"/>
        <v>377</v>
      </c>
      <c r="E130" s="3">
        <f t="shared" si="123"/>
        <v>2639</v>
      </c>
      <c r="F130" s="17">
        <f t="shared" si="124"/>
        <v>87.933333333333337</v>
      </c>
      <c r="G130" s="17">
        <f t="shared" si="125"/>
        <v>87.733333333333334</v>
      </c>
      <c r="H130" s="17">
        <f t="shared" si="126"/>
        <v>87.6</v>
      </c>
      <c r="I130" s="17">
        <f t="shared" si="127"/>
        <v>87.533333333333331</v>
      </c>
      <c r="J130" s="17">
        <f t="shared" si="128"/>
        <v>87.4</v>
      </c>
      <c r="K130" s="17">
        <f t="shared" si="129"/>
        <v>87.333333333333329</v>
      </c>
      <c r="L130" s="17">
        <f t="shared" si="130"/>
        <v>87.2</v>
      </c>
      <c r="M130" s="17">
        <f t="shared" si="131"/>
        <v>87</v>
      </c>
    </row>
    <row r="131" spans="1:13" x14ac:dyDescent="0.35">
      <c r="B131" s="2">
        <v>30</v>
      </c>
      <c r="C131" s="2">
        <f t="shared" si="121"/>
        <v>409</v>
      </c>
      <c r="D131" s="2">
        <f t="shared" si="122"/>
        <v>379</v>
      </c>
      <c r="E131" s="3">
        <f t="shared" si="123"/>
        <v>2653</v>
      </c>
      <c r="F131" s="17">
        <f t="shared" si="124"/>
        <v>88.4</v>
      </c>
      <c r="G131" s="17">
        <f t="shared" si="125"/>
        <v>88.2</v>
      </c>
      <c r="H131" s="17">
        <f t="shared" si="126"/>
        <v>88.066666666666663</v>
      </c>
      <c r="I131" s="17">
        <f t="shared" si="127"/>
        <v>88</v>
      </c>
      <c r="J131" s="17">
        <f t="shared" si="128"/>
        <v>87.86666666666666</v>
      </c>
      <c r="K131" s="17">
        <f t="shared" si="129"/>
        <v>87.8</v>
      </c>
      <c r="L131" s="17">
        <f t="shared" si="130"/>
        <v>87.666666666666671</v>
      </c>
      <c r="M131" s="17">
        <f t="shared" si="131"/>
        <v>87.466666666666669</v>
      </c>
    </row>
    <row r="132" spans="1:13" x14ac:dyDescent="0.35">
      <c r="B132" s="2">
        <v>30</v>
      </c>
      <c r="C132" s="2">
        <f t="shared" si="121"/>
        <v>413</v>
      </c>
      <c r="D132" s="2">
        <f t="shared" si="122"/>
        <v>383</v>
      </c>
      <c r="E132" s="3">
        <f t="shared" si="123"/>
        <v>2681</v>
      </c>
      <c r="F132" s="17">
        <f t="shared" si="124"/>
        <v>89.333333333333329</v>
      </c>
      <c r="G132" s="17">
        <f t="shared" si="125"/>
        <v>89.13333333333334</v>
      </c>
      <c r="H132" s="17">
        <f t="shared" si="126"/>
        <v>89</v>
      </c>
      <c r="I132" s="17">
        <f t="shared" si="127"/>
        <v>88.933333333333337</v>
      </c>
      <c r="J132" s="17">
        <f t="shared" si="128"/>
        <v>88.8</v>
      </c>
      <c r="K132" s="17">
        <f t="shared" si="129"/>
        <v>88.733333333333334</v>
      </c>
      <c r="L132" s="17">
        <f t="shared" si="130"/>
        <v>88.6</v>
      </c>
      <c r="M132" s="17">
        <f t="shared" si="131"/>
        <v>88.4</v>
      </c>
    </row>
    <row r="133" spans="1:13" x14ac:dyDescent="0.35">
      <c r="B133" s="2">
        <v>30</v>
      </c>
      <c r="C133" s="2">
        <f t="shared" si="121"/>
        <v>419</v>
      </c>
      <c r="D133" s="2">
        <f t="shared" si="122"/>
        <v>389</v>
      </c>
      <c r="E133" s="3">
        <f t="shared" si="123"/>
        <v>2723</v>
      </c>
      <c r="F133" s="17">
        <f t="shared" si="124"/>
        <v>90.733333333333334</v>
      </c>
      <c r="G133" s="17">
        <f t="shared" si="125"/>
        <v>90.533333333333331</v>
      </c>
      <c r="H133" s="17">
        <f t="shared" si="126"/>
        <v>90.4</v>
      </c>
      <c r="I133" s="17">
        <f t="shared" si="127"/>
        <v>90.333333333333329</v>
      </c>
      <c r="J133" s="17">
        <f t="shared" si="128"/>
        <v>90.2</v>
      </c>
      <c r="K133" s="17">
        <f t="shared" si="129"/>
        <v>90.13333333333334</v>
      </c>
      <c r="L133" s="17">
        <f t="shared" si="130"/>
        <v>90</v>
      </c>
      <c r="M133" s="17">
        <f t="shared" si="131"/>
        <v>89.8</v>
      </c>
    </row>
    <row r="134" spans="1:13" ht="16.8" thickBot="1" x14ac:dyDescent="0.4">
      <c r="F134" s="17"/>
      <c r="G134" s="17"/>
      <c r="H134" s="17"/>
      <c r="I134" s="17"/>
      <c r="J134" s="17"/>
      <c r="K134" s="17"/>
      <c r="L134" s="17"/>
      <c r="M134" s="17"/>
    </row>
    <row r="135" spans="1:13" ht="16.8" thickBot="1" x14ac:dyDescent="0.4">
      <c r="A135" s="1">
        <v>14</v>
      </c>
      <c r="C135" s="18" t="s">
        <v>2</v>
      </c>
      <c r="E135" s="13">
        <f>E116</f>
        <v>2317</v>
      </c>
      <c r="F135" s="19">
        <v>1</v>
      </c>
      <c r="G135" s="20">
        <v>7</v>
      </c>
      <c r="H135" s="20">
        <v>11</v>
      </c>
      <c r="I135" s="20">
        <v>13</v>
      </c>
      <c r="J135" s="20">
        <v>17</v>
      </c>
      <c r="K135" s="20">
        <v>19</v>
      </c>
      <c r="L135" s="20">
        <v>23</v>
      </c>
      <c r="M135" s="21">
        <v>29</v>
      </c>
    </row>
    <row r="136" spans="1:13" x14ac:dyDescent="0.35">
      <c r="B136" s="2">
        <v>30</v>
      </c>
      <c r="C136" s="2">
        <f>D136+B136</f>
        <v>421</v>
      </c>
      <c r="D136" s="2">
        <f>C126</f>
        <v>391</v>
      </c>
      <c r="E136" s="3">
        <f>D136*$E$5</f>
        <v>2737</v>
      </c>
      <c r="F136" s="17">
        <f>(E136-1)/30</f>
        <v>91.2</v>
      </c>
      <c r="G136" s="17">
        <f>($E136-7)/30</f>
        <v>91</v>
      </c>
      <c r="H136" s="17">
        <f>($E136-11)/30</f>
        <v>90.86666666666666</v>
      </c>
      <c r="I136" s="17">
        <f>($E136-13)/30</f>
        <v>90.8</v>
      </c>
      <c r="J136" s="17">
        <f>($E136-17)/30</f>
        <v>90.666666666666671</v>
      </c>
      <c r="K136" s="17">
        <f>($E136-19)/30</f>
        <v>90.6</v>
      </c>
      <c r="L136" s="17">
        <f>($E136-23)/30</f>
        <v>90.466666666666669</v>
      </c>
      <c r="M136" s="17">
        <f>($E136-29)/30</f>
        <v>90.266666666666666</v>
      </c>
    </row>
    <row r="137" spans="1:13" x14ac:dyDescent="0.35">
      <c r="B137" s="2">
        <v>30</v>
      </c>
      <c r="C137" s="2">
        <f t="shared" ref="C137:C143" si="132">D137+B137</f>
        <v>427</v>
      </c>
      <c r="D137" s="2">
        <f t="shared" ref="D137:D143" si="133">C127</f>
        <v>397</v>
      </c>
      <c r="E137" s="3">
        <f t="shared" ref="E137:E143" si="134">D137*$E$5</f>
        <v>2779</v>
      </c>
      <c r="F137" s="17">
        <f t="shared" ref="F137:F143" si="135">(E137-1)/30</f>
        <v>92.6</v>
      </c>
      <c r="G137" s="17">
        <f t="shared" ref="G137:G143" si="136">($E137-7)/30</f>
        <v>92.4</v>
      </c>
      <c r="H137" s="17">
        <f t="shared" ref="H137:H143" si="137">($E137-11)/30</f>
        <v>92.266666666666666</v>
      </c>
      <c r="I137" s="17">
        <f t="shared" ref="I137:I143" si="138">($E137-13)/30</f>
        <v>92.2</v>
      </c>
      <c r="J137" s="17">
        <f t="shared" ref="J137:J143" si="139">($E137-17)/30</f>
        <v>92.066666666666663</v>
      </c>
      <c r="K137" s="17">
        <f t="shared" ref="K137:K143" si="140">($E137-19)/30</f>
        <v>92</v>
      </c>
      <c r="L137" s="17">
        <f t="shared" ref="L137:L143" si="141">($E137-23)/30</f>
        <v>91.86666666666666</v>
      </c>
      <c r="M137" s="17">
        <f t="shared" ref="M137:M143" si="142">($E137-29)/30</f>
        <v>91.666666666666671</v>
      </c>
    </row>
    <row r="138" spans="1:13" x14ac:dyDescent="0.35">
      <c r="B138" s="2">
        <v>30</v>
      </c>
      <c r="C138" s="2">
        <f t="shared" si="132"/>
        <v>431</v>
      </c>
      <c r="D138" s="2">
        <f t="shared" si="133"/>
        <v>401</v>
      </c>
      <c r="E138" s="3">
        <f t="shared" si="134"/>
        <v>2807</v>
      </c>
      <c r="F138" s="17">
        <f t="shared" si="135"/>
        <v>93.533333333333331</v>
      </c>
      <c r="G138" s="17">
        <f t="shared" si="136"/>
        <v>93.333333333333329</v>
      </c>
      <c r="H138" s="17">
        <f t="shared" si="137"/>
        <v>93.2</v>
      </c>
      <c r="I138" s="17">
        <f t="shared" si="138"/>
        <v>93.13333333333334</v>
      </c>
      <c r="J138" s="17">
        <f t="shared" si="139"/>
        <v>93</v>
      </c>
      <c r="K138" s="17">
        <f t="shared" si="140"/>
        <v>92.933333333333337</v>
      </c>
      <c r="L138" s="17">
        <f t="shared" si="141"/>
        <v>92.8</v>
      </c>
      <c r="M138" s="17">
        <f t="shared" si="142"/>
        <v>92.6</v>
      </c>
    </row>
    <row r="139" spans="1:13" x14ac:dyDescent="0.35">
      <c r="B139" s="2">
        <v>30</v>
      </c>
      <c r="C139" s="2">
        <f t="shared" si="132"/>
        <v>433</v>
      </c>
      <c r="D139" s="2">
        <f t="shared" si="133"/>
        <v>403</v>
      </c>
      <c r="E139" s="3">
        <f t="shared" si="134"/>
        <v>2821</v>
      </c>
      <c r="F139" s="17">
        <f t="shared" si="135"/>
        <v>94</v>
      </c>
      <c r="G139" s="17">
        <f t="shared" si="136"/>
        <v>93.8</v>
      </c>
      <c r="H139" s="17">
        <f t="shared" si="137"/>
        <v>93.666666666666671</v>
      </c>
      <c r="I139" s="17">
        <f t="shared" si="138"/>
        <v>93.6</v>
      </c>
      <c r="J139" s="17">
        <f t="shared" si="139"/>
        <v>93.466666666666669</v>
      </c>
      <c r="K139" s="17">
        <f t="shared" si="140"/>
        <v>93.4</v>
      </c>
      <c r="L139" s="17">
        <f t="shared" si="141"/>
        <v>93.266666666666666</v>
      </c>
      <c r="M139" s="17">
        <f t="shared" si="142"/>
        <v>93.066666666666663</v>
      </c>
    </row>
    <row r="140" spans="1:13" x14ac:dyDescent="0.35">
      <c r="B140" s="2">
        <v>30</v>
      </c>
      <c r="C140" s="2">
        <f t="shared" si="132"/>
        <v>437</v>
      </c>
      <c r="D140" s="2">
        <f t="shared" si="133"/>
        <v>407</v>
      </c>
      <c r="E140" s="3">
        <f t="shared" si="134"/>
        <v>2849</v>
      </c>
      <c r="F140" s="17">
        <f t="shared" si="135"/>
        <v>94.933333333333337</v>
      </c>
      <c r="G140" s="17">
        <f t="shared" si="136"/>
        <v>94.733333333333334</v>
      </c>
      <c r="H140" s="17">
        <f t="shared" si="137"/>
        <v>94.6</v>
      </c>
      <c r="I140" s="17">
        <f t="shared" si="138"/>
        <v>94.533333333333331</v>
      </c>
      <c r="J140" s="17">
        <f t="shared" si="139"/>
        <v>94.4</v>
      </c>
      <c r="K140" s="17">
        <f t="shared" si="140"/>
        <v>94.333333333333329</v>
      </c>
      <c r="L140" s="17">
        <f t="shared" si="141"/>
        <v>94.2</v>
      </c>
      <c r="M140" s="17">
        <f t="shared" si="142"/>
        <v>94</v>
      </c>
    </row>
    <row r="141" spans="1:13" x14ac:dyDescent="0.35">
      <c r="B141" s="2">
        <v>30</v>
      </c>
      <c r="C141" s="2">
        <f t="shared" si="132"/>
        <v>439</v>
      </c>
      <c r="D141" s="2">
        <f t="shared" si="133"/>
        <v>409</v>
      </c>
      <c r="E141" s="3">
        <f t="shared" si="134"/>
        <v>2863</v>
      </c>
      <c r="F141" s="17">
        <f t="shared" si="135"/>
        <v>95.4</v>
      </c>
      <c r="G141" s="17">
        <f t="shared" si="136"/>
        <v>95.2</v>
      </c>
      <c r="H141" s="17">
        <f t="shared" si="137"/>
        <v>95.066666666666663</v>
      </c>
      <c r="I141" s="17">
        <f t="shared" si="138"/>
        <v>95</v>
      </c>
      <c r="J141" s="17">
        <f t="shared" si="139"/>
        <v>94.86666666666666</v>
      </c>
      <c r="K141" s="17">
        <f t="shared" si="140"/>
        <v>94.8</v>
      </c>
      <c r="L141" s="17">
        <f t="shared" si="141"/>
        <v>94.666666666666671</v>
      </c>
      <c r="M141" s="17">
        <f t="shared" si="142"/>
        <v>94.466666666666669</v>
      </c>
    </row>
    <row r="142" spans="1:13" x14ac:dyDescent="0.35">
      <c r="B142" s="2">
        <v>30</v>
      </c>
      <c r="C142" s="2">
        <f t="shared" si="132"/>
        <v>443</v>
      </c>
      <c r="D142" s="2">
        <f t="shared" si="133"/>
        <v>413</v>
      </c>
      <c r="E142" s="3">
        <f t="shared" si="134"/>
        <v>2891</v>
      </c>
      <c r="F142" s="17">
        <f t="shared" si="135"/>
        <v>96.333333333333329</v>
      </c>
      <c r="G142" s="17">
        <f t="shared" si="136"/>
        <v>96.13333333333334</v>
      </c>
      <c r="H142" s="17">
        <f t="shared" si="137"/>
        <v>96</v>
      </c>
      <c r="I142" s="17">
        <f t="shared" si="138"/>
        <v>95.933333333333337</v>
      </c>
      <c r="J142" s="17">
        <f t="shared" si="139"/>
        <v>95.8</v>
      </c>
      <c r="K142" s="17">
        <f t="shared" si="140"/>
        <v>95.733333333333334</v>
      </c>
      <c r="L142" s="17">
        <f t="shared" si="141"/>
        <v>95.6</v>
      </c>
      <c r="M142" s="17">
        <f t="shared" si="142"/>
        <v>95.4</v>
      </c>
    </row>
    <row r="143" spans="1:13" x14ac:dyDescent="0.35">
      <c r="B143" s="2">
        <v>30</v>
      </c>
      <c r="C143" s="2">
        <f t="shared" si="132"/>
        <v>449</v>
      </c>
      <c r="D143" s="2">
        <f t="shared" si="133"/>
        <v>419</v>
      </c>
      <c r="E143" s="3">
        <f t="shared" si="134"/>
        <v>2933</v>
      </c>
      <c r="F143" s="17">
        <f t="shared" si="135"/>
        <v>97.733333333333334</v>
      </c>
      <c r="G143" s="17">
        <f t="shared" si="136"/>
        <v>97.533333333333331</v>
      </c>
      <c r="H143" s="17">
        <f t="shared" si="137"/>
        <v>97.4</v>
      </c>
      <c r="I143" s="17">
        <f t="shared" si="138"/>
        <v>97.333333333333329</v>
      </c>
      <c r="J143" s="17">
        <f t="shared" si="139"/>
        <v>97.2</v>
      </c>
      <c r="K143" s="17">
        <f t="shared" si="140"/>
        <v>97.13333333333334</v>
      </c>
      <c r="L143" s="17">
        <f t="shared" si="141"/>
        <v>97</v>
      </c>
      <c r="M143" s="17">
        <f t="shared" si="142"/>
        <v>96.8</v>
      </c>
    </row>
    <row r="144" spans="1:13" ht="16.8" thickBot="1" x14ac:dyDescent="0.4">
      <c r="F144" s="17"/>
      <c r="G144" s="17"/>
      <c r="H144" s="17"/>
      <c r="I144" s="17"/>
      <c r="J144" s="17"/>
      <c r="K144" s="17"/>
      <c r="L144" s="17"/>
      <c r="M144" s="17"/>
    </row>
    <row r="145" spans="1:13" ht="16.8" thickBot="1" x14ac:dyDescent="0.4">
      <c r="A145" s="1">
        <v>15</v>
      </c>
      <c r="C145" s="18" t="s">
        <v>2</v>
      </c>
      <c r="E145" s="13">
        <f>E126</f>
        <v>2527</v>
      </c>
      <c r="F145" s="19">
        <v>1</v>
      </c>
      <c r="G145" s="20">
        <v>7</v>
      </c>
      <c r="H145" s="20">
        <v>11</v>
      </c>
      <c r="I145" s="20">
        <v>13</v>
      </c>
      <c r="J145" s="20">
        <v>17</v>
      </c>
      <c r="K145" s="20">
        <v>19</v>
      </c>
      <c r="L145" s="20">
        <v>23</v>
      </c>
      <c r="M145" s="21">
        <v>29</v>
      </c>
    </row>
    <row r="146" spans="1:13" x14ac:dyDescent="0.35">
      <c r="B146" s="2">
        <v>30</v>
      </c>
      <c r="C146" s="2">
        <f>D146+B146</f>
        <v>451</v>
      </c>
      <c r="D146" s="2">
        <f>C136</f>
        <v>421</v>
      </c>
      <c r="E146" s="3">
        <f>D146*$E$5</f>
        <v>2947</v>
      </c>
      <c r="F146" s="17">
        <f>(E146-1)/30</f>
        <v>98.2</v>
      </c>
      <c r="G146" s="17">
        <f>($E146-7)/30</f>
        <v>98</v>
      </c>
      <c r="H146" s="17">
        <f>($E146-11)/30</f>
        <v>97.86666666666666</v>
      </c>
      <c r="I146" s="17">
        <f>($E146-13)/30</f>
        <v>97.8</v>
      </c>
      <c r="J146" s="17">
        <f>($E146-17)/30</f>
        <v>97.666666666666671</v>
      </c>
      <c r="K146" s="17">
        <f>($E146-19)/30</f>
        <v>97.6</v>
      </c>
      <c r="L146" s="17">
        <f>($E146-23)/30</f>
        <v>97.466666666666669</v>
      </c>
      <c r="M146" s="17">
        <f>($E146-29)/30</f>
        <v>97.266666666666666</v>
      </c>
    </row>
    <row r="147" spans="1:13" x14ac:dyDescent="0.35">
      <c r="B147" s="2">
        <v>30</v>
      </c>
      <c r="C147" s="2">
        <f t="shared" ref="C147:C153" si="143">D147+B147</f>
        <v>457</v>
      </c>
      <c r="D147" s="2">
        <f t="shared" ref="D147:D153" si="144">C137</f>
        <v>427</v>
      </c>
      <c r="E147" s="3">
        <f t="shared" ref="E147:E153" si="145">D147*$E$5</f>
        <v>2989</v>
      </c>
      <c r="F147" s="17">
        <f t="shared" ref="F147:F153" si="146">(E147-1)/30</f>
        <v>99.6</v>
      </c>
      <c r="G147" s="17">
        <f t="shared" ref="G147:G153" si="147">($E147-7)/30</f>
        <v>99.4</v>
      </c>
      <c r="H147" s="17">
        <f t="shared" ref="H147:H153" si="148">($E147-11)/30</f>
        <v>99.266666666666666</v>
      </c>
      <c r="I147" s="17">
        <f t="shared" ref="I147:I153" si="149">($E147-13)/30</f>
        <v>99.2</v>
      </c>
      <c r="J147" s="17">
        <f t="shared" ref="J147:J153" si="150">($E147-17)/30</f>
        <v>99.066666666666663</v>
      </c>
      <c r="K147" s="17">
        <f t="shared" ref="K147:K153" si="151">($E147-19)/30</f>
        <v>99</v>
      </c>
      <c r="L147" s="17">
        <f t="shared" ref="L147:L153" si="152">($E147-23)/30</f>
        <v>98.86666666666666</v>
      </c>
      <c r="M147" s="17">
        <f t="shared" ref="M147:M153" si="153">($E147-29)/30</f>
        <v>98.666666666666671</v>
      </c>
    </row>
    <row r="148" spans="1:13" x14ac:dyDescent="0.35">
      <c r="B148" s="2">
        <v>30</v>
      </c>
      <c r="C148" s="2">
        <f t="shared" si="143"/>
        <v>461</v>
      </c>
      <c r="D148" s="2">
        <f t="shared" si="144"/>
        <v>431</v>
      </c>
      <c r="E148" s="3">
        <f t="shared" si="145"/>
        <v>3017</v>
      </c>
      <c r="F148" s="17">
        <f t="shared" si="146"/>
        <v>100.53333333333333</v>
      </c>
      <c r="G148" s="17">
        <f t="shared" si="147"/>
        <v>100.33333333333333</v>
      </c>
      <c r="H148" s="17">
        <f t="shared" si="148"/>
        <v>100.2</v>
      </c>
      <c r="I148" s="17">
        <f t="shared" si="149"/>
        <v>100.13333333333334</v>
      </c>
      <c r="J148" s="17">
        <f t="shared" si="150"/>
        <v>100</v>
      </c>
      <c r="K148" s="17">
        <f t="shared" si="151"/>
        <v>99.933333333333337</v>
      </c>
      <c r="L148" s="17">
        <f t="shared" si="152"/>
        <v>99.8</v>
      </c>
      <c r="M148" s="17">
        <f t="shared" si="153"/>
        <v>99.6</v>
      </c>
    </row>
    <row r="149" spans="1:13" x14ac:dyDescent="0.35">
      <c r="B149" s="2">
        <v>30</v>
      </c>
      <c r="C149" s="2">
        <f t="shared" si="143"/>
        <v>463</v>
      </c>
      <c r="D149" s="2">
        <f t="shared" si="144"/>
        <v>433</v>
      </c>
      <c r="E149" s="3">
        <f t="shared" si="145"/>
        <v>3031</v>
      </c>
      <c r="F149" s="17">
        <f t="shared" si="146"/>
        <v>101</v>
      </c>
      <c r="G149" s="17">
        <f t="shared" si="147"/>
        <v>100.8</v>
      </c>
      <c r="H149" s="17">
        <f t="shared" si="148"/>
        <v>100.66666666666667</v>
      </c>
      <c r="I149" s="17">
        <f t="shared" si="149"/>
        <v>100.6</v>
      </c>
      <c r="J149" s="17">
        <f t="shared" si="150"/>
        <v>100.46666666666667</v>
      </c>
      <c r="K149" s="17">
        <f t="shared" si="151"/>
        <v>100.4</v>
      </c>
      <c r="L149" s="17">
        <f t="shared" si="152"/>
        <v>100.26666666666667</v>
      </c>
      <c r="M149" s="17">
        <f t="shared" si="153"/>
        <v>100.06666666666666</v>
      </c>
    </row>
    <row r="150" spans="1:13" x14ac:dyDescent="0.35">
      <c r="B150" s="2">
        <v>30</v>
      </c>
      <c r="C150" s="2">
        <f t="shared" si="143"/>
        <v>467</v>
      </c>
      <c r="D150" s="2">
        <f t="shared" si="144"/>
        <v>437</v>
      </c>
      <c r="E150" s="3">
        <f t="shared" si="145"/>
        <v>3059</v>
      </c>
      <c r="F150" s="17">
        <f t="shared" si="146"/>
        <v>101.93333333333334</v>
      </c>
      <c r="G150" s="17">
        <f t="shared" si="147"/>
        <v>101.73333333333333</v>
      </c>
      <c r="H150" s="17">
        <f t="shared" si="148"/>
        <v>101.6</v>
      </c>
      <c r="I150" s="17">
        <f t="shared" si="149"/>
        <v>101.53333333333333</v>
      </c>
      <c r="J150" s="17">
        <f t="shared" si="150"/>
        <v>101.4</v>
      </c>
      <c r="K150" s="17">
        <f t="shared" si="151"/>
        <v>101.33333333333333</v>
      </c>
      <c r="L150" s="17">
        <f t="shared" si="152"/>
        <v>101.2</v>
      </c>
      <c r="M150" s="17">
        <f t="shared" si="153"/>
        <v>101</v>
      </c>
    </row>
    <row r="151" spans="1:13" x14ac:dyDescent="0.35">
      <c r="B151" s="2">
        <v>30</v>
      </c>
      <c r="C151" s="2">
        <f t="shared" si="143"/>
        <v>469</v>
      </c>
      <c r="D151" s="2">
        <f t="shared" si="144"/>
        <v>439</v>
      </c>
      <c r="E151" s="3">
        <f t="shared" si="145"/>
        <v>3073</v>
      </c>
      <c r="F151" s="17">
        <f t="shared" si="146"/>
        <v>102.4</v>
      </c>
      <c r="G151" s="17">
        <f t="shared" si="147"/>
        <v>102.2</v>
      </c>
      <c r="H151" s="17">
        <f t="shared" si="148"/>
        <v>102.06666666666666</v>
      </c>
      <c r="I151" s="17">
        <f t="shared" si="149"/>
        <v>102</v>
      </c>
      <c r="J151" s="17">
        <f t="shared" si="150"/>
        <v>101.86666666666666</v>
      </c>
      <c r="K151" s="17">
        <f t="shared" si="151"/>
        <v>101.8</v>
      </c>
      <c r="L151" s="17">
        <f t="shared" si="152"/>
        <v>101.66666666666667</v>
      </c>
      <c r="M151" s="17">
        <f t="shared" si="153"/>
        <v>101.46666666666667</v>
      </c>
    </row>
    <row r="152" spans="1:13" x14ac:dyDescent="0.35">
      <c r="B152" s="2">
        <v>30</v>
      </c>
      <c r="C152" s="2">
        <f t="shared" si="143"/>
        <v>473</v>
      </c>
      <c r="D152" s="2">
        <f t="shared" si="144"/>
        <v>443</v>
      </c>
      <c r="E152" s="3">
        <f t="shared" si="145"/>
        <v>3101</v>
      </c>
      <c r="F152" s="17">
        <f t="shared" si="146"/>
        <v>103.33333333333333</v>
      </c>
      <c r="G152" s="17">
        <f t="shared" si="147"/>
        <v>103.13333333333334</v>
      </c>
      <c r="H152" s="17">
        <f t="shared" si="148"/>
        <v>103</v>
      </c>
      <c r="I152" s="17">
        <f t="shared" si="149"/>
        <v>102.93333333333334</v>
      </c>
      <c r="J152" s="17">
        <f t="shared" si="150"/>
        <v>102.8</v>
      </c>
      <c r="K152" s="17">
        <f t="shared" si="151"/>
        <v>102.73333333333333</v>
      </c>
      <c r="L152" s="17">
        <f t="shared" si="152"/>
        <v>102.6</v>
      </c>
      <c r="M152" s="17">
        <f t="shared" si="153"/>
        <v>102.4</v>
      </c>
    </row>
    <row r="153" spans="1:13" x14ac:dyDescent="0.35">
      <c r="B153" s="2">
        <v>30</v>
      </c>
      <c r="C153" s="2">
        <f t="shared" si="143"/>
        <v>479</v>
      </c>
      <c r="D153" s="2">
        <f t="shared" si="144"/>
        <v>449</v>
      </c>
      <c r="E153" s="3">
        <f t="shared" si="145"/>
        <v>3143</v>
      </c>
      <c r="F153" s="17">
        <f t="shared" si="146"/>
        <v>104.73333333333333</v>
      </c>
      <c r="G153" s="17">
        <f t="shared" si="147"/>
        <v>104.53333333333333</v>
      </c>
      <c r="H153" s="17">
        <f t="shared" si="148"/>
        <v>104.4</v>
      </c>
      <c r="I153" s="17">
        <f t="shared" si="149"/>
        <v>104.33333333333333</v>
      </c>
      <c r="J153" s="17">
        <f t="shared" si="150"/>
        <v>104.2</v>
      </c>
      <c r="K153" s="17">
        <f t="shared" si="151"/>
        <v>104.13333333333334</v>
      </c>
      <c r="L153" s="17">
        <f t="shared" si="152"/>
        <v>104</v>
      </c>
      <c r="M153" s="17">
        <f t="shared" si="153"/>
        <v>103.8</v>
      </c>
    </row>
    <row r="154" spans="1:13" ht="16.8" thickBot="1" x14ac:dyDescent="0.4">
      <c r="F154" s="17"/>
      <c r="G154" s="17"/>
      <c r="H154" s="17"/>
      <c r="I154" s="17"/>
      <c r="J154" s="17"/>
      <c r="K154" s="17"/>
      <c r="L154" s="17"/>
      <c r="M154" s="17"/>
    </row>
    <row r="155" spans="1:13" ht="16.8" thickBot="1" x14ac:dyDescent="0.4">
      <c r="A155" s="1">
        <v>16</v>
      </c>
      <c r="C155" s="18" t="s">
        <v>2</v>
      </c>
      <c r="E155" s="13">
        <f>E136</f>
        <v>2737</v>
      </c>
      <c r="F155" s="19">
        <v>1</v>
      </c>
      <c r="G155" s="20">
        <v>7</v>
      </c>
      <c r="H155" s="20">
        <v>11</v>
      </c>
      <c r="I155" s="20">
        <v>13</v>
      </c>
      <c r="J155" s="20">
        <v>17</v>
      </c>
      <c r="K155" s="20">
        <v>19</v>
      </c>
      <c r="L155" s="20">
        <v>23</v>
      </c>
      <c r="M155" s="21">
        <v>29</v>
      </c>
    </row>
    <row r="156" spans="1:13" x14ac:dyDescent="0.35">
      <c r="B156" s="2">
        <v>30</v>
      </c>
      <c r="C156" s="2">
        <f>D156+B156</f>
        <v>481</v>
      </c>
      <c r="D156" s="2">
        <f>C146</f>
        <v>451</v>
      </c>
      <c r="E156" s="3">
        <f>D156*$E$5</f>
        <v>3157</v>
      </c>
      <c r="F156" s="17">
        <f>(E156-1)/30</f>
        <v>105.2</v>
      </c>
      <c r="G156" s="17">
        <f>($E156-7)/30</f>
        <v>105</v>
      </c>
      <c r="H156" s="17">
        <f>($E156-11)/30</f>
        <v>104.86666666666666</v>
      </c>
      <c r="I156" s="17">
        <f>($E156-13)/30</f>
        <v>104.8</v>
      </c>
      <c r="J156" s="17">
        <f>($E156-17)/30</f>
        <v>104.66666666666667</v>
      </c>
      <c r="K156" s="17">
        <f>($E156-19)/30</f>
        <v>104.6</v>
      </c>
      <c r="L156" s="17">
        <f>($E156-23)/30</f>
        <v>104.46666666666667</v>
      </c>
      <c r="M156" s="17">
        <f>($E156-29)/30</f>
        <v>104.26666666666667</v>
      </c>
    </row>
    <row r="157" spans="1:13" x14ac:dyDescent="0.35">
      <c r="B157" s="2">
        <v>30</v>
      </c>
      <c r="C157" s="2">
        <f t="shared" ref="C157:C163" si="154">D157+B157</f>
        <v>487</v>
      </c>
      <c r="D157" s="2">
        <f t="shared" ref="D157:D163" si="155">C147</f>
        <v>457</v>
      </c>
      <c r="E157" s="3">
        <f t="shared" ref="E157:E163" si="156">D157*$E$5</f>
        <v>3199</v>
      </c>
      <c r="F157" s="17">
        <f t="shared" ref="F157:F163" si="157">(E157-1)/30</f>
        <v>106.6</v>
      </c>
      <c r="G157" s="17">
        <f t="shared" ref="G157:G163" si="158">($E157-7)/30</f>
        <v>106.4</v>
      </c>
      <c r="H157" s="17">
        <f t="shared" ref="H157:H163" si="159">($E157-11)/30</f>
        <v>106.26666666666667</v>
      </c>
      <c r="I157" s="17">
        <f t="shared" ref="I157:I163" si="160">($E157-13)/30</f>
        <v>106.2</v>
      </c>
      <c r="J157" s="17">
        <f t="shared" ref="J157:J163" si="161">($E157-17)/30</f>
        <v>106.06666666666666</v>
      </c>
      <c r="K157" s="17">
        <f t="shared" ref="K157:K163" si="162">($E157-19)/30</f>
        <v>106</v>
      </c>
      <c r="L157" s="17">
        <f t="shared" ref="L157:L163" si="163">($E157-23)/30</f>
        <v>105.86666666666666</v>
      </c>
      <c r="M157" s="17">
        <f t="shared" ref="M157:M163" si="164">($E157-29)/30</f>
        <v>105.66666666666667</v>
      </c>
    </row>
    <row r="158" spans="1:13" x14ac:dyDescent="0.35">
      <c r="B158" s="2">
        <v>30</v>
      </c>
      <c r="C158" s="2">
        <f t="shared" si="154"/>
        <v>491</v>
      </c>
      <c r="D158" s="2">
        <f t="shared" si="155"/>
        <v>461</v>
      </c>
      <c r="E158" s="3">
        <f t="shared" si="156"/>
        <v>3227</v>
      </c>
      <c r="F158" s="17">
        <f t="shared" si="157"/>
        <v>107.53333333333333</v>
      </c>
      <c r="G158" s="17">
        <f t="shared" si="158"/>
        <v>107.33333333333333</v>
      </c>
      <c r="H158" s="17">
        <f t="shared" si="159"/>
        <v>107.2</v>
      </c>
      <c r="I158" s="17">
        <f t="shared" si="160"/>
        <v>107.13333333333334</v>
      </c>
      <c r="J158" s="17">
        <f t="shared" si="161"/>
        <v>107</v>
      </c>
      <c r="K158" s="17">
        <f t="shared" si="162"/>
        <v>106.93333333333334</v>
      </c>
      <c r="L158" s="17">
        <f t="shared" si="163"/>
        <v>106.8</v>
      </c>
      <c r="M158" s="17">
        <f t="shared" si="164"/>
        <v>106.6</v>
      </c>
    </row>
    <row r="159" spans="1:13" x14ac:dyDescent="0.35">
      <c r="B159" s="2">
        <v>30</v>
      </c>
      <c r="C159" s="2">
        <f t="shared" si="154"/>
        <v>493</v>
      </c>
      <c r="D159" s="2">
        <f t="shared" si="155"/>
        <v>463</v>
      </c>
      <c r="E159" s="3">
        <f t="shared" si="156"/>
        <v>3241</v>
      </c>
      <c r="F159" s="17">
        <f t="shared" si="157"/>
        <v>108</v>
      </c>
      <c r="G159" s="17">
        <f t="shared" si="158"/>
        <v>107.8</v>
      </c>
      <c r="H159" s="17">
        <f t="shared" si="159"/>
        <v>107.66666666666667</v>
      </c>
      <c r="I159" s="17">
        <f t="shared" si="160"/>
        <v>107.6</v>
      </c>
      <c r="J159" s="17">
        <f t="shared" si="161"/>
        <v>107.46666666666667</v>
      </c>
      <c r="K159" s="17">
        <f t="shared" si="162"/>
        <v>107.4</v>
      </c>
      <c r="L159" s="17">
        <f t="shared" si="163"/>
        <v>107.26666666666667</v>
      </c>
      <c r="M159" s="17">
        <f t="shared" si="164"/>
        <v>107.06666666666666</v>
      </c>
    </row>
    <row r="160" spans="1:13" x14ac:dyDescent="0.35">
      <c r="B160" s="2">
        <v>30</v>
      </c>
      <c r="C160" s="2">
        <f t="shared" si="154"/>
        <v>497</v>
      </c>
      <c r="D160" s="2">
        <f t="shared" si="155"/>
        <v>467</v>
      </c>
      <c r="E160" s="3">
        <f t="shared" si="156"/>
        <v>3269</v>
      </c>
      <c r="F160" s="17">
        <f t="shared" si="157"/>
        <v>108.93333333333334</v>
      </c>
      <c r="G160" s="17">
        <f t="shared" si="158"/>
        <v>108.73333333333333</v>
      </c>
      <c r="H160" s="17">
        <f t="shared" si="159"/>
        <v>108.6</v>
      </c>
      <c r="I160" s="17">
        <f t="shared" si="160"/>
        <v>108.53333333333333</v>
      </c>
      <c r="J160" s="17">
        <f t="shared" si="161"/>
        <v>108.4</v>
      </c>
      <c r="K160" s="17">
        <f t="shared" si="162"/>
        <v>108.33333333333333</v>
      </c>
      <c r="L160" s="17">
        <f t="shared" si="163"/>
        <v>108.2</v>
      </c>
      <c r="M160" s="17">
        <f t="shared" si="164"/>
        <v>108</v>
      </c>
    </row>
    <row r="161" spans="1:13" x14ac:dyDescent="0.35">
      <c r="B161" s="2">
        <v>30</v>
      </c>
      <c r="C161" s="2">
        <f t="shared" si="154"/>
        <v>499</v>
      </c>
      <c r="D161" s="2">
        <f t="shared" si="155"/>
        <v>469</v>
      </c>
      <c r="E161" s="3">
        <f t="shared" si="156"/>
        <v>3283</v>
      </c>
      <c r="F161" s="17">
        <f t="shared" si="157"/>
        <v>109.4</v>
      </c>
      <c r="G161" s="17">
        <f t="shared" si="158"/>
        <v>109.2</v>
      </c>
      <c r="H161" s="17">
        <f t="shared" si="159"/>
        <v>109.06666666666666</v>
      </c>
      <c r="I161" s="17">
        <f t="shared" si="160"/>
        <v>109</v>
      </c>
      <c r="J161" s="17">
        <f t="shared" si="161"/>
        <v>108.86666666666666</v>
      </c>
      <c r="K161" s="17">
        <f t="shared" si="162"/>
        <v>108.8</v>
      </c>
      <c r="L161" s="17">
        <f t="shared" si="163"/>
        <v>108.66666666666667</v>
      </c>
      <c r="M161" s="17">
        <f t="shared" si="164"/>
        <v>108.46666666666667</v>
      </c>
    </row>
    <row r="162" spans="1:13" x14ac:dyDescent="0.35">
      <c r="B162" s="2">
        <v>30</v>
      </c>
      <c r="C162" s="2">
        <f t="shared" si="154"/>
        <v>503</v>
      </c>
      <c r="D162" s="2">
        <f t="shared" si="155"/>
        <v>473</v>
      </c>
      <c r="E162" s="3">
        <f t="shared" si="156"/>
        <v>3311</v>
      </c>
      <c r="F162" s="17">
        <f t="shared" si="157"/>
        <v>110.33333333333333</v>
      </c>
      <c r="G162" s="17">
        <f t="shared" si="158"/>
        <v>110.13333333333334</v>
      </c>
      <c r="H162" s="17">
        <f t="shared" si="159"/>
        <v>110</v>
      </c>
      <c r="I162" s="17">
        <f t="shared" si="160"/>
        <v>109.93333333333334</v>
      </c>
      <c r="J162" s="17">
        <f t="shared" si="161"/>
        <v>109.8</v>
      </c>
      <c r="K162" s="17">
        <f t="shared" si="162"/>
        <v>109.73333333333333</v>
      </c>
      <c r="L162" s="17">
        <f t="shared" si="163"/>
        <v>109.6</v>
      </c>
      <c r="M162" s="17">
        <f t="shared" si="164"/>
        <v>109.4</v>
      </c>
    </row>
    <row r="163" spans="1:13" x14ac:dyDescent="0.35">
      <c r="B163" s="2">
        <v>30</v>
      </c>
      <c r="C163" s="2">
        <f t="shared" si="154"/>
        <v>509</v>
      </c>
      <c r="D163" s="2">
        <f t="shared" si="155"/>
        <v>479</v>
      </c>
      <c r="E163" s="3">
        <f t="shared" si="156"/>
        <v>3353</v>
      </c>
      <c r="F163" s="17">
        <f t="shared" si="157"/>
        <v>111.73333333333333</v>
      </c>
      <c r="G163" s="17">
        <f t="shared" si="158"/>
        <v>111.53333333333333</v>
      </c>
      <c r="H163" s="17">
        <f t="shared" si="159"/>
        <v>111.4</v>
      </c>
      <c r="I163" s="17">
        <f t="shared" si="160"/>
        <v>111.33333333333333</v>
      </c>
      <c r="J163" s="17">
        <f t="shared" si="161"/>
        <v>111.2</v>
      </c>
      <c r="K163" s="17">
        <f t="shared" si="162"/>
        <v>111.13333333333334</v>
      </c>
      <c r="L163" s="17">
        <f t="shared" si="163"/>
        <v>111</v>
      </c>
      <c r="M163" s="17">
        <f t="shared" si="164"/>
        <v>110.8</v>
      </c>
    </row>
    <row r="164" spans="1:13" ht="16.8" thickBot="1" x14ac:dyDescent="0.4">
      <c r="F164" s="17"/>
      <c r="G164" s="17"/>
      <c r="H164" s="17"/>
      <c r="I164" s="17"/>
      <c r="J164" s="17"/>
      <c r="K164" s="17"/>
      <c r="L164" s="17"/>
      <c r="M164" s="17"/>
    </row>
    <row r="165" spans="1:13" ht="16.8" thickBot="1" x14ac:dyDescent="0.4">
      <c r="A165" s="1">
        <v>17</v>
      </c>
      <c r="C165" s="18" t="s">
        <v>2</v>
      </c>
      <c r="E165" s="13">
        <f>E146</f>
        <v>2947</v>
      </c>
      <c r="F165" s="19">
        <v>1</v>
      </c>
      <c r="G165" s="20">
        <v>7</v>
      </c>
      <c r="H165" s="20">
        <v>11</v>
      </c>
      <c r="I165" s="20">
        <v>13</v>
      </c>
      <c r="J165" s="20">
        <v>17</v>
      </c>
      <c r="K165" s="20">
        <v>19</v>
      </c>
      <c r="L165" s="20">
        <v>23</v>
      </c>
      <c r="M165" s="21">
        <v>29</v>
      </c>
    </row>
    <row r="166" spans="1:13" x14ac:dyDescent="0.35">
      <c r="B166" s="2">
        <v>30</v>
      </c>
      <c r="C166" s="2">
        <f>D166+B166</f>
        <v>511</v>
      </c>
      <c r="D166" s="2">
        <f>C156</f>
        <v>481</v>
      </c>
      <c r="E166" s="3">
        <f>D166*$E$5</f>
        <v>3367</v>
      </c>
      <c r="F166" s="17">
        <f>(E166-1)/30</f>
        <v>112.2</v>
      </c>
      <c r="G166" s="17">
        <f>($E166-7)/30</f>
        <v>112</v>
      </c>
      <c r="H166" s="17">
        <f>($E166-11)/30</f>
        <v>111.86666666666666</v>
      </c>
      <c r="I166" s="17">
        <f>($E166-13)/30</f>
        <v>111.8</v>
      </c>
      <c r="J166" s="17">
        <f>($E166-17)/30</f>
        <v>111.66666666666667</v>
      </c>
      <c r="K166" s="17">
        <f>($E166-19)/30</f>
        <v>111.6</v>
      </c>
      <c r="L166" s="17">
        <f>($E166-23)/30</f>
        <v>111.46666666666667</v>
      </c>
      <c r="M166" s="17">
        <f>($E166-29)/30</f>
        <v>111.26666666666667</v>
      </c>
    </row>
    <row r="167" spans="1:13" x14ac:dyDescent="0.35">
      <c r="B167" s="2">
        <v>30</v>
      </c>
      <c r="C167" s="2">
        <f t="shared" ref="C167:C173" si="165">D167+B167</f>
        <v>517</v>
      </c>
      <c r="D167" s="2">
        <f t="shared" ref="D167:D173" si="166">C157</f>
        <v>487</v>
      </c>
      <c r="E167" s="3">
        <f t="shared" ref="E167:E173" si="167">D167*$E$5</f>
        <v>3409</v>
      </c>
      <c r="F167" s="17">
        <f t="shared" ref="F167:F173" si="168">(E167-1)/30</f>
        <v>113.6</v>
      </c>
      <c r="G167" s="17">
        <f t="shared" ref="G167:G173" si="169">($E167-7)/30</f>
        <v>113.4</v>
      </c>
      <c r="H167" s="17">
        <f t="shared" ref="H167:H173" si="170">($E167-11)/30</f>
        <v>113.26666666666667</v>
      </c>
      <c r="I167" s="17">
        <f t="shared" ref="I167:I173" si="171">($E167-13)/30</f>
        <v>113.2</v>
      </c>
      <c r="J167" s="17">
        <f t="shared" ref="J167:J173" si="172">($E167-17)/30</f>
        <v>113.06666666666666</v>
      </c>
      <c r="K167" s="17">
        <f t="shared" ref="K167:K173" si="173">($E167-19)/30</f>
        <v>113</v>
      </c>
      <c r="L167" s="17">
        <f t="shared" ref="L167:L173" si="174">($E167-23)/30</f>
        <v>112.86666666666666</v>
      </c>
      <c r="M167" s="17">
        <f t="shared" ref="M167:M173" si="175">($E167-29)/30</f>
        <v>112.66666666666667</v>
      </c>
    </row>
    <row r="168" spans="1:13" x14ac:dyDescent="0.35">
      <c r="B168" s="2">
        <v>30</v>
      </c>
      <c r="C168" s="2">
        <f t="shared" si="165"/>
        <v>521</v>
      </c>
      <c r="D168" s="2">
        <f t="shared" si="166"/>
        <v>491</v>
      </c>
      <c r="E168" s="3">
        <f t="shared" si="167"/>
        <v>3437</v>
      </c>
      <c r="F168" s="17">
        <f t="shared" si="168"/>
        <v>114.53333333333333</v>
      </c>
      <c r="G168" s="17">
        <f t="shared" si="169"/>
        <v>114.33333333333333</v>
      </c>
      <c r="H168" s="17">
        <f t="shared" si="170"/>
        <v>114.2</v>
      </c>
      <c r="I168" s="17">
        <f t="shared" si="171"/>
        <v>114.13333333333334</v>
      </c>
      <c r="J168" s="17">
        <f t="shared" si="172"/>
        <v>114</v>
      </c>
      <c r="K168" s="17">
        <f t="shared" si="173"/>
        <v>113.93333333333334</v>
      </c>
      <c r="L168" s="17">
        <f t="shared" si="174"/>
        <v>113.8</v>
      </c>
      <c r="M168" s="17">
        <f t="shared" si="175"/>
        <v>113.6</v>
      </c>
    </row>
    <row r="169" spans="1:13" x14ac:dyDescent="0.35">
      <c r="B169" s="2">
        <v>30</v>
      </c>
      <c r="C169" s="2">
        <f t="shared" si="165"/>
        <v>523</v>
      </c>
      <c r="D169" s="2">
        <f t="shared" si="166"/>
        <v>493</v>
      </c>
      <c r="E169" s="3">
        <f t="shared" si="167"/>
        <v>3451</v>
      </c>
      <c r="F169" s="17">
        <f t="shared" si="168"/>
        <v>115</v>
      </c>
      <c r="G169" s="17">
        <f t="shared" si="169"/>
        <v>114.8</v>
      </c>
      <c r="H169" s="17">
        <f t="shared" si="170"/>
        <v>114.66666666666667</v>
      </c>
      <c r="I169" s="17">
        <f t="shared" si="171"/>
        <v>114.6</v>
      </c>
      <c r="J169" s="17">
        <f t="shared" si="172"/>
        <v>114.46666666666667</v>
      </c>
      <c r="K169" s="17">
        <f t="shared" si="173"/>
        <v>114.4</v>
      </c>
      <c r="L169" s="17">
        <f t="shared" si="174"/>
        <v>114.26666666666667</v>
      </c>
      <c r="M169" s="17">
        <f t="shared" si="175"/>
        <v>114.06666666666666</v>
      </c>
    </row>
    <row r="170" spans="1:13" x14ac:dyDescent="0.35">
      <c r="B170" s="2">
        <v>30</v>
      </c>
      <c r="C170" s="2">
        <f t="shared" si="165"/>
        <v>527</v>
      </c>
      <c r="D170" s="2">
        <f t="shared" si="166"/>
        <v>497</v>
      </c>
      <c r="E170" s="3">
        <f t="shared" si="167"/>
        <v>3479</v>
      </c>
      <c r="F170" s="17">
        <f t="shared" si="168"/>
        <v>115.93333333333334</v>
      </c>
      <c r="G170" s="17">
        <f t="shared" si="169"/>
        <v>115.73333333333333</v>
      </c>
      <c r="H170" s="17">
        <f t="shared" si="170"/>
        <v>115.6</v>
      </c>
      <c r="I170" s="17">
        <f t="shared" si="171"/>
        <v>115.53333333333333</v>
      </c>
      <c r="J170" s="17">
        <f t="shared" si="172"/>
        <v>115.4</v>
      </c>
      <c r="K170" s="17">
        <f t="shared" si="173"/>
        <v>115.33333333333333</v>
      </c>
      <c r="L170" s="17">
        <f t="shared" si="174"/>
        <v>115.2</v>
      </c>
      <c r="M170" s="17">
        <f t="shared" si="175"/>
        <v>115</v>
      </c>
    </row>
    <row r="171" spans="1:13" x14ac:dyDescent="0.35">
      <c r="B171" s="2">
        <v>30</v>
      </c>
      <c r="C171" s="2">
        <f t="shared" si="165"/>
        <v>529</v>
      </c>
      <c r="D171" s="2">
        <f t="shared" si="166"/>
        <v>499</v>
      </c>
      <c r="E171" s="3">
        <f t="shared" si="167"/>
        <v>3493</v>
      </c>
      <c r="F171" s="17">
        <f t="shared" si="168"/>
        <v>116.4</v>
      </c>
      <c r="G171" s="17">
        <f t="shared" si="169"/>
        <v>116.2</v>
      </c>
      <c r="H171" s="17">
        <f t="shared" si="170"/>
        <v>116.06666666666666</v>
      </c>
      <c r="I171" s="17">
        <f t="shared" si="171"/>
        <v>116</v>
      </c>
      <c r="J171" s="17">
        <f t="shared" si="172"/>
        <v>115.86666666666666</v>
      </c>
      <c r="K171" s="17">
        <f t="shared" si="173"/>
        <v>115.8</v>
      </c>
      <c r="L171" s="17">
        <f t="shared" si="174"/>
        <v>115.66666666666667</v>
      </c>
      <c r="M171" s="17">
        <f t="shared" si="175"/>
        <v>115.46666666666667</v>
      </c>
    </row>
    <row r="172" spans="1:13" x14ac:dyDescent="0.35">
      <c r="B172" s="2">
        <v>30</v>
      </c>
      <c r="C172" s="2">
        <f t="shared" si="165"/>
        <v>533</v>
      </c>
      <c r="D172" s="2">
        <f t="shared" si="166"/>
        <v>503</v>
      </c>
      <c r="E172" s="3">
        <f t="shared" si="167"/>
        <v>3521</v>
      </c>
      <c r="F172" s="17">
        <f t="shared" si="168"/>
        <v>117.33333333333333</v>
      </c>
      <c r="G172" s="17">
        <f t="shared" si="169"/>
        <v>117.13333333333334</v>
      </c>
      <c r="H172" s="17">
        <f t="shared" si="170"/>
        <v>117</v>
      </c>
      <c r="I172" s="17">
        <f t="shared" si="171"/>
        <v>116.93333333333334</v>
      </c>
      <c r="J172" s="17">
        <f t="shared" si="172"/>
        <v>116.8</v>
      </c>
      <c r="K172" s="17">
        <f t="shared" si="173"/>
        <v>116.73333333333333</v>
      </c>
      <c r="L172" s="17">
        <f t="shared" si="174"/>
        <v>116.6</v>
      </c>
      <c r="M172" s="17">
        <f t="shared" si="175"/>
        <v>116.4</v>
      </c>
    </row>
    <row r="173" spans="1:13" x14ac:dyDescent="0.35">
      <c r="B173" s="2">
        <v>30</v>
      </c>
      <c r="C173" s="2">
        <f t="shared" si="165"/>
        <v>539</v>
      </c>
      <c r="D173" s="2">
        <f t="shared" si="166"/>
        <v>509</v>
      </c>
      <c r="E173" s="3">
        <f t="shared" si="167"/>
        <v>3563</v>
      </c>
      <c r="F173" s="17">
        <f t="shared" si="168"/>
        <v>118.73333333333333</v>
      </c>
      <c r="G173" s="17">
        <f t="shared" si="169"/>
        <v>118.53333333333333</v>
      </c>
      <c r="H173" s="17">
        <f t="shared" si="170"/>
        <v>118.4</v>
      </c>
      <c r="I173" s="17">
        <f t="shared" si="171"/>
        <v>118.33333333333333</v>
      </c>
      <c r="J173" s="17">
        <f t="shared" si="172"/>
        <v>118.2</v>
      </c>
      <c r="K173" s="17">
        <f t="shared" si="173"/>
        <v>118.13333333333334</v>
      </c>
      <c r="L173" s="17">
        <f t="shared" si="174"/>
        <v>118</v>
      </c>
      <c r="M173" s="17">
        <f t="shared" si="175"/>
        <v>117.8</v>
      </c>
    </row>
    <row r="174" spans="1:13" ht="16.8" thickBot="1" x14ac:dyDescent="0.4">
      <c r="F174" s="17"/>
      <c r="G174" s="17"/>
      <c r="H174" s="17"/>
      <c r="I174" s="17"/>
      <c r="J174" s="17"/>
      <c r="K174" s="17"/>
      <c r="L174" s="17"/>
      <c r="M174" s="17"/>
    </row>
    <row r="175" spans="1:13" ht="16.8" thickBot="1" x14ac:dyDescent="0.4">
      <c r="A175" s="1">
        <v>18</v>
      </c>
      <c r="C175" s="18" t="s">
        <v>2</v>
      </c>
      <c r="E175" s="13">
        <f>E156</f>
        <v>3157</v>
      </c>
      <c r="F175" s="19">
        <v>1</v>
      </c>
      <c r="G175" s="20">
        <v>7</v>
      </c>
      <c r="H175" s="20">
        <v>11</v>
      </c>
      <c r="I175" s="20">
        <v>13</v>
      </c>
      <c r="J175" s="20">
        <v>17</v>
      </c>
      <c r="K175" s="20">
        <v>19</v>
      </c>
      <c r="L175" s="20">
        <v>23</v>
      </c>
      <c r="M175" s="21">
        <v>29</v>
      </c>
    </row>
    <row r="176" spans="1:13" x14ac:dyDescent="0.35">
      <c r="B176" s="2">
        <v>30</v>
      </c>
      <c r="C176" s="2">
        <f>D176+B176</f>
        <v>541</v>
      </c>
      <c r="D176" s="2">
        <f>C166</f>
        <v>511</v>
      </c>
      <c r="E176" s="3">
        <f>D176*$E$5</f>
        <v>3577</v>
      </c>
      <c r="F176" s="17">
        <f>(E176-1)/30</f>
        <v>119.2</v>
      </c>
      <c r="G176" s="17">
        <f>($E176-7)/30</f>
        <v>119</v>
      </c>
      <c r="H176" s="17">
        <f>($E176-11)/30</f>
        <v>118.86666666666666</v>
      </c>
      <c r="I176" s="17">
        <f>($E176-13)/30</f>
        <v>118.8</v>
      </c>
      <c r="J176" s="17">
        <f>($E176-17)/30</f>
        <v>118.66666666666667</v>
      </c>
      <c r="K176" s="17">
        <f>($E176-19)/30</f>
        <v>118.6</v>
      </c>
      <c r="L176" s="17">
        <f>($E176-23)/30</f>
        <v>118.46666666666667</v>
      </c>
      <c r="M176" s="17">
        <f>($E176-29)/30</f>
        <v>118.26666666666667</v>
      </c>
    </row>
    <row r="177" spans="1:13" x14ac:dyDescent="0.35">
      <c r="B177" s="2">
        <v>30</v>
      </c>
      <c r="C177" s="2">
        <f t="shared" ref="C177:C183" si="176">D177+B177</f>
        <v>547</v>
      </c>
      <c r="D177" s="2">
        <f t="shared" ref="D177:D183" si="177">C167</f>
        <v>517</v>
      </c>
      <c r="E177" s="3">
        <f t="shared" ref="E177:E183" si="178">D177*$E$5</f>
        <v>3619</v>
      </c>
      <c r="F177" s="17">
        <f t="shared" ref="F177:F183" si="179">(E177-1)/30</f>
        <v>120.6</v>
      </c>
      <c r="G177" s="17">
        <f t="shared" ref="G177:G183" si="180">($E177-7)/30</f>
        <v>120.4</v>
      </c>
      <c r="H177" s="17">
        <f t="shared" ref="H177:H183" si="181">($E177-11)/30</f>
        <v>120.26666666666667</v>
      </c>
      <c r="I177" s="17">
        <f t="shared" ref="I177:I183" si="182">($E177-13)/30</f>
        <v>120.2</v>
      </c>
      <c r="J177" s="17">
        <f t="shared" ref="J177:J183" si="183">($E177-17)/30</f>
        <v>120.06666666666666</v>
      </c>
      <c r="K177" s="17">
        <f t="shared" ref="K177:K183" si="184">($E177-19)/30</f>
        <v>120</v>
      </c>
      <c r="L177" s="17">
        <f t="shared" ref="L177:L183" si="185">($E177-23)/30</f>
        <v>119.86666666666666</v>
      </c>
      <c r="M177" s="17">
        <f t="shared" ref="M177:M183" si="186">($E177-29)/30</f>
        <v>119.66666666666667</v>
      </c>
    </row>
    <row r="178" spans="1:13" x14ac:dyDescent="0.35">
      <c r="B178" s="2">
        <v>30</v>
      </c>
      <c r="C178" s="2">
        <f t="shared" si="176"/>
        <v>551</v>
      </c>
      <c r="D178" s="2">
        <f t="shared" si="177"/>
        <v>521</v>
      </c>
      <c r="E178" s="3">
        <f t="shared" si="178"/>
        <v>3647</v>
      </c>
      <c r="F178" s="17">
        <f t="shared" si="179"/>
        <v>121.53333333333333</v>
      </c>
      <c r="G178" s="17">
        <f t="shared" si="180"/>
        <v>121.33333333333333</v>
      </c>
      <c r="H178" s="17">
        <f t="shared" si="181"/>
        <v>121.2</v>
      </c>
      <c r="I178" s="17">
        <f t="shared" si="182"/>
        <v>121.13333333333334</v>
      </c>
      <c r="J178" s="17">
        <f t="shared" si="183"/>
        <v>121</v>
      </c>
      <c r="K178" s="17">
        <f t="shared" si="184"/>
        <v>120.93333333333334</v>
      </c>
      <c r="L178" s="17">
        <f t="shared" si="185"/>
        <v>120.8</v>
      </c>
      <c r="M178" s="17">
        <f t="shared" si="186"/>
        <v>120.6</v>
      </c>
    </row>
    <row r="179" spans="1:13" x14ac:dyDescent="0.35">
      <c r="B179" s="2">
        <v>30</v>
      </c>
      <c r="C179" s="2">
        <f t="shared" si="176"/>
        <v>553</v>
      </c>
      <c r="D179" s="2">
        <f t="shared" si="177"/>
        <v>523</v>
      </c>
      <c r="E179" s="3">
        <f t="shared" si="178"/>
        <v>3661</v>
      </c>
      <c r="F179" s="17">
        <f t="shared" si="179"/>
        <v>122</v>
      </c>
      <c r="G179" s="17">
        <f t="shared" si="180"/>
        <v>121.8</v>
      </c>
      <c r="H179" s="17">
        <f t="shared" si="181"/>
        <v>121.66666666666667</v>
      </c>
      <c r="I179" s="17">
        <f t="shared" si="182"/>
        <v>121.6</v>
      </c>
      <c r="J179" s="17">
        <f t="shared" si="183"/>
        <v>121.46666666666667</v>
      </c>
      <c r="K179" s="17">
        <f t="shared" si="184"/>
        <v>121.4</v>
      </c>
      <c r="L179" s="17">
        <f t="shared" si="185"/>
        <v>121.26666666666667</v>
      </c>
      <c r="M179" s="17">
        <f t="shared" si="186"/>
        <v>121.06666666666666</v>
      </c>
    </row>
    <row r="180" spans="1:13" x14ac:dyDescent="0.35">
      <c r="B180" s="2">
        <v>30</v>
      </c>
      <c r="C180" s="2">
        <f t="shared" si="176"/>
        <v>557</v>
      </c>
      <c r="D180" s="2">
        <f t="shared" si="177"/>
        <v>527</v>
      </c>
      <c r="E180" s="3">
        <f t="shared" si="178"/>
        <v>3689</v>
      </c>
      <c r="F180" s="17">
        <f t="shared" si="179"/>
        <v>122.93333333333334</v>
      </c>
      <c r="G180" s="17">
        <f t="shared" si="180"/>
        <v>122.73333333333333</v>
      </c>
      <c r="H180" s="17">
        <f t="shared" si="181"/>
        <v>122.6</v>
      </c>
      <c r="I180" s="17">
        <f t="shared" si="182"/>
        <v>122.53333333333333</v>
      </c>
      <c r="J180" s="17">
        <f t="shared" si="183"/>
        <v>122.4</v>
      </c>
      <c r="K180" s="17">
        <f t="shared" si="184"/>
        <v>122.33333333333333</v>
      </c>
      <c r="L180" s="17">
        <f t="shared" si="185"/>
        <v>122.2</v>
      </c>
      <c r="M180" s="17">
        <f t="shared" si="186"/>
        <v>122</v>
      </c>
    </row>
    <row r="181" spans="1:13" x14ac:dyDescent="0.35">
      <c r="B181" s="2">
        <v>30</v>
      </c>
      <c r="C181" s="2">
        <f t="shared" si="176"/>
        <v>559</v>
      </c>
      <c r="D181" s="2">
        <f t="shared" si="177"/>
        <v>529</v>
      </c>
      <c r="E181" s="3">
        <f t="shared" si="178"/>
        <v>3703</v>
      </c>
      <c r="F181" s="17">
        <f t="shared" si="179"/>
        <v>123.4</v>
      </c>
      <c r="G181" s="17">
        <f t="shared" si="180"/>
        <v>123.2</v>
      </c>
      <c r="H181" s="17">
        <f t="shared" si="181"/>
        <v>123.06666666666666</v>
      </c>
      <c r="I181" s="17">
        <f t="shared" si="182"/>
        <v>123</v>
      </c>
      <c r="J181" s="17">
        <f t="shared" si="183"/>
        <v>122.86666666666666</v>
      </c>
      <c r="K181" s="17">
        <f t="shared" si="184"/>
        <v>122.8</v>
      </c>
      <c r="L181" s="17">
        <f t="shared" si="185"/>
        <v>122.66666666666667</v>
      </c>
      <c r="M181" s="17">
        <f t="shared" si="186"/>
        <v>122.46666666666667</v>
      </c>
    </row>
    <row r="182" spans="1:13" x14ac:dyDescent="0.35">
      <c r="B182" s="2">
        <v>30</v>
      </c>
      <c r="C182" s="2">
        <f t="shared" si="176"/>
        <v>563</v>
      </c>
      <c r="D182" s="2">
        <f t="shared" si="177"/>
        <v>533</v>
      </c>
      <c r="E182" s="3">
        <f t="shared" si="178"/>
        <v>3731</v>
      </c>
      <c r="F182" s="17">
        <f t="shared" si="179"/>
        <v>124.33333333333333</v>
      </c>
      <c r="G182" s="17">
        <f t="shared" si="180"/>
        <v>124.13333333333334</v>
      </c>
      <c r="H182" s="17">
        <f t="shared" si="181"/>
        <v>124</v>
      </c>
      <c r="I182" s="17">
        <f t="shared" si="182"/>
        <v>123.93333333333334</v>
      </c>
      <c r="J182" s="17">
        <f t="shared" si="183"/>
        <v>123.8</v>
      </c>
      <c r="K182" s="17">
        <f t="shared" si="184"/>
        <v>123.73333333333333</v>
      </c>
      <c r="L182" s="17">
        <f t="shared" si="185"/>
        <v>123.6</v>
      </c>
      <c r="M182" s="17">
        <f t="shared" si="186"/>
        <v>123.4</v>
      </c>
    </row>
    <row r="183" spans="1:13" x14ac:dyDescent="0.35">
      <c r="B183" s="2">
        <v>30</v>
      </c>
      <c r="C183" s="2">
        <f t="shared" si="176"/>
        <v>569</v>
      </c>
      <c r="D183" s="2">
        <f t="shared" si="177"/>
        <v>539</v>
      </c>
      <c r="E183" s="3">
        <f t="shared" si="178"/>
        <v>3773</v>
      </c>
      <c r="F183" s="17">
        <f t="shared" si="179"/>
        <v>125.73333333333333</v>
      </c>
      <c r="G183" s="17">
        <f t="shared" si="180"/>
        <v>125.53333333333333</v>
      </c>
      <c r="H183" s="17">
        <f t="shared" si="181"/>
        <v>125.4</v>
      </c>
      <c r="I183" s="17">
        <f t="shared" si="182"/>
        <v>125.33333333333333</v>
      </c>
      <c r="J183" s="17">
        <f t="shared" si="183"/>
        <v>125.2</v>
      </c>
      <c r="K183" s="17">
        <f t="shared" si="184"/>
        <v>125.13333333333334</v>
      </c>
      <c r="L183" s="17">
        <f t="shared" si="185"/>
        <v>125</v>
      </c>
      <c r="M183" s="17">
        <f t="shared" si="186"/>
        <v>124.8</v>
      </c>
    </row>
    <row r="184" spans="1:13" ht="16.8" thickBot="1" x14ac:dyDescent="0.4">
      <c r="F184" s="17"/>
      <c r="G184" s="17"/>
      <c r="H184" s="17"/>
      <c r="I184" s="17"/>
      <c r="J184" s="17"/>
      <c r="K184" s="17"/>
      <c r="L184" s="17"/>
      <c r="M184" s="17"/>
    </row>
    <row r="185" spans="1:13" ht="16.8" thickBot="1" x14ac:dyDescent="0.4">
      <c r="A185" s="1">
        <v>19</v>
      </c>
      <c r="C185" s="18" t="s">
        <v>2</v>
      </c>
      <c r="E185" s="13">
        <f>E166</f>
        <v>3367</v>
      </c>
      <c r="F185" s="19">
        <v>1</v>
      </c>
      <c r="G185" s="20">
        <v>7</v>
      </c>
      <c r="H185" s="20">
        <v>11</v>
      </c>
      <c r="I185" s="20">
        <v>13</v>
      </c>
      <c r="J185" s="20">
        <v>17</v>
      </c>
      <c r="K185" s="20">
        <v>19</v>
      </c>
      <c r="L185" s="20">
        <v>23</v>
      </c>
      <c r="M185" s="21">
        <v>29</v>
      </c>
    </row>
    <row r="186" spans="1:13" x14ac:dyDescent="0.35">
      <c r="B186" s="2">
        <v>30</v>
      </c>
      <c r="C186" s="2">
        <f>D186+B186</f>
        <v>571</v>
      </c>
      <c r="D186" s="2">
        <f>C176</f>
        <v>541</v>
      </c>
      <c r="E186" s="3">
        <f>D186*$E$5</f>
        <v>3787</v>
      </c>
      <c r="F186" s="17">
        <f>(E186-1)/30</f>
        <v>126.2</v>
      </c>
      <c r="G186" s="17">
        <f>($E186-7)/30</f>
        <v>126</v>
      </c>
      <c r="H186" s="17">
        <f>($E186-11)/30</f>
        <v>125.86666666666666</v>
      </c>
      <c r="I186" s="17">
        <f>($E186-13)/30</f>
        <v>125.8</v>
      </c>
      <c r="J186" s="17">
        <f>($E186-17)/30</f>
        <v>125.66666666666667</v>
      </c>
      <c r="K186" s="17">
        <f>($E186-19)/30</f>
        <v>125.6</v>
      </c>
      <c r="L186" s="17">
        <f>($E186-23)/30</f>
        <v>125.46666666666667</v>
      </c>
      <c r="M186" s="17">
        <f>($E186-29)/30</f>
        <v>125.26666666666667</v>
      </c>
    </row>
    <row r="187" spans="1:13" x14ac:dyDescent="0.35">
      <c r="B187" s="2">
        <v>30</v>
      </c>
      <c r="C187" s="2">
        <f t="shared" ref="C187:C193" si="187">D187+B187</f>
        <v>577</v>
      </c>
      <c r="D187" s="2">
        <f t="shared" ref="D187:D193" si="188">C177</f>
        <v>547</v>
      </c>
      <c r="E187" s="3">
        <f t="shared" ref="E187:E193" si="189">D187*$E$5</f>
        <v>3829</v>
      </c>
      <c r="F187" s="17">
        <f t="shared" ref="F187:F193" si="190">(E187-1)/30</f>
        <v>127.6</v>
      </c>
      <c r="G187" s="17">
        <f t="shared" ref="G187:G193" si="191">($E187-7)/30</f>
        <v>127.4</v>
      </c>
      <c r="H187" s="17">
        <f t="shared" ref="H187:H193" si="192">($E187-11)/30</f>
        <v>127.26666666666667</v>
      </c>
      <c r="I187" s="17">
        <f t="shared" ref="I187:I193" si="193">($E187-13)/30</f>
        <v>127.2</v>
      </c>
      <c r="J187" s="17">
        <f t="shared" ref="J187:J193" si="194">($E187-17)/30</f>
        <v>127.06666666666666</v>
      </c>
      <c r="K187" s="17">
        <f t="shared" ref="K187:K193" si="195">($E187-19)/30</f>
        <v>127</v>
      </c>
      <c r="L187" s="17">
        <f t="shared" ref="L187:L193" si="196">($E187-23)/30</f>
        <v>126.86666666666666</v>
      </c>
      <c r="M187" s="17">
        <f t="shared" ref="M187:M193" si="197">($E187-29)/30</f>
        <v>126.66666666666667</v>
      </c>
    </row>
    <row r="188" spans="1:13" x14ac:dyDescent="0.35">
      <c r="B188" s="2">
        <v>30</v>
      </c>
      <c r="C188" s="2">
        <f t="shared" si="187"/>
        <v>581</v>
      </c>
      <c r="D188" s="2">
        <f t="shared" si="188"/>
        <v>551</v>
      </c>
      <c r="E188" s="3">
        <f t="shared" si="189"/>
        <v>3857</v>
      </c>
      <c r="F188" s="17">
        <f t="shared" si="190"/>
        <v>128.53333333333333</v>
      </c>
      <c r="G188" s="17">
        <f t="shared" si="191"/>
        <v>128.33333333333334</v>
      </c>
      <c r="H188" s="17">
        <f t="shared" si="192"/>
        <v>128.19999999999999</v>
      </c>
      <c r="I188" s="17">
        <f t="shared" si="193"/>
        <v>128.13333333333333</v>
      </c>
      <c r="J188" s="17">
        <f t="shared" si="194"/>
        <v>128</v>
      </c>
      <c r="K188" s="17">
        <f t="shared" si="195"/>
        <v>127.93333333333334</v>
      </c>
      <c r="L188" s="17">
        <f t="shared" si="196"/>
        <v>127.8</v>
      </c>
      <c r="M188" s="17">
        <f t="shared" si="197"/>
        <v>127.6</v>
      </c>
    </row>
    <row r="189" spans="1:13" x14ac:dyDescent="0.35">
      <c r="B189" s="2">
        <v>30</v>
      </c>
      <c r="C189" s="2">
        <f t="shared" si="187"/>
        <v>583</v>
      </c>
      <c r="D189" s="2">
        <f t="shared" si="188"/>
        <v>553</v>
      </c>
      <c r="E189" s="3">
        <f t="shared" si="189"/>
        <v>3871</v>
      </c>
      <c r="F189" s="17">
        <f t="shared" si="190"/>
        <v>129</v>
      </c>
      <c r="G189" s="17">
        <f t="shared" si="191"/>
        <v>128.80000000000001</v>
      </c>
      <c r="H189" s="17">
        <f t="shared" si="192"/>
        <v>128.66666666666666</v>
      </c>
      <c r="I189" s="17">
        <f t="shared" si="193"/>
        <v>128.6</v>
      </c>
      <c r="J189" s="17">
        <f t="shared" si="194"/>
        <v>128.46666666666667</v>
      </c>
      <c r="K189" s="17">
        <f t="shared" si="195"/>
        <v>128.4</v>
      </c>
      <c r="L189" s="17">
        <f t="shared" si="196"/>
        <v>128.26666666666668</v>
      </c>
      <c r="M189" s="17">
        <f t="shared" si="197"/>
        <v>128.06666666666666</v>
      </c>
    </row>
    <row r="190" spans="1:13" x14ac:dyDescent="0.35">
      <c r="B190" s="2">
        <v>30</v>
      </c>
      <c r="C190" s="2">
        <f t="shared" si="187"/>
        <v>587</v>
      </c>
      <c r="D190" s="2">
        <f t="shared" si="188"/>
        <v>557</v>
      </c>
      <c r="E190" s="3">
        <f t="shared" si="189"/>
        <v>3899</v>
      </c>
      <c r="F190" s="17">
        <f t="shared" si="190"/>
        <v>129.93333333333334</v>
      </c>
      <c r="G190" s="17">
        <f t="shared" si="191"/>
        <v>129.73333333333332</v>
      </c>
      <c r="H190" s="17">
        <f t="shared" si="192"/>
        <v>129.6</v>
      </c>
      <c r="I190" s="17">
        <f t="shared" si="193"/>
        <v>129.53333333333333</v>
      </c>
      <c r="J190" s="17">
        <f t="shared" si="194"/>
        <v>129.4</v>
      </c>
      <c r="K190" s="17">
        <f t="shared" si="195"/>
        <v>129.33333333333334</v>
      </c>
      <c r="L190" s="17">
        <f t="shared" si="196"/>
        <v>129.19999999999999</v>
      </c>
      <c r="M190" s="17">
        <f t="shared" si="197"/>
        <v>129</v>
      </c>
    </row>
    <row r="191" spans="1:13" x14ac:dyDescent="0.35">
      <c r="B191" s="2">
        <v>30</v>
      </c>
      <c r="C191" s="2">
        <f t="shared" si="187"/>
        <v>589</v>
      </c>
      <c r="D191" s="2">
        <f t="shared" si="188"/>
        <v>559</v>
      </c>
      <c r="E191" s="3">
        <f t="shared" si="189"/>
        <v>3913</v>
      </c>
      <c r="F191" s="17">
        <f t="shared" si="190"/>
        <v>130.4</v>
      </c>
      <c r="G191" s="17">
        <f t="shared" si="191"/>
        <v>130.19999999999999</v>
      </c>
      <c r="H191" s="17">
        <f t="shared" si="192"/>
        <v>130.06666666666666</v>
      </c>
      <c r="I191" s="17">
        <f t="shared" si="193"/>
        <v>130</v>
      </c>
      <c r="J191" s="17">
        <f t="shared" si="194"/>
        <v>129.86666666666667</v>
      </c>
      <c r="K191" s="17">
        <f t="shared" si="195"/>
        <v>129.80000000000001</v>
      </c>
      <c r="L191" s="17">
        <f t="shared" si="196"/>
        <v>129.66666666666666</v>
      </c>
      <c r="M191" s="17">
        <f t="shared" si="197"/>
        <v>129.46666666666667</v>
      </c>
    </row>
    <row r="192" spans="1:13" x14ac:dyDescent="0.35">
      <c r="B192" s="2">
        <v>30</v>
      </c>
      <c r="C192" s="2">
        <f t="shared" si="187"/>
        <v>593</v>
      </c>
      <c r="D192" s="2">
        <f t="shared" si="188"/>
        <v>563</v>
      </c>
      <c r="E192" s="3">
        <f t="shared" si="189"/>
        <v>3941</v>
      </c>
      <c r="F192" s="17">
        <f t="shared" si="190"/>
        <v>131.33333333333334</v>
      </c>
      <c r="G192" s="17">
        <f t="shared" si="191"/>
        <v>131.13333333333333</v>
      </c>
      <c r="H192" s="17">
        <f t="shared" si="192"/>
        <v>131</v>
      </c>
      <c r="I192" s="17">
        <f t="shared" si="193"/>
        <v>130.93333333333334</v>
      </c>
      <c r="J192" s="17">
        <f t="shared" si="194"/>
        <v>130.80000000000001</v>
      </c>
      <c r="K192" s="17">
        <f t="shared" si="195"/>
        <v>130.73333333333332</v>
      </c>
      <c r="L192" s="17">
        <f t="shared" si="196"/>
        <v>130.6</v>
      </c>
      <c r="M192" s="17">
        <f t="shared" si="197"/>
        <v>130.4</v>
      </c>
    </row>
    <row r="193" spans="1:13" x14ac:dyDescent="0.35">
      <c r="B193" s="2">
        <v>30</v>
      </c>
      <c r="C193" s="2">
        <f t="shared" si="187"/>
        <v>599</v>
      </c>
      <c r="D193" s="2">
        <f t="shared" si="188"/>
        <v>569</v>
      </c>
      <c r="E193" s="3">
        <f t="shared" si="189"/>
        <v>3983</v>
      </c>
      <c r="F193" s="17">
        <f t="shared" si="190"/>
        <v>132.73333333333332</v>
      </c>
      <c r="G193" s="17">
        <f t="shared" si="191"/>
        <v>132.53333333333333</v>
      </c>
      <c r="H193" s="17">
        <f t="shared" si="192"/>
        <v>132.4</v>
      </c>
      <c r="I193" s="17">
        <f t="shared" si="193"/>
        <v>132.33333333333334</v>
      </c>
      <c r="J193" s="17">
        <f t="shared" si="194"/>
        <v>132.19999999999999</v>
      </c>
      <c r="K193" s="17">
        <f t="shared" si="195"/>
        <v>132.13333333333333</v>
      </c>
      <c r="L193" s="17">
        <f t="shared" si="196"/>
        <v>132</v>
      </c>
      <c r="M193" s="17">
        <f t="shared" si="197"/>
        <v>131.80000000000001</v>
      </c>
    </row>
    <row r="194" spans="1:13" ht="16.8" thickBot="1" x14ac:dyDescent="0.4">
      <c r="F194" s="17"/>
      <c r="G194" s="17"/>
      <c r="H194" s="17"/>
      <c r="I194" s="17"/>
      <c r="J194" s="17"/>
      <c r="K194" s="17"/>
      <c r="L194" s="17"/>
      <c r="M194" s="17"/>
    </row>
    <row r="195" spans="1:13" ht="16.8" thickBot="1" x14ac:dyDescent="0.4">
      <c r="A195" s="1">
        <v>20</v>
      </c>
      <c r="C195" s="18" t="s">
        <v>2</v>
      </c>
      <c r="E195" s="13">
        <f>E176</f>
        <v>3577</v>
      </c>
      <c r="F195" s="19">
        <v>1</v>
      </c>
      <c r="G195" s="20">
        <v>7</v>
      </c>
      <c r="H195" s="20">
        <v>11</v>
      </c>
      <c r="I195" s="20">
        <v>13</v>
      </c>
      <c r="J195" s="20">
        <v>17</v>
      </c>
      <c r="K195" s="20">
        <v>19</v>
      </c>
      <c r="L195" s="20">
        <v>23</v>
      </c>
      <c r="M195" s="21">
        <v>29</v>
      </c>
    </row>
    <row r="196" spans="1:13" x14ac:dyDescent="0.35">
      <c r="B196" s="2">
        <v>30</v>
      </c>
      <c r="C196" s="2">
        <f>D196+B196</f>
        <v>601</v>
      </c>
      <c r="D196" s="2">
        <f>C186</f>
        <v>571</v>
      </c>
      <c r="E196" s="3">
        <f>D196*$E$5</f>
        <v>3997</v>
      </c>
      <c r="F196" s="17">
        <f>(E196-1)/30</f>
        <v>133.19999999999999</v>
      </c>
      <c r="G196" s="17">
        <f>($E196-7)/30</f>
        <v>133</v>
      </c>
      <c r="H196" s="17">
        <f>($E196-11)/30</f>
        <v>132.86666666666667</v>
      </c>
      <c r="I196" s="17">
        <f>($E196-13)/30</f>
        <v>132.80000000000001</v>
      </c>
      <c r="J196" s="17">
        <f>($E196-17)/30</f>
        <v>132.66666666666666</v>
      </c>
      <c r="K196" s="17">
        <f>($E196-19)/30</f>
        <v>132.6</v>
      </c>
      <c r="L196" s="17">
        <f>($E196-23)/30</f>
        <v>132.46666666666667</v>
      </c>
      <c r="M196" s="17">
        <f>($E196-29)/30</f>
        <v>132.26666666666668</v>
      </c>
    </row>
    <row r="197" spans="1:13" x14ac:dyDescent="0.35">
      <c r="B197" s="2">
        <v>30</v>
      </c>
      <c r="C197" s="2">
        <f t="shared" ref="C197:C203" si="198">D197+B197</f>
        <v>607</v>
      </c>
      <c r="D197" s="2">
        <f t="shared" ref="D197:D203" si="199">C187</f>
        <v>577</v>
      </c>
      <c r="E197" s="3">
        <f t="shared" ref="E197:E203" si="200">D197*$E$5</f>
        <v>4039</v>
      </c>
      <c r="F197" s="17">
        <f t="shared" ref="F197:F203" si="201">(E197-1)/30</f>
        <v>134.6</v>
      </c>
      <c r="G197" s="17">
        <f t="shared" ref="G197:G203" si="202">($E197-7)/30</f>
        <v>134.4</v>
      </c>
      <c r="H197" s="17">
        <f t="shared" ref="H197:H203" si="203">($E197-11)/30</f>
        <v>134.26666666666668</v>
      </c>
      <c r="I197" s="17">
        <f t="shared" ref="I197:I203" si="204">($E197-13)/30</f>
        <v>134.19999999999999</v>
      </c>
      <c r="J197" s="17">
        <f t="shared" ref="J197:J203" si="205">($E197-17)/30</f>
        <v>134.06666666666666</v>
      </c>
      <c r="K197" s="17">
        <f t="shared" ref="K197:K203" si="206">($E197-19)/30</f>
        <v>134</v>
      </c>
      <c r="L197" s="17">
        <f t="shared" ref="L197:L203" si="207">($E197-23)/30</f>
        <v>133.86666666666667</v>
      </c>
      <c r="M197" s="17">
        <f t="shared" ref="M197:M203" si="208">($E197-29)/30</f>
        <v>133.66666666666666</v>
      </c>
    </row>
    <row r="198" spans="1:13" x14ac:dyDescent="0.35">
      <c r="B198" s="2">
        <v>30</v>
      </c>
      <c r="C198" s="2">
        <f t="shared" si="198"/>
        <v>611</v>
      </c>
      <c r="D198" s="2">
        <f t="shared" si="199"/>
        <v>581</v>
      </c>
      <c r="E198" s="3">
        <f t="shared" si="200"/>
        <v>4067</v>
      </c>
      <c r="F198" s="17">
        <f t="shared" si="201"/>
        <v>135.53333333333333</v>
      </c>
      <c r="G198" s="17">
        <f t="shared" si="202"/>
        <v>135.33333333333334</v>
      </c>
      <c r="H198" s="17">
        <f t="shared" si="203"/>
        <v>135.19999999999999</v>
      </c>
      <c r="I198" s="17">
        <f t="shared" si="204"/>
        <v>135.13333333333333</v>
      </c>
      <c r="J198" s="17">
        <f t="shared" si="205"/>
        <v>135</v>
      </c>
      <c r="K198" s="17">
        <f t="shared" si="206"/>
        <v>134.93333333333334</v>
      </c>
      <c r="L198" s="17">
        <f t="shared" si="207"/>
        <v>134.80000000000001</v>
      </c>
      <c r="M198" s="17">
        <f t="shared" si="208"/>
        <v>134.6</v>
      </c>
    </row>
    <row r="199" spans="1:13" x14ac:dyDescent="0.35">
      <c r="B199" s="2">
        <v>30</v>
      </c>
      <c r="C199" s="2">
        <f t="shared" si="198"/>
        <v>613</v>
      </c>
      <c r="D199" s="2">
        <f t="shared" si="199"/>
        <v>583</v>
      </c>
      <c r="E199" s="3">
        <f t="shared" si="200"/>
        <v>4081</v>
      </c>
      <c r="F199" s="17">
        <f t="shared" si="201"/>
        <v>136</v>
      </c>
      <c r="G199" s="17">
        <f t="shared" si="202"/>
        <v>135.80000000000001</v>
      </c>
      <c r="H199" s="17">
        <f t="shared" si="203"/>
        <v>135.66666666666666</v>
      </c>
      <c r="I199" s="17">
        <f t="shared" si="204"/>
        <v>135.6</v>
      </c>
      <c r="J199" s="17">
        <f t="shared" si="205"/>
        <v>135.46666666666667</v>
      </c>
      <c r="K199" s="17">
        <f t="shared" si="206"/>
        <v>135.4</v>
      </c>
      <c r="L199" s="17">
        <f t="shared" si="207"/>
        <v>135.26666666666668</v>
      </c>
      <c r="M199" s="17">
        <f t="shared" si="208"/>
        <v>135.06666666666666</v>
      </c>
    </row>
    <row r="200" spans="1:13" x14ac:dyDescent="0.35">
      <c r="B200" s="2">
        <v>30</v>
      </c>
      <c r="C200" s="2">
        <f t="shared" si="198"/>
        <v>617</v>
      </c>
      <c r="D200" s="2">
        <f t="shared" si="199"/>
        <v>587</v>
      </c>
      <c r="E200" s="3">
        <f t="shared" si="200"/>
        <v>4109</v>
      </c>
      <c r="F200" s="17">
        <f t="shared" si="201"/>
        <v>136.93333333333334</v>
      </c>
      <c r="G200" s="17">
        <f t="shared" si="202"/>
        <v>136.73333333333332</v>
      </c>
      <c r="H200" s="17">
        <f t="shared" si="203"/>
        <v>136.6</v>
      </c>
      <c r="I200" s="17">
        <f t="shared" si="204"/>
        <v>136.53333333333333</v>
      </c>
      <c r="J200" s="17">
        <f t="shared" si="205"/>
        <v>136.4</v>
      </c>
      <c r="K200" s="17">
        <f t="shared" si="206"/>
        <v>136.33333333333334</v>
      </c>
      <c r="L200" s="17">
        <f t="shared" si="207"/>
        <v>136.19999999999999</v>
      </c>
      <c r="M200" s="17">
        <f t="shared" si="208"/>
        <v>136</v>
      </c>
    </row>
    <row r="201" spans="1:13" x14ac:dyDescent="0.35">
      <c r="B201" s="2">
        <v>30</v>
      </c>
      <c r="C201" s="2">
        <f t="shared" si="198"/>
        <v>619</v>
      </c>
      <c r="D201" s="2">
        <f t="shared" si="199"/>
        <v>589</v>
      </c>
      <c r="E201" s="3">
        <f t="shared" si="200"/>
        <v>4123</v>
      </c>
      <c r="F201" s="17">
        <f t="shared" si="201"/>
        <v>137.4</v>
      </c>
      <c r="G201" s="17">
        <f t="shared" si="202"/>
        <v>137.19999999999999</v>
      </c>
      <c r="H201" s="17">
        <f t="shared" si="203"/>
        <v>137.06666666666666</v>
      </c>
      <c r="I201" s="17">
        <f t="shared" si="204"/>
        <v>137</v>
      </c>
      <c r="J201" s="17">
        <f t="shared" si="205"/>
        <v>136.86666666666667</v>
      </c>
      <c r="K201" s="17">
        <f t="shared" si="206"/>
        <v>136.80000000000001</v>
      </c>
      <c r="L201" s="17">
        <f t="shared" si="207"/>
        <v>136.66666666666666</v>
      </c>
      <c r="M201" s="17">
        <f t="shared" si="208"/>
        <v>136.46666666666667</v>
      </c>
    </row>
    <row r="202" spans="1:13" x14ac:dyDescent="0.35">
      <c r="B202" s="2">
        <v>30</v>
      </c>
      <c r="C202" s="2">
        <f t="shared" si="198"/>
        <v>623</v>
      </c>
      <c r="D202" s="2">
        <f t="shared" si="199"/>
        <v>593</v>
      </c>
      <c r="E202" s="3">
        <f t="shared" si="200"/>
        <v>4151</v>
      </c>
      <c r="F202" s="17">
        <f t="shared" si="201"/>
        <v>138.33333333333334</v>
      </c>
      <c r="G202" s="17">
        <f t="shared" si="202"/>
        <v>138.13333333333333</v>
      </c>
      <c r="H202" s="17">
        <f t="shared" si="203"/>
        <v>138</v>
      </c>
      <c r="I202" s="17">
        <f t="shared" si="204"/>
        <v>137.93333333333334</v>
      </c>
      <c r="J202" s="17">
        <f t="shared" si="205"/>
        <v>137.80000000000001</v>
      </c>
      <c r="K202" s="17">
        <f t="shared" si="206"/>
        <v>137.73333333333332</v>
      </c>
      <c r="L202" s="17">
        <f t="shared" si="207"/>
        <v>137.6</v>
      </c>
      <c r="M202" s="17">
        <f t="shared" si="208"/>
        <v>137.4</v>
      </c>
    </row>
    <row r="203" spans="1:13" x14ac:dyDescent="0.35">
      <c r="B203" s="2">
        <v>30</v>
      </c>
      <c r="C203" s="2">
        <f t="shared" si="198"/>
        <v>629</v>
      </c>
      <c r="D203" s="2">
        <f t="shared" si="199"/>
        <v>599</v>
      </c>
      <c r="E203" s="3">
        <f t="shared" si="200"/>
        <v>4193</v>
      </c>
      <c r="F203" s="17">
        <f t="shared" si="201"/>
        <v>139.73333333333332</v>
      </c>
      <c r="G203" s="17">
        <f t="shared" si="202"/>
        <v>139.53333333333333</v>
      </c>
      <c r="H203" s="17">
        <f t="shared" si="203"/>
        <v>139.4</v>
      </c>
      <c r="I203" s="17">
        <f t="shared" si="204"/>
        <v>139.33333333333334</v>
      </c>
      <c r="J203" s="17">
        <f t="shared" si="205"/>
        <v>139.19999999999999</v>
      </c>
      <c r="K203" s="17">
        <f t="shared" si="206"/>
        <v>139.13333333333333</v>
      </c>
      <c r="L203" s="17">
        <f t="shared" si="207"/>
        <v>139</v>
      </c>
      <c r="M203" s="17">
        <f t="shared" si="208"/>
        <v>138.80000000000001</v>
      </c>
    </row>
    <row r="204" spans="1:13" ht="16.8" thickBot="1" x14ac:dyDescent="0.4">
      <c r="F204" s="17"/>
      <c r="G204" s="17"/>
      <c r="H204" s="17"/>
      <c r="I204" s="17"/>
      <c r="J204" s="17"/>
      <c r="K204" s="17"/>
      <c r="L204" s="17"/>
      <c r="M204" s="17"/>
    </row>
    <row r="205" spans="1:13" ht="16.8" thickBot="1" x14ac:dyDescent="0.4">
      <c r="A205" s="1">
        <v>21</v>
      </c>
      <c r="C205" s="18" t="s">
        <v>2</v>
      </c>
      <c r="E205" s="13">
        <f>E186</f>
        <v>3787</v>
      </c>
      <c r="F205" s="19">
        <v>1</v>
      </c>
      <c r="G205" s="20">
        <v>7</v>
      </c>
      <c r="H205" s="20">
        <v>11</v>
      </c>
      <c r="I205" s="20">
        <v>13</v>
      </c>
      <c r="J205" s="20">
        <v>17</v>
      </c>
      <c r="K205" s="20">
        <v>19</v>
      </c>
      <c r="L205" s="20">
        <v>23</v>
      </c>
      <c r="M205" s="21">
        <v>29</v>
      </c>
    </row>
    <row r="206" spans="1:13" x14ac:dyDescent="0.35">
      <c r="B206" s="2">
        <v>30</v>
      </c>
      <c r="C206" s="2">
        <f>D206+B206</f>
        <v>631</v>
      </c>
      <c r="D206" s="2">
        <f>C196</f>
        <v>601</v>
      </c>
      <c r="E206" s="3">
        <f>D206*$E$5</f>
        <v>4207</v>
      </c>
      <c r="F206" s="17">
        <f>(E206-1)/30</f>
        <v>140.19999999999999</v>
      </c>
      <c r="G206" s="17">
        <f>($E206-7)/30</f>
        <v>140</v>
      </c>
      <c r="H206" s="17">
        <f>($E206-11)/30</f>
        <v>139.86666666666667</v>
      </c>
      <c r="I206" s="17">
        <f>($E206-13)/30</f>
        <v>139.80000000000001</v>
      </c>
      <c r="J206" s="17">
        <f>($E206-17)/30</f>
        <v>139.66666666666666</v>
      </c>
      <c r="K206" s="17">
        <f>($E206-19)/30</f>
        <v>139.6</v>
      </c>
      <c r="L206" s="17">
        <f>($E206-23)/30</f>
        <v>139.46666666666667</v>
      </c>
      <c r="M206" s="17">
        <f>($E206-29)/30</f>
        <v>139.26666666666668</v>
      </c>
    </row>
    <row r="207" spans="1:13" x14ac:dyDescent="0.35">
      <c r="B207" s="2">
        <v>30</v>
      </c>
      <c r="C207" s="2">
        <f t="shared" ref="C207:C213" si="209">D207+B207</f>
        <v>637</v>
      </c>
      <c r="D207" s="2">
        <f t="shared" ref="D207:D213" si="210">C197</f>
        <v>607</v>
      </c>
      <c r="E207" s="3">
        <f t="shared" ref="E207:E213" si="211">D207*$E$5</f>
        <v>4249</v>
      </c>
      <c r="F207" s="17">
        <f t="shared" ref="F207:F213" si="212">(E207-1)/30</f>
        <v>141.6</v>
      </c>
      <c r="G207" s="17">
        <f t="shared" ref="G207:G213" si="213">($E207-7)/30</f>
        <v>141.4</v>
      </c>
      <c r="H207" s="17">
        <f t="shared" ref="H207:H213" si="214">($E207-11)/30</f>
        <v>141.26666666666668</v>
      </c>
      <c r="I207" s="17">
        <f t="shared" ref="I207:I213" si="215">($E207-13)/30</f>
        <v>141.19999999999999</v>
      </c>
      <c r="J207" s="17">
        <f t="shared" ref="J207:J213" si="216">($E207-17)/30</f>
        <v>141.06666666666666</v>
      </c>
      <c r="K207" s="17">
        <f t="shared" ref="K207:K213" si="217">($E207-19)/30</f>
        <v>141</v>
      </c>
      <c r="L207" s="17">
        <f t="shared" ref="L207:L213" si="218">($E207-23)/30</f>
        <v>140.86666666666667</v>
      </c>
      <c r="M207" s="17">
        <f t="shared" ref="M207:M213" si="219">($E207-29)/30</f>
        <v>140.66666666666666</v>
      </c>
    </row>
    <row r="208" spans="1:13" x14ac:dyDescent="0.35">
      <c r="B208" s="2">
        <v>30</v>
      </c>
      <c r="C208" s="2">
        <f t="shared" si="209"/>
        <v>641</v>
      </c>
      <c r="D208" s="2">
        <f t="shared" si="210"/>
        <v>611</v>
      </c>
      <c r="E208" s="3">
        <f t="shared" si="211"/>
        <v>4277</v>
      </c>
      <c r="F208" s="17">
        <f t="shared" si="212"/>
        <v>142.53333333333333</v>
      </c>
      <c r="G208" s="17">
        <f t="shared" si="213"/>
        <v>142.33333333333334</v>
      </c>
      <c r="H208" s="17">
        <f t="shared" si="214"/>
        <v>142.19999999999999</v>
      </c>
      <c r="I208" s="17">
        <f t="shared" si="215"/>
        <v>142.13333333333333</v>
      </c>
      <c r="J208" s="17">
        <f t="shared" si="216"/>
        <v>142</v>
      </c>
      <c r="K208" s="17">
        <f t="shared" si="217"/>
        <v>141.93333333333334</v>
      </c>
      <c r="L208" s="17">
        <f t="shared" si="218"/>
        <v>141.80000000000001</v>
      </c>
      <c r="M208" s="17">
        <f t="shared" si="219"/>
        <v>141.6</v>
      </c>
    </row>
    <row r="209" spans="1:13" x14ac:dyDescent="0.35">
      <c r="B209" s="2">
        <v>30</v>
      </c>
      <c r="C209" s="2">
        <f t="shared" si="209"/>
        <v>643</v>
      </c>
      <c r="D209" s="2">
        <f t="shared" si="210"/>
        <v>613</v>
      </c>
      <c r="E209" s="3">
        <f t="shared" si="211"/>
        <v>4291</v>
      </c>
      <c r="F209" s="17">
        <f t="shared" si="212"/>
        <v>143</v>
      </c>
      <c r="G209" s="17">
        <f t="shared" si="213"/>
        <v>142.80000000000001</v>
      </c>
      <c r="H209" s="17">
        <f t="shared" si="214"/>
        <v>142.66666666666666</v>
      </c>
      <c r="I209" s="17">
        <f t="shared" si="215"/>
        <v>142.6</v>
      </c>
      <c r="J209" s="17">
        <f t="shared" si="216"/>
        <v>142.46666666666667</v>
      </c>
      <c r="K209" s="17">
        <f t="shared" si="217"/>
        <v>142.4</v>
      </c>
      <c r="L209" s="17">
        <f t="shared" si="218"/>
        <v>142.26666666666668</v>
      </c>
      <c r="M209" s="17">
        <f t="shared" si="219"/>
        <v>142.06666666666666</v>
      </c>
    </row>
    <row r="210" spans="1:13" x14ac:dyDescent="0.35">
      <c r="B210" s="2">
        <v>30</v>
      </c>
      <c r="C210" s="2">
        <f t="shared" si="209"/>
        <v>647</v>
      </c>
      <c r="D210" s="2">
        <f t="shared" si="210"/>
        <v>617</v>
      </c>
      <c r="E210" s="3">
        <f t="shared" si="211"/>
        <v>4319</v>
      </c>
      <c r="F210" s="17">
        <f t="shared" si="212"/>
        <v>143.93333333333334</v>
      </c>
      <c r="G210" s="17">
        <f t="shared" si="213"/>
        <v>143.73333333333332</v>
      </c>
      <c r="H210" s="17">
        <f t="shared" si="214"/>
        <v>143.6</v>
      </c>
      <c r="I210" s="17">
        <f t="shared" si="215"/>
        <v>143.53333333333333</v>
      </c>
      <c r="J210" s="17">
        <f t="shared" si="216"/>
        <v>143.4</v>
      </c>
      <c r="K210" s="17">
        <f t="shared" si="217"/>
        <v>143.33333333333334</v>
      </c>
      <c r="L210" s="17">
        <f t="shared" si="218"/>
        <v>143.19999999999999</v>
      </c>
      <c r="M210" s="17">
        <f t="shared" si="219"/>
        <v>143</v>
      </c>
    </row>
    <row r="211" spans="1:13" x14ac:dyDescent="0.35">
      <c r="B211" s="2">
        <v>30</v>
      </c>
      <c r="C211" s="2">
        <f t="shared" si="209"/>
        <v>649</v>
      </c>
      <c r="D211" s="2">
        <f t="shared" si="210"/>
        <v>619</v>
      </c>
      <c r="E211" s="3">
        <f t="shared" si="211"/>
        <v>4333</v>
      </c>
      <c r="F211" s="17">
        <f t="shared" si="212"/>
        <v>144.4</v>
      </c>
      <c r="G211" s="17">
        <f t="shared" si="213"/>
        <v>144.19999999999999</v>
      </c>
      <c r="H211" s="17">
        <f t="shared" si="214"/>
        <v>144.06666666666666</v>
      </c>
      <c r="I211" s="17">
        <f t="shared" si="215"/>
        <v>144</v>
      </c>
      <c r="J211" s="17">
        <f t="shared" si="216"/>
        <v>143.86666666666667</v>
      </c>
      <c r="K211" s="17">
        <f t="shared" si="217"/>
        <v>143.80000000000001</v>
      </c>
      <c r="L211" s="17">
        <f t="shared" si="218"/>
        <v>143.66666666666666</v>
      </c>
      <c r="M211" s="17">
        <f t="shared" si="219"/>
        <v>143.46666666666667</v>
      </c>
    </row>
    <row r="212" spans="1:13" x14ac:dyDescent="0.35">
      <c r="B212" s="2">
        <v>30</v>
      </c>
      <c r="C212" s="2">
        <f t="shared" si="209"/>
        <v>653</v>
      </c>
      <c r="D212" s="2">
        <f t="shared" si="210"/>
        <v>623</v>
      </c>
      <c r="E212" s="3">
        <f t="shared" si="211"/>
        <v>4361</v>
      </c>
      <c r="F212" s="17">
        <f t="shared" si="212"/>
        <v>145.33333333333334</v>
      </c>
      <c r="G212" s="17">
        <f t="shared" si="213"/>
        <v>145.13333333333333</v>
      </c>
      <c r="H212" s="17">
        <f t="shared" si="214"/>
        <v>145</v>
      </c>
      <c r="I212" s="17">
        <f t="shared" si="215"/>
        <v>144.93333333333334</v>
      </c>
      <c r="J212" s="17">
        <f t="shared" si="216"/>
        <v>144.80000000000001</v>
      </c>
      <c r="K212" s="17">
        <f t="shared" si="217"/>
        <v>144.73333333333332</v>
      </c>
      <c r="L212" s="17">
        <f t="shared" si="218"/>
        <v>144.6</v>
      </c>
      <c r="M212" s="17">
        <f t="shared" si="219"/>
        <v>144.4</v>
      </c>
    </row>
    <row r="213" spans="1:13" x14ac:dyDescent="0.35">
      <c r="B213" s="2">
        <v>30</v>
      </c>
      <c r="C213" s="2">
        <f t="shared" si="209"/>
        <v>659</v>
      </c>
      <c r="D213" s="2">
        <f t="shared" si="210"/>
        <v>629</v>
      </c>
      <c r="E213" s="3">
        <f t="shared" si="211"/>
        <v>4403</v>
      </c>
      <c r="F213" s="17">
        <f t="shared" si="212"/>
        <v>146.73333333333332</v>
      </c>
      <c r="G213" s="17">
        <f t="shared" si="213"/>
        <v>146.53333333333333</v>
      </c>
      <c r="H213" s="17">
        <f t="shared" si="214"/>
        <v>146.4</v>
      </c>
      <c r="I213" s="17">
        <f t="shared" si="215"/>
        <v>146.33333333333334</v>
      </c>
      <c r="J213" s="17">
        <f t="shared" si="216"/>
        <v>146.19999999999999</v>
      </c>
      <c r="K213" s="17">
        <f t="shared" si="217"/>
        <v>146.13333333333333</v>
      </c>
      <c r="L213" s="17">
        <f t="shared" si="218"/>
        <v>146</v>
      </c>
      <c r="M213" s="17">
        <f t="shared" si="219"/>
        <v>145.80000000000001</v>
      </c>
    </row>
    <row r="214" spans="1:13" ht="16.8" thickBot="1" x14ac:dyDescent="0.4">
      <c r="F214" s="17"/>
      <c r="G214" s="17"/>
      <c r="H214" s="17"/>
      <c r="I214" s="17"/>
      <c r="J214" s="17"/>
      <c r="K214" s="17"/>
      <c r="L214" s="17"/>
      <c r="M214" s="17"/>
    </row>
    <row r="215" spans="1:13" ht="16.8" thickBot="1" x14ac:dyDescent="0.4">
      <c r="A215" s="1">
        <v>22</v>
      </c>
      <c r="C215" s="18" t="s">
        <v>2</v>
      </c>
      <c r="E215" s="13">
        <f>E196</f>
        <v>3997</v>
      </c>
      <c r="F215" s="19">
        <v>1</v>
      </c>
      <c r="G215" s="20">
        <v>7</v>
      </c>
      <c r="H215" s="20">
        <v>11</v>
      </c>
      <c r="I215" s="20">
        <v>13</v>
      </c>
      <c r="J215" s="20">
        <v>17</v>
      </c>
      <c r="K215" s="20">
        <v>19</v>
      </c>
      <c r="L215" s="20">
        <v>23</v>
      </c>
      <c r="M215" s="21">
        <v>29</v>
      </c>
    </row>
    <row r="216" spans="1:13" x14ac:dyDescent="0.35">
      <c r="B216" s="2">
        <v>30</v>
      </c>
      <c r="C216" s="2">
        <f>D216+B216</f>
        <v>661</v>
      </c>
      <c r="D216" s="2">
        <f>C206</f>
        <v>631</v>
      </c>
      <c r="E216" s="3">
        <f>D216*$E$5</f>
        <v>4417</v>
      </c>
      <c r="F216" s="17">
        <f>(E216-1)/30</f>
        <v>147.19999999999999</v>
      </c>
      <c r="G216" s="17">
        <f>($E216-7)/30</f>
        <v>147</v>
      </c>
      <c r="H216" s="17">
        <f>($E216-11)/30</f>
        <v>146.86666666666667</v>
      </c>
      <c r="I216" s="17">
        <f>($E216-13)/30</f>
        <v>146.80000000000001</v>
      </c>
      <c r="J216" s="17">
        <f>($E216-17)/30</f>
        <v>146.66666666666666</v>
      </c>
      <c r="K216" s="17">
        <f>($E216-19)/30</f>
        <v>146.6</v>
      </c>
      <c r="L216" s="17">
        <f>($E216-23)/30</f>
        <v>146.46666666666667</v>
      </c>
      <c r="M216" s="17">
        <f>($E216-29)/30</f>
        <v>146.26666666666668</v>
      </c>
    </row>
    <row r="217" spans="1:13" x14ac:dyDescent="0.35">
      <c r="B217" s="2">
        <v>30</v>
      </c>
      <c r="C217" s="2">
        <f t="shared" ref="C217:C223" si="220">D217+B217</f>
        <v>667</v>
      </c>
      <c r="D217" s="2">
        <f t="shared" ref="D217:D223" si="221">C207</f>
        <v>637</v>
      </c>
      <c r="E217" s="3">
        <f t="shared" ref="E217:E223" si="222">D217*$E$5</f>
        <v>4459</v>
      </c>
      <c r="F217" s="17">
        <f t="shared" ref="F217:F223" si="223">(E217-1)/30</f>
        <v>148.6</v>
      </c>
      <c r="G217" s="17">
        <f t="shared" ref="G217:G223" si="224">($E217-7)/30</f>
        <v>148.4</v>
      </c>
      <c r="H217" s="17">
        <f t="shared" ref="H217:H223" si="225">($E217-11)/30</f>
        <v>148.26666666666668</v>
      </c>
      <c r="I217" s="17">
        <f t="shared" ref="I217:I223" si="226">($E217-13)/30</f>
        <v>148.19999999999999</v>
      </c>
      <c r="J217" s="17">
        <f t="shared" ref="J217:J223" si="227">($E217-17)/30</f>
        <v>148.06666666666666</v>
      </c>
      <c r="K217" s="17">
        <f t="shared" ref="K217:K223" si="228">($E217-19)/30</f>
        <v>148</v>
      </c>
      <c r="L217" s="17">
        <f t="shared" ref="L217:L223" si="229">($E217-23)/30</f>
        <v>147.86666666666667</v>
      </c>
      <c r="M217" s="17">
        <f t="shared" ref="M217:M223" si="230">($E217-29)/30</f>
        <v>147.66666666666666</v>
      </c>
    </row>
    <row r="218" spans="1:13" x14ac:dyDescent="0.35">
      <c r="B218" s="2">
        <v>30</v>
      </c>
      <c r="C218" s="2">
        <f t="shared" si="220"/>
        <v>671</v>
      </c>
      <c r="D218" s="2">
        <f t="shared" si="221"/>
        <v>641</v>
      </c>
      <c r="E218" s="3">
        <f t="shared" si="222"/>
        <v>4487</v>
      </c>
      <c r="F218" s="17">
        <f t="shared" si="223"/>
        <v>149.53333333333333</v>
      </c>
      <c r="G218" s="17">
        <f t="shared" si="224"/>
        <v>149.33333333333334</v>
      </c>
      <c r="H218" s="17">
        <f t="shared" si="225"/>
        <v>149.19999999999999</v>
      </c>
      <c r="I218" s="17">
        <f t="shared" si="226"/>
        <v>149.13333333333333</v>
      </c>
      <c r="J218" s="17">
        <f t="shared" si="227"/>
        <v>149</v>
      </c>
      <c r="K218" s="17">
        <f t="shared" si="228"/>
        <v>148.93333333333334</v>
      </c>
      <c r="L218" s="17">
        <f t="shared" si="229"/>
        <v>148.80000000000001</v>
      </c>
      <c r="M218" s="17">
        <f t="shared" si="230"/>
        <v>148.6</v>
      </c>
    </row>
    <row r="219" spans="1:13" x14ac:dyDescent="0.35">
      <c r="B219" s="2">
        <v>30</v>
      </c>
      <c r="C219" s="2">
        <f t="shared" si="220"/>
        <v>673</v>
      </c>
      <c r="D219" s="2">
        <f t="shared" si="221"/>
        <v>643</v>
      </c>
      <c r="E219" s="3">
        <f t="shared" si="222"/>
        <v>4501</v>
      </c>
      <c r="F219" s="17">
        <f t="shared" si="223"/>
        <v>150</v>
      </c>
      <c r="G219" s="17">
        <f t="shared" si="224"/>
        <v>149.80000000000001</v>
      </c>
      <c r="H219" s="17">
        <f t="shared" si="225"/>
        <v>149.66666666666666</v>
      </c>
      <c r="I219" s="17">
        <f t="shared" si="226"/>
        <v>149.6</v>
      </c>
      <c r="J219" s="17">
        <f t="shared" si="227"/>
        <v>149.46666666666667</v>
      </c>
      <c r="K219" s="17">
        <f t="shared" si="228"/>
        <v>149.4</v>
      </c>
      <c r="L219" s="17">
        <f t="shared" si="229"/>
        <v>149.26666666666668</v>
      </c>
      <c r="M219" s="17">
        <f t="shared" si="230"/>
        <v>149.06666666666666</v>
      </c>
    </row>
    <row r="220" spans="1:13" x14ac:dyDescent="0.35">
      <c r="B220" s="2">
        <v>30</v>
      </c>
      <c r="C220" s="2">
        <f t="shared" si="220"/>
        <v>677</v>
      </c>
      <c r="D220" s="2">
        <f t="shared" si="221"/>
        <v>647</v>
      </c>
      <c r="E220" s="3">
        <f t="shared" si="222"/>
        <v>4529</v>
      </c>
      <c r="F220" s="17">
        <f t="shared" si="223"/>
        <v>150.93333333333334</v>
      </c>
      <c r="G220" s="17">
        <f t="shared" si="224"/>
        <v>150.73333333333332</v>
      </c>
      <c r="H220" s="17">
        <f t="shared" si="225"/>
        <v>150.6</v>
      </c>
      <c r="I220" s="17">
        <f t="shared" si="226"/>
        <v>150.53333333333333</v>
      </c>
      <c r="J220" s="17">
        <f t="shared" si="227"/>
        <v>150.4</v>
      </c>
      <c r="K220" s="17">
        <f t="shared" si="228"/>
        <v>150.33333333333334</v>
      </c>
      <c r="L220" s="17">
        <f t="shared" si="229"/>
        <v>150.19999999999999</v>
      </c>
      <c r="M220" s="17">
        <f t="shared" si="230"/>
        <v>150</v>
      </c>
    </row>
    <row r="221" spans="1:13" x14ac:dyDescent="0.35">
      <c r="B221" s="2">
        <v>30</v>
      </c>
      <c r="C221" s="2">
        <f t="shared" si="220"/>
        <v>679</v>
      </c>
      <c r="D221" s="2">
        <f t="shared" si="221"/>
        <v>649</v>
      </c>
      <c r="E221" s="3">
        <f t="shared" si="222"/>
        <v>4543</v>
      </c>
      <c r="F221" s="17">
        <f t="shared" si="223"/>
        <v>151.4</v>
      </c>
      <c r="G221" s="17">
        <f t="shared" si="224"/>
        <v>151.19999999999999</v>
      </c>
      <c r="H221" s="17">
        <f t="shared" si="225"/>
        <v>151.06666666666666</v>
      </c>
      <c r="I221" s="17">
        <f t="shared" si="226"/>
        <v>151</v>
      </c>
      <c r="J221" s="17">
        <f t="shared" si="227"/>
        <v>150.86666666666667</v>
      </c>
      <c r="K221" s="17">
        <f t="shared" si="228"/>
        <v>150.80000000000001</v>
      </c>
      <c r="L221" s="17">
        <f t="shared" si="229"/>
        <v>150.66666666666666</v>
      </c>
      <c r="M221" s="17">
        <f t="shared" si="230"/>
        <v>150.46666666666667</v>
      </c>
    </row>
    <row r="222" spans="1:13" x14ac:dyDescent="0.35">
      <c r="B222" s="2">
        <v>30</v>
      </c>
      <c r="C222" s="2">
        <f t="shared" si="220"/>
        <v>683</v>
      </c>
      <c r="D222" s="2">
        <f t="shared" si="221"/>
        <v>653</v>
      </c>
      <c r="E222" s="3">
        <f t="shared" si="222"/>
        <v>4571</v>
      </c>
      <c r="F222" s="17">
        <f t="shared" si="223"/>
        <v>152.33333333333334</v>
      </c>
      <c r="G222" s="17">
        <f t="shared" si="224"/>
        <v>152.13333333333333</v>
      </c>
      <c r="H222" s="17">
        <f t="shared" si="225"/>
        <v>152</v>
      </c>
      <c r="I222" s="17">
        <f t="shared" si="226"/>
        <v>151.93333333333334</v>
      </c>
      <c r="J222" s="17">
        <f t="shared" si="227"/>
        <v>151.80000000000001</v>
      </c>
      <c r="K222" s="17">
        <f t="shared" si="228"/>
        <v>151.73333333333332</v>
      </c>
      <c r="L222" s="17">
        <f t="shared" si="229"/>
        <v>151.6</v>
      </c>
      <c r="M222" s="17">
        <f t="shared" si="230"/>
        <v>151.4</v>
      </c>
    </row>
    <row r="223" spans="1:13" x14ac:dyDescent="0.35">
      <c r="B223" s="2">
        <v>30</v>
      </c>
      <c r="C223" s="2">
        <f t="shared" si="220"/>
        <v>689</v>
      </c>
      <c r="D223" s="2">
        <f t="shared" si="221"/>
        <v>659</v>
      </c>
      <c r="E223" s="3">
        <f t="shared" si="222"/>
        <v>4613</v>
      </c>
      <c r="F223" s="17">
        <f t="shared" si="223"/>
        <v>153.73333333333332</v>
      </c>
      <c r="G223" s="17">
        <f t="shared" si="224"/>
        <v>153.53333333333333</v>
      </c>
      <c r="H223" s="17">
        <f t="shared" si="225"/>
        <v>153.4</v>
      </c>
      <c r="I223" s="17">
        <f t="shared" si="226"/>
        <v>153.33333333333334</v>
      </c>
      <c r="J223" s="17">
        <f t="shared" si="227"/>
        <v>153.19999999999999</v>
      </c>
      <c r="K223" s="17">
        <f t="shared" si="228"/>
        <v>153.13333333333333</v>
      </c>
      <c r="L223" s="17">
        <f t="shared" si="229"/>
        <v>153</v>
      </c>
      <c r="M223" s="17">
        <f t="shared" si="230"/>
        <v>152.80000000000001</v>
      </c>
    </row>
    <row r="224" spans="1:13" ht="16.8" thickBot="1" x14ac:dyDescent="0.4">
      <c r="F224" s="17"/>
      <c r="G224" s="17"/>
      <c r="H224" s="17"/>
      <c r="I224" s="17"/>
      <c r="J224" s="17"/>
      <c r="K224" s="17"/>
      <c r="L224" s="17"/>
      <c r="M224" s="17"/>
    </row>
    <row r="225" spans="1:13" ht="16.8" thickBot="1" x14ac:dyDescent="0.4">
      <c r="A225" s="1">
        <v>23</v>
      </c>
      <c r="C225" s="18" t="s">
        <v>2</v>
      </c>
      <c r="E225" s="13">
        <f>E206</f>
        <v>4207</v>
      </c>
      <c r="F225" s="19">
        <v>1</v>
      </c>
      <c r="G225" s="20">
        <v>7</v>
      </c>
      <c r="H225" s="20">
        <v>11</v>
      </c>
      <c r="I225" s="20">
        <v>13</v>
      </c>
      <c r="J225" s="20">
        <v>17</v>
      </c>
      <c r="K225" s="20">
        <v>19</v>
      </c>
      <c r="L225" s="20">
        <v>23</v>
      </c>
      <c r="M225" s="21">
        <v>29</v>
      </c>
    </row>
    <row r="226" spans="1:13" x14ac:dyDescent="0.35">
      <c r="B226" s="2">
        <v>30</v>
      </c>
      <c r="C226" s="2">
        <f>D226+B226</f>
        <v>691</v>
      </c>
      <c r="D226" s="2">
        <f>C216</f>
        <v>661</v>
      </c>
      <c r="E226" s="3">
        <f>D226*$E$5</f>
        <v>4627</v>
      </c>
      <c r="F226" s="17">
        <f>(E226-1)/30</f>
        <v>154.19999999999999</v>
      </c>
      <c r="G226" s="17">
        <f>($E226-7)/30</f>
        <v>154</v>
      </c>
      <c r="H226" s="17">
        <f>($E226-11)/30</f>
        <v>153.86666666666667</v>
      </c>
      <c r="I226" s="17">
        <f>($E226-13)/30</f>
        <v>153.80000000000001</v>
      </c>
      <c r="J226" s="17">
        <f>($E226-17)/30</f>
        <v>153.66666666666666</v>
      </c>
      <c r="K226" s="17">
        <f>($E226-19)/30</f>
        <v>153.6</v>
      </c>
      <c r="L226" s="17">
        <f>($E226-23)/30</f>
        <v>153.46666666666667</v>
      </c>
      <c r="M226" s="17">
        <f>($E226-29)/30</f>
        <v>153.26666666666668</v>
      </c>
    </row>
    <row r="227" spans="1:13" x14ac:dyDescent="0.35">
      <c r="B227" s="2">
        <v>30</v>
      </c>
      <c r="C227" s="2">
        <f t="shared" ref="C227:C233" si="231">D227+B227</f>
        <v>697</v>
      </c>
      <c r="D227" s="2">
        <f t="shared" ref="D227:D233" si="232">C217</f>
        <v>667</v>
      </c>
      <c r="E227" s="3">
        <f t="shared" ref="E227:E233" si="233">D227*$E$5</f>
        <v>4669</v>
      </c>
      <c r="F227" s="17">
        <f t="shared" ref="F227:F233" si="234">(E227-1)/30</f>
        <v>155.6</v>
      </c>
      <c r="G227" s="17">
        <f t="shared" ref="G227:G233" si="235">($E227-7)/30</f>
        <v>155.4</v>
      </c>
      <c r="H227" s="17">
        <f t="shared" ref="H227:H233" si="236">($E227-11)/30</f>
        <v>155.26666666666668</v>
      </c>
      <c r="I227" s="17">
        <f t="shared" ref="I227:I233" si="237">($E227-13)/30</f>
        <v>155.19999999999999</v>
      </c>
      <c r="J227" s="17">
        <f t="shared" ref="J227:J233" si="238">($E227-17)/30</f>
        <v>155.06666666666666</v>
      </c>
      <c r="K227" s="17">
        <f t="shared" ref="K227:K233" si="239">($E227-19)/30</f>
        <v>155</v>
      </c>
      <c r="L227" s="17">
        <f t="shared" ref="L227:L233" si="240">($E227-23)/30</f>
        <v>154.86666666666667</v>
      </c>
      <c r="M227" s="17">
        <f t="shared" ref="M227:M233" si="241">($E227-29)/30</f>
        <v>154.66666666666666</v>
      </c>
    </row>
    <row r="228" spans="1:13" x14ac:dyDescent="0.35">
      <c r="B228" s="2">
        <v>30</v>
      </c>
      <c r="C228" s="2">
        <f t="shared" si="231"/>
        <v>701</v>
      </c>
      <c r="D228" s="2">
        <f t="shared" si="232"/>
        <v>671</v>
      </c>
      <c r="E228" s="3">
        <f t="shared" si="233"/>
        <v>4697</v>
      </c>
      <c r="F228" s="17">
        <f t="shared" si="234"/>
        <v>156.53333333333333</v>
      </c>
      <c r="G228" s="17">
        <f t="shared" si="235"/>
        <v>156.33333333333334</v>
      </c>
      <c r="H228" s="17">
        <f t="shared" si="236"/>
        <v>156.19999999999999</v>
      </c>
      <c r="I228" s="17">
        <f t="shared" si="237"/>
        <v>156.13333333333333</v>
      </c>
      <c r="J228" s="17">
        <f t="shared" si="238"/>
        <v>156</v>
      </c>
      <c r="K228" s="17">
        <f t="shared" si="239"/>
        <v>155.93333333333334</v>
      </c>
      <c r="L228" s="17">
        <f t="shared" si="240"/>
        <v>155.80000000000001</v>
      </c>
      <c r="M228" s="17">
        <f t="shared" si="241"/>
        <v>155.6</v>
      </c>
    </row>
    <row r="229" spans="1:13" x14ac:dyDescent="0.35">
      <c r="B229" s="2">
        <v>30</v>
      </c>
      <c r="C229" s="2">
        <f t="shared" si="231"/>
        <v>703</v>
      </c>
      <c r="D229" s="2">
        <f t="shared" si="232"/>
        <v>673</v>
      </c>
      <c r="E229" s="3">
        <f t="shared" si="233"/>
        <v>4711</v>
      </c>
      <c r="F229" s="17">
        <f t="shared" si="234"/>
        <v>157</v>
      </c>
      <c r="G229" s="17">
        <f t="shared" si="235"/>
        <v>156.80000000000001</v>
      </c>
      <c r="H229" s="17">
        <f t="shared" si="236"/>
        <v>156.66666666666666</v>
      </c>
      <c r="I229" s="17">
        <f t="shared" si="237"/>
        <v>156.6</v>
      </c>
      <c r="J229" s="17">
        <f t="shared" si="238"/>
        <v>156.46666666666667</v>
      </c>
      <c r="K229" s="17">
        <f t="shared" si="239"/>
        <v>156.4</v>
      </c>
      <c r="L229" s="17">
        <f t="shared" si="240"/>
        <v>156.26666666666668</v>
      </c>
      <c r="M229" s="17">
        <f t="shared" si="241"/>
        <v>156.06666666666666</v>
      </c>
    </row>
    <row r="230" spans="1:13" x14ac:dyDescent="0.35">
      <c r="B230" s="2">
        <v>30</v>
      </c>
      <c r="C230" s="2">
        <f t="shared" si="231"/>
        <v>707</v>
      </c>
      <c r="D230" s="2">
        <f t="shared" si="232"/>
        <v>677</v>
      </c>
      <c r="E230" s="3">
        <f t="shared" si="233"/>
        <v>4739</v>
      </c>
      <c r="F230" s="17">
        <f t="shared" si="234"/>
        <v>157.93333333333334</v>
      </c>
      <c r="G230" s="17">
        <f t="shared" si="235"/>
        <v>157.73333333333332</v>
      </c>
      <c r="H230" s="17">
        <f t="shared" si="236"/>
        <v>157.6</v>
      </c>
      <c r="I230" s="17">
        <f t="shared" si="237"/>
        <v>157.53333333333333</v>
      </c>
      <c r="J230" s="17">
        <f t="shared" si="238"/>
        <v>157.4</v>
      </c>
      <c r="K230" s="17">
        <f t="shared" si="239"/>
        <v>157.33333333333334</v>
      </c>
      <c r="L230" s="17">
        <f t="shared" si="240"/>
        <v>157.19999999999999</v>
      </c>
      <c r="M230" s="17">
        <f t="shared" si="241"/>
        <v>157</v>
      </c>
    </row>
    <row r="231" spans="1:13" x14ac:dyDescent="0.35">
      <c r="B231" s="2">
        <v>30</v>
      </c>
      <c r="C231" s="2">
        <f t="shared" si="231"/>
        <v>709</v>
      </c>
      <c r="D231" s="2">
        <f t="shared" si="232"/>
        <v>679</v>
      </c>
      <c r="E231" s="3">
        <f t="shared" si="233"/>
        <v>4753</v>
      </c>
      <c r="F231" s="17">
        <f t="shared" si="234"/>
        <v>158.4</v>
      </c>
      <c r="G231" s="17">
        <f t="shared" si="235"/>
        <v>158.19999999999999</v>
      </c>
      <c r="H231" s="17">
        <f t="shared" si="236"/>
        <v>158.06666666666666</v>
      </c>
      <c r="I231" s="17">
        <f t="shared" si="237"/>
        <v>158</v>
      </c>
      <c r="J231" s="17">
        <f t="shared" si="238"/>
        <v>157.86666666666667</v>
      </c>
      <c r="K231" s="17">
        <f t="shared" si="239"/>
        <v>157.80000000000001</v>
      </c>
      <c r="L231" s="17">
        <f t="shared" si="240"/>
        <v>157.66666666666666</v>
      </c>
      <c r="M231" s="17">
        <f t="shared" si="241"/>
        <v>157.46666666666667</v>
      </c>
    </row>
    <row r="232" spans="1:13" x14ac:dyDescent="0.35">
      <c r="B232" s="2">
        <v>30</v>
      </c>
      <c r="C232" s="2">
        <f t="shared" si="231"/>
        <v>713</v>
      </c>
      <c r="D232" s="2">
        <f t="shared" si="232"/>
        <v>683</v>
      </c>
      <c r="E232" s="3">
        <f t="shared" si="233"/>
        <v>4781</v>
      </c>
      <c r="F232" s="17">
        <f t="shared" si="234"/>
        <v>159.33333333333334</v>
      </c>
      <c r="G232" s="17">
        <f t="shared" si="235"/>
        <v>159.13333333333333</v>
      </c>
      <c r="H232" s="17">
        <f t="shared" si="236"/>
        <v>159</v>
      </c>
      <c r="I232" s="17">
        <f t="shared" si="237"/>
        <v>158.93333333333334</v>
      </c>
      <c r="J232" s="17">
        <f t="shared" si="238"/>
        <v>158.80000000000001</v>
      </c>
      <c r="K232" s="17">
        <f t="shared" si="239"/>
        <v>158.73333333333332</v>
      </c>
      <c r="L232" s="17">
        <f t="shared" si="240"/>
        <v>158.6</v>
      </c>
      <c r="M232" s="17">
        <f t="shared" si="241"/>
        <v>158.4</v>
      </c>
    </row>
    <row r="233" spans="1:13" x14ac:dyDescent="0.35">
      <c r="B233" s="2">
        <v>30</v>
      </c>
      <c r="C233" s="2">
        <f t="shared" si="231"/>
        <v>719</v>
      </c>
      <c r="D233" s="2">
        <f t="shared" si="232"/>
        <v>689</v>
      </c>
      <c r="E233" s="3">
        <f t="shared" si="233"/>
        <v>4823</v>
      </c>
      <c r="F233" s="17">
        <f t="shared" si="234"/>
        <v>160.73333333333332</v>
      </c>
      <c r="G233" s="17">
        <f t="shared" si="235"/>
        <v>160.53333333333333</v>
      </c>
      <c r="H233" s="17">
        <f t="shared" si="236"/>
        <v>160.4</v>
      </c>
      <c r="I233" s="17">
        <f t="shared" si="237"/>
        <v>160.33333333333334</v>
      </c>
      <c r="J233" s="17">
        <f t="shared" si="238"/>
        <v>160.19999999999999</v>
      </c>
      <c r="K233" s="17">
        <f t="shared" si="239"/>
        <v>160.13333333333333</v>
      </c>
      <c r="L233" s="17">
        <f t="shared" si="240"/>
        <v>160</v>
      </c>
      <c r="M233" s="17">
        <f t="shared" si="241"/>
        <v>159.80000000000001</v>
      </c>
    </row>
    <row r="234" spans="1:13" ht="16.8" thickBot="1" x14ac:dyDescent="0.4">
      <c r="F234" s="17"/>
      <c r="G234" s="17"/>
      <c r="H234" s="17"/>
      <c r="I234" s="17"/>
      <c r="J234" s="17"/>
      <c r="K234" s="17"/>
      <c r="L234" s="17"/>
      <c r="M234" s="17"/>
    </row>
    <row r="235" spans="1:13" ht="16.8" thickBot="1" x14ac:dyDescent="0.4">
      <c r="A235" s="1">
        <v>24</v>
      </c>
      <c r="C235" s="18" t="s">
        <v>2</v>
      </c>
      <c r="E235" s="13">
        <f>E216</f>
        <v>4417</v>
      </c>
      <c r="F235" s="19">
        <v>1</v>
      </c>
      <c r="G235" s="20">
        <v>7</v>
      </c>
      <c r="H235" s="20">
        <v>11</v>
      </c>
      <c r="I235" s="20">
        <v>13</v>
      </c>
      <c r="J235" s="20">
        <v>17</v>
      </c>
      <c r="K235" s="20">
        <v>19</v>
      </c>
      <c r="L235" s="20">
        <v>23</v>
      </c>
      <c r="M235" s="21">
        <v>29</v>
      </c>
    </row>
    <row r="236" spans="1:13" x14ac:dyDescent="0.35">
      <c r="B236" s="2">
        <v>30</v>
      </c>
      <c r="C236" s="2">
        <f>D236+B236</f>
        <v>721</v>
      </c>
      <c r="D236" s="2">
        <f>C226</f>
        <v>691</v>
      </c>
      <c r="E236" s="3">
        <f>D236*$E$5</f>
        <v>4837</v>
      </c>
      <c r="F236" s="17">
        <f>(E236-1)/30</f>
        <v>161.19999999999999</v>
      </c>
      <c r="G236" s="17">
        <f>($E236-7)/30</f>
        <v>161</v>
      </c>
      <c r="H236" s="17">
        <f>($E236-11)/30</f>
        <v>160.86666666666667</v>
      </c>
      <c r="I236" s="17">
        <f>($E236-13)/30</f>
        <v>160.80000000000001</v>
      </c>
      <c r="J236" s="17">
        <f>($E236-17)/30</f>
        <v>160.66666666666666</v>
      </c>
      <c r="K236" s="17">
        <f>($E236-19)/30</f>
        <v>160.6</v>
      </c>
      <c r="L236" s="17">
        <f>($E236-23)/30</f>
        <v>160.46666666666667</v>
      </c>
      <c r="M236" s="17">
        <f>($E236-29)/30</f>
        <v>160.26666666666668</v>
      </c>
    </row>
    <row r="237" spans="1:13" x14ac:dyDescent="0.35">
      <c r="B237" s="2">
        <v>30</v>
      </c>
      <c r="C237" s="2">
        <f t="shared" ref="C237:C243" si="242">D237+B237</f>
        <v>727</v>
      </c>
      <c r="D237" s="2">
        <f t="shared" ref="D237:D243" si="243">C227</f>
        <v>697</v>
      </c>
      <c r="E237" s="3">
        <f t="shared" ref="E237:E243" si="244">D237*$E$5</f>
        <v>4879</v>
      </c>
      <c r="F237" s="17">
        <f t="shared" ref="F237:F243" si="245">(E237-1)/30</f>
        <v>162.6</v>
      </c>
      <c r="G237" s="17">
        <f t="shared" ref="G237:G243" si="246">($E237-7)/30</f>
        <v>162.4</v>
      </c>
      <c r="H237" s="17">
        <f t="shared" ref="H237:H243" si="247">($E237-11)/30</f>
        <v>162.26666666666668</v>
      </c>
      <c r="I237" s="17">
        <f t="shared" ref="I237:I243" si="248">($E237-13)/30</f>
        <v>162.19999999999999</v>
      </c>
      <c r="J237" s="17">
        <f t="shared" ref="J237:J243" si="249">($E237-17)/30</f>
        <v>162.06666666666666</v>
      </c>
      <c r="K237" s="17">
        <f t="shared" ref="K237:K243" si="250">($E237-19)/30</f>
        <v>162</v>
      </c>
      <c r="L237" s="17">
        <f t="shared" ref="L237:L243" si="251">($E237-23)/30</f>
        <v>161.86666666666667</v>
      </c>
      <c r="M237" s="17">
        <f t="shared" ref="M237:M243" si="252">($E237-29)/30</f>
        <v>161.66666666666666</v>
      </c>
    </row>
    <row r="238" spans="1:13" x14ac:dyDescent="0.35">
      <c r="B238" s="2">
        <v>30</v>
      </c>
      <c r="C238" s="2">
        <f t="shared" si="242"/>
        <v>731</v>
      </c>
      <c r="D238" s="2">
        <f t="shared" si="243"/>
        <v>701</v>
      </c>
      <c r="E238" s="3">
        <f t="shared" si="244"/>
        <v>4907</v>
      </c>
      <c r="F238" s="17">
        <f t="shared" si="245"/>
        <v>163.53333333333333</v>
      </c>
      <c r="G238" s="17">
        <f t="shared" si="246"/>
        <v>163.33333333333334</v>
      </c>
      <c r="H238" s="17">
        <f t="shared" si="247"/>
        <v>163.19999999999999</v>
      </c>
      <c r="I238" s="17">
        <f t="shared" si="248"/>
        <v>163.13333333333333</v>
      </c>
      <c r="J238" s="17">
        <f t="shared" si="249"/>
        <v>163</v>
      </c>
      <c r="K238" s="17">
        <f t="shared" si="250"/>
        <v>162.93333333333334</v>
      </c>
      <c r="L238" s="17">
        <f t="shared" si="251"/>
        <v>162.80000000000001</v>
      </c>
      <c r="M238" s="17">
        <f t="shared" si="252"/>
        <v>162.6</v>
      </c>
    </row>
    <row r="239" spans="1:13" x14ac:dyDescent="0.35">
      <c r="B239" s="2">
        <v>30</v>
      </c>
      <c r="C239" s="2">
        <f t="shared" si="242"/>
        <v>733</v>
      </c>
      <c r="D239" s="2">
        <f t="shared" si="243"/>
        <v>703</v>
      </c>
      <c r="E239" s="3">
        <f t="shared" si="244"/>
        <v>4921</v>
      </c>
      <c r="F239" s="17">
        <f t="shared" si="245"/>
        <v>164</v>
      </c>
      <c r="G239" s="17">
        <f t="shared" si="246"/>
        <v>163.80000000000001</v>
      </c>
      <c r="H239" s="17">
        <f t="shared" si="247"/>
        <v>163.66666666666666</v>
      </c>
      <c r="I239" s="17">
        <f t="shared" si="248"/>
        <v>163.6</v>
      </c>
      <c r="J239" s="17">
        <f t="shared" si="249"/>
        <v>163.46666666666667</v>
      </c>
      <c r="K239" s="17">
        <f t="shared" si="250"/>
        <v>163.4</v>
      </c>
      <c r="L239" s="17">
        <f t="shared" si="251"/>
        <v>163.26666666666668</v>
      </c>
      <c r="M239" s="17">
        <f t="shared" si="252"/>
        <v>163.06666666666666</v>
      </c>
    </row>
    <row r="240" spans="1:13" x14ac:dyDescent="0.35">
      <c r="B240" s="2">
        <v>30</v>
      </c>
      <c r="C240" s="2">
        <f t="shared" si="242"/>
        <v>737</v>
      </c>
      <c r="D240" s="2">
        <f t="shared" si="243"/>
        <v>707</v>
      </c>
      <c r="E240" s="3">
        <f t="shared" si="244"/>
        <v>4949</v>
      </c>
      <c r="F240" s="17">
        <f t="shared" si="245"/>
        <v>164.93333333333334</v>
      </c>
      <c r="G240" s="17">
        <f t="shared" si="246"/>
        <v>164.73333333333332</v>
      </c>
      <c r="H240" s="17">
        <f t="shared" si="247"/>
        <v>164.6</v>
      </c>
      <c r="I240" s="17">
        <f t="shared" si="248"/>
        <v>164.53333333333333</v>
      </c>
      <c r="J240" s="17">
        <f t="shared" si="249"/>
        <v>164.4</v>
      </c>
      <c r="K240" s="17">
        <f t="shared" si="250"/>
        <v>164.33333333333334</v>
      </c>
      <c r="L240" s="17">
        <f t="shared" si="251"/>
        <v>164.2</v>
      </c>
      <c r="M240" s="17">
        <f t="shared" si="252"/>
        <v>164</v>
      </c>
    </row>
    <row r="241" spans="1:13" x14ac:dyDescent="0.35">
      <c r="B241" s="2">
        <v>30</v>
      </c>
      <c r="C241" s="2">
        <f t="shared" si="242"/>
        <v>739</v>
      </c>
      <c r="D241" s="2">
        <f t="shared" si="243"/>
        <v>709</v>
      </c>
      <c r="E241" s="3">
        <f t="shared" si="244"/>
        <v>4963</v>
      </c>
      <c r="F241" s="17">
        <f t="shared" si="245"/>
        <v>165.4</v>
      </c>
      <c r="G241" s="17">
        <f t="shared" si="246"/>
        <v>165.2</v>
      </c>
      <c r="H241" s="17">
        <f t="shared" si="247"/>
        <v>165.06666666666666</v>
      </c>
      <c r="I241" s="17">
        <f t="shared" si="248"/>
        <v>165</v>
      </c>
      <c r="J241" s="17">
        <f t="shared" si="249"/>
        <v>164.86666666666667</v>
      </c>
      <c r="K241" s="17">
        <f t="shared" si="250"/>
        <v>164.8</v>
      </c>
      <c r="L241" s="17">
        <f t="shared" si="251"/>
        <v>164.66666666666666</v>
      </c>
      <c r="M241" s="17">
        <f t="shared" si="252"/>
        <v>164.46666666666667</v>
      </c>
    </row>
    <row r="242" spans="1:13" x14ac:dyDescent="0.35">
      <c r="B242" s="2">
        <v>30</v>
      </c>
      <c r="C242" s="2">
        <f t="shared" si="242"/>
        <v>743</v>
      </c>
      <c r="D242" s="2">
        <f t="shared" si="243"/>
        <v>713</v>
      </c>
      <c r="E242" s="3">
        <f t="shared" si="244"/>
        <v>4991</v>
      </c>
      <c r="F242" s="17">
        <f t="shared" si="245"/>
        <v>166.33333333333334</v>
      </c>
      <c r="G242" s="17">
        <f t="shared" si="246"/>
        <v>166.13333333333333</v>
      </c>
      <c r="H242" s="17">
        <f t="shared" si="247"/>
        <v>166</v>
      </c>
      <c r="I242" s="17">
        <f t="shared" si="248"/>
        <v>165.93333333333334</v>
      </c>
      <c r="J242" s="17">
        <f t="shared" si="249"/>
        <v>165.8</v>
      </c>
      <c r="K242" s="17">
        <f t="shared" si="250"/>
        <v>165.73333333333332</v>
      </c>
      <c r="L242" s="17">
        <f t="shared" si="251"/>
        <v>165.6</v>
      </c>
      <c r="M242" s="17">
        <f t="shared" si="252"/>
        <v>165.4</v>
      </c>
    </row>
    <row r="243" spans="1:13" x14ac:dyDescent="0.35">
      <c r="B243" s="2">
        <v>30</v>
      </c>
      <c r="C243" s="2">
        <f t="shared" si="242"/>
        <v>749</v>
      </c>
      <c r="D243" s="2">
        <f t="shared" si="243"/>
        <v>719</v>
      </c>
      <c r="E243" s="3">
        <f t="shared" si="244"/>
        <v>5033</v>
      </c>
      <c r="F243" s="17">
        <f t="shared" si="245"/>
        <v>167.73333333333332</v>
      </c>
      <c r="G243" s="17">
        <f t="shared" si="246"/>
        <v>167.53333333333333</v>
      </c>
      <c r="H243" s="17">
        <f t="shared" si="247"/>
        <v>167.4</v>
      </c>
      <c r="I243" s="17">
        <f t="shared" si="248"/>
        <v>167.33333333333334</v>
      </c>
      <c r="J243" s="17">
        <f t="shared" si="249"/>
        <v>167.2</v>
      </c>
      <c r="K243" s="17">
        <f t="shared" si="250"/>
        <v>167.13333333333333</v>
      </c>
      <c r="L243" s="17">
        <f t="shared" si="251"/>
        <v>167</v>
      </c>
      <c r="M243" s="17">
        <f t="shared" si="252"/>
        <v>166.8</v>
      </c>
    </row>
    <row r="244" spans="1:13" ht="16.8" thickBot="1" x14ac:dyDescent="0.4">
      <c r="F244" s="17"/>
      <c r="G244" s="17"/>
      <c r="H244" s="17"/>
      <c r="I244" s="17"/>
      <c r="J244" s="17"/>
      <c r="K244" s="17"/>
      <c r="L244" s="17"/>
      <c r="M244" s="17"/>
    </row>
    <row r="245" spans="1:13" ht="16.8" thickBot="1" x14ac:dyDescent="0.4">
      <c r="A245" s="1">
        <v>25</v>
      </c>
      <c r="C245" s="18" t="s">
        <v>2</v>
      </c>
      <c r="E245" s="13">
        <f>E226</f>
        <v>4627</v>
      </c>
      <c r="F245" s="19">
        <v>1</v>
      </c>
      <c r="G245" s="20">
        <v>7</v>
      </c>
      <c r="H245" s="20">
        <v>11</v>
      </c>
      <c r="I245" s="20">
        <v>13</v>
      </c>
      <c r="J245" s="20">
        <v>17</v>
      </c>
      <c r="K245" s="20">
        <v>19</v>
      </c>
      <c r="L245" s="20">
        <v>23</v>
      </c>
      <c r="M245" s="21">
        <v>29</v>
      </c>
    </row>
    <row r="246" spans="1:13" x14ac:dyDescent="0.35">
      <c r="B246" s="2">
        <v>30</v>
      </c>
      <c r="C246" s="2">
        <f>D246+B246</f>
        <v>751</v>
      </c>
      <c r="D246" s="2">
        <f>C236</f>
        <v>721</v>
      </c>
      <c r="E246" s="3">
        <f>D246*$E$5</f>
        <v>5047</v>
      </c>
      <c r="F246" s="17">
        <f>(E246-1)/30</f>
        <v>168.2</v>
      </c>
      <c r="G246" s="17">
        <f>($E246-7)/30</f>
        <v>168</v>
      </c>
      <c r="H246" s="17">
        <f>($E246-11)/30</f>
        <v>167.86666666666667</v>
      </c>
      <c r="I246" s="17">
        <f>($E246-13)/30</f>
        <v>167.8</v>
      </c>
      <c r="J246" s="17">
        <f>($E246-17)/30</f>
        <v>167.66666666666666</v>
      </c>
      <c r="K246" s="17">
        <f>($E246-19)/30</f>
        <v>167.6</v>
      </c>
      <c r="L246" s="17">
        <f>($E246-23)/30</f>
        <v>167.46666666666667</v>
      </c>
      <c r="M246" s="17">
        <f>($E246-29)/30</f>
        <v>167.26666666666668</v>
      </c>
    </row>
    <row r="247" spans="1:13" x14ac:dyDescent="0.35">
      <c r="B247" s="2">
        <v>30</v>
      </c>
      <c r="C247" s="2">
        <f t="shared" ref="C247:C253" si="253">D247+B247</f>
        <v>757</v>
      </c>
      <c r="D247" s="2">
        <f t="shared" ref="D247:D253" si="254">C237</f>
        <v>727</v>
      </c>
      <c r="E247" s="3">
        <f t="shared" ref="E247:E253" si="255">D247*$E$5</f>
        <v>5089</v>
      </c>
      <c r="F247" s="17">
        <f t="shared" ref="F247:F253" si="256">(E247-1)/30</f>
        <v>169.6</v>
      </c>
      <c r="G247" s="17">
        <f t="shared" ref="G247:G253" si="257">($E247-7)/30</f>
        <v>169.4</v>
      </c>
      <c r="H247" s="17">
        <f t="shared" ref="H247:H253" si="258">($E247-11)/30</f>
        <v>169.26666666666668</v>
      </c>
      <c r="I247" s="17">
        <f t="shared" ref="I247:I253" si="259">($E247-13)/30</f>
        <v>169.2</v>
      </c>
      <c r="J247" s="17">
        <f t="shared" ref="J247:J253" si="260">($E247-17)/30</f>
        <v>169.06666666666666</v>
      </c>
      <c r="K247" s="17">
        <f t="shared" ref="K247:K253" si="261">($E247-19)/30</f>
        <v>169</v>
      </c>
      <c r="L247" s="17">
        <f t="shared" ref="L247:L253" si="262">($E247-23)/30</f>
        <v>168.86666666666667</v>
      </c>
      <c r="M247" s="17">
        <f t="shared" ref="M247:M253" si="263">($E247-29)/30</f>
        <v>168.66666666666666</v>
      </c>
    </row>
    <row r="248" spans="1:13" x14ac:dyDescent="0.35">
      <c r="B248" s="2">
        <v>30</v>
      </c>
      <c r="C248" s="2">
        <f t="shared" si="253"/>
        <v>761</v>
      </c>
      <c r="D248" s="2">
        <f t="shared" si="254"/>
        <v>731</v>
      </c>
      <c r="E248" s="3">
        <f t="shared" si="255"/>
        <v>5117</v>
      </c>
      <c r="F248" s="17">
        <f t="shared" si="256"/>
        <v>170.53333333333333</v>
      </c>
      <c r="G248" s="17">
        <f t="shared" si="257"/>
        <v>170.33333333333334</v>
      </c>
      <c r="H248" s="17">
        <f t="shared" si="258"/>
        <v>170.2</v>
      </c>
      <c r="I248" s="17">
        <f t="shared" si="259"/>
        <v>170.13333333333333</v>
      </c>
      <c r="J248" s="17">
        <f t="shared" si="260"/>
        <v>170</v>
      </c>
      <c r="K248" s="17">
        <f t="shared" si="261"/>
        <v>169.93333333333334</v>
      </c>
      <c r="L248" s="17">
        <f t="shared" si="262"/>
        <v>169.8</v>
      </c>
      <c r="M248" s="17">
        <f t="shared" si="263"/>
        <v>169.6</v>
      </c>
    </row>
    <row r="249" spans="1:13" x14ac:dyDescent="0.35">
      <c r="B249" s="2">
        <v>30</v>
      </c>
      <c r="C249" s="2">
        <f t="shared" si="253"/>
        <v>763</v>
      </c>
      <c r="D249" s="2">
        <f t="shared" si="254"/>
        <v>733</v>
      </c>
      <c r="E249" s="3">
        <f t="shared" si="255"/>
        <v>5131</v>
      </c>
      <c r="F249" s="17">
        <f t="shared" si="256"/>
        <v>171</v>
      </c>
      <c r="G249" s="17">
        <f t="shared" si="257"/>
        <v>170.8</v>
      </c>
      <c r="H249" s="17">
        <f t="shared" si="258"/>
        <v>170.66666666666666</v>
      </c>
      <c r="I249" s="17">
        <f t="shared" si="259"/>
        <v>170.6</v>
      </c>
      <c r="J249" s="17">
        <f t="shared" si="260"/>
        <v>170.46666666666667</v>
      </c>
      <c r="K249" s="17">
        <f t="shared" si="261"/>
        <v>170.4</v>
      </c>
      <c r="L249" s="17">
        <f t="shared" si="262"/>
        <v>170.26666666666668</v>
      </c>
      <c r="M249" s="17">
        <f t="shared" si="263"/>
        <v>170.06666666666666</v>
      </c>
    </row>
    <row r="250" spans="1:13" x14ac:dyDescent="0.35">
      <c r="B250" s="2">
        <v>30</v>
      </c>
      <c r="C250" s="2">
        <f t="shared" si="253"/>
        <v>767</v>
      </c>
      <c r="D250" s="2">
        <f t="shared" si="254"/>
        <v>737</v>
      </c>
      <c r="E250" s="3">
        <f t="shared" si="255"/>
        <v>5159</v>
      </c>
      <c r="F250" s="17">
        <f t="shared" si="256"/>
        <v>171.93333333333334</v>
      </c>
      <c r="G250" s="17">
        <f t="shared" si="257"/>
        <v>171.73333333333332</v>
      </c>
      <c r="H250" s="17">
        <f t="shared" si="258"/>
        <v>171.6</v>
      </c>
      <c r="I250" s="17">
        <f t="shared" si="259"/>
        <v>171.53333333333333</v>
      </c>
      <c r="J250" s="17">
        <f t="shared" si="260"/>
        <v>171.4</v>
      </c>
      <c r="K250" s="17">
        <f t="shared" si="261"/>
        <v>171.33333333333334</v>
      </c>
      <c r="L250" s="17">
        <f t="shared" si="262"/>
        <v>171.2</v>
      </c>
      <c r="M250" s="17">
        <f t="shared" si="263"/>
        <v>171</v>
      </c>
    </row>
    <row r="251" spans="1:13" x14ac:dyDescent="0.35">
      <c r="B251" s="2">
        <v>30</v>
      </c>
      <c r="C251" s="2">
        <f t="shared" si="253"/>
        <v>769</v>
      </c>
      <c r="D251" s="2">
        <f t="shared" si="254"/>
        <v>739</v>
      </c>
      <c r="E251" s="3">
        <f t="shared" si="255"/>
        <v>5173</v>
      </c>
      <c r="F251" s="17">
        <f t="shared" si="256"/>
        <v>172.4</v>
      </c>
      <c r="G251" s="17">
        <f t="shared" si="257"/>
        <v>172.2</v>
      </c>
      <c r="H251" s="17">
        <f t="shared" si="258"/>
        <v>172.06666666666666</v>
      </c>
      <c r="I251" s="17">
        <f t="shared" si="259"/>
        <v>172</v>
      </c>
      <c r="J251" s="17">
        <f t="shared" si="260"/>
        <v>171.86666666666667</v>
      </c>
      <c r="K251" s="17">
        <f t="shared" si="261"/>
        <v>171.8</v>
      </c>
      <c r="L251" s="17">
        <f t="shared" si="262"/>
        <v>171.66666666666666</v>
      </c>
      <c r="M251" s="17">
        <f t="shared" si="263"/>
        <v>171.46666666666667</v>
      </c>
    </row>
    <row r="252" spans="1:13" x14ac:dyDescent="0.35">
      <c r="B252" s="2">
        <v>30</v>
      </c>
      <c r="C252" s="2">
        <f t="shared" si="253"/>
        <v>773</v>
      </c>
      <c r="D252" s="2">
        <f t="shared" si="254"/>
        <v>743</v>
      </c>
      <c r="E252" s="3">
        <f t="shared" si="255"/>
        <v>5201</v>
      </c>
      <c r="F252" s="17">
        <f t="shared" si="256"/>
        <v>173.33333333333334</v>
      </c>
      <c r="G252" s="17">
        <f t="shared" si="257"/>
        <v>173.13333333333333</v>
      </c>
      <c r="H252" s="17">
        <f t="shared" si="258"/>
        <v>173</v>
      </c>
      <c r="I252" s="17">
        <f t="shared" si="259"/>
        <v>172.93333333333334</v>
      </c>
      <c r="J252" s="17">
        <f t="shared" si="260"/>
        <v>172.8</v>
      </c>
      <c r="K252" s="17">
        <f t="shared" si="261"/>
        <v>172.73333333333332</v>
      </c>
      <c r="L252" s="17">
        <f t="shared" si="262"/>
        <v>172.6</v>
      </c>
      <c r="M252" s="17">
        <f t="shared" si="263"/>
        <v>172.4</v>
      </c>
    </row>
    <row r="253" spans="1:13" x14ac:dyDescent="0.35">
      <c r="B253" s="2">
        <v>30</v>
      </c>
      <c r="C253" s="2">
        <f t="shared" si="253"/>
        <v>779</v>
      </c>
      <c r="D253" s="2">
        <f t="shared" si="254"/>
        <v>749</v>
      </c>
      <c r="E253" s="3">
        <f t="shared" si="255"/>
        <v>5243</v>
      </c>
      <c r="F253" s="17">
        <f t="shared" si="256"/>
        <v>174.73333333333332</v>
      </c>
      <c r="G253" s="17">
        <f t="shared" si="257"/>
        <v>174.53333333333333</v>
      </c>
      <c r="H253" s="17">
        <f t="shared" si="258"/>
        <v>174.4</v>
      </c>
      <c r="I253" s="17">
        <f t="shared" si="259"/>
        <v>174.33333333333334</v>
      </c>
      <c r="J253" s="17">
        <f t="shared" si="260"/>
        <v>174.2</v>
      </c>
      <c r="K253" s="17">
        <f t="shared" si="261"/>
        <v>174.13333333333333</v>
      </c>
      <c r="L253" s="17">
        <f t="shared" si="262"/>
        <v>174</v>
      </c>
      <c r="M253" s="17">
        <f t="shared" si="263"/>
        <v>173.8</v>
      </c>
    </row>
    <row r="254" spans="1:13" ht="16.8" thickBot="1" x14ac:dyDescent="0.4">
      <c r="F254" s="17"/>
      <c r="G254" s="17"/>
      <c r="H254" s="17"/>
      <c r="I254" s="17"/>
      <c r="J254" s="17"/>
      <c r="K254" s="17"/>
      <c r="L254" s="17"/>
      <c r="M254" s="17"/>
    </row>
    <row r="255" spans="1:13" ht="16.8" thickBot="1" x14ac:dyDescent="0.4">
      <c r="A255" s="1">
        <v>26</v>
      </c>
      <c r="C255" s="18" t="s">
        <v>2</v>
      </c>
      <c r="E255" s="13">
        <f>E236</f>
        <v>4837</v>
      </c>
      <c r="F255" s="19">
        <v>1</v>
      </c>
      <c r="G255" s="20">
        <v>7</v>
      </c>
      <c r="H255" s="20">
        <v>11</v>
      </c>
      <c r="I255" s="20">
        <v>13</v>
      </c>
      <c r="J255" s="20">
        <v>17</v>
      </c>
      <c r="K255" s="20">
        <v>19</v>
      </c>
      <c r="L255" s="20">
        <v>23</v>
      </c>
      <c r="M255" s="21">
        <v>29</v>
      </c>
    </row>
    <row r="256" spans="1:13" x14ac:dyDescent="0.35">
      <c r="B256" s="2">
        <v>30</v>
      </c>
      <c r="C256" s="2">
        <f>D256+B256</f>
        <v>781</v>
      </c>
      <c r="D256" s="2">
        <f>C246</f>
        <v>751</v>
      </c>
      <c r="E256" s="3">
        <f>D256*$E$5</f>
        <v>5257</v>
      </c>
      <c r="F256" s="17">
        <f>(E256-1)/30</f>
        <v>175.2</v>
      </c>
      <c r="G256" s="17">
        <f>($E256-7)/30</f>
        <v>175</v>
      </c>
      <c r="H256" s="17">
        <f>($E256-11)/30</f>
        <v>174.86666666666667</v>
      </c>
      <c r="I256" s="17">
        <f>($E256-13)/30</f>
        <v>174.8</v>
      </c>
      <c r="J256" s="17">
        <f>($E256-17)/30</f>
        <v>174.66666666666666</v>
      </c>
      <c r="K256" s="17">
        <f>($E256-19)/30</f>
        <v>174.6</v>
      </c>
      <c r="L256" s="17">
        <f>($E256-23)/30</f>
        <v>174.46666666666667</v>
      </c>
      <c r="M256" s="17">
        <f>($E256-29)/30</f>
        <v>174.26666666666668</v>
      </c>
    </row>
    <row r="257" spans="1:13" x14ac:dyDescent="0.35">
      <c r="B257" s="2">
        <v>30</v>
      </c>
      <c r="C257" s="2">
        <f t="shared" ref="C257:C263" si="264">D257+B257</f>
        <v>787</v>
      </c>
      <c r="D257" s="2">
        <f t="shared" ref="D257:D263" si="265">C247</f>
        <v>757</v>
      </c>
      <c r="E257" s="3">
        <f t="shared" ref="E257:E263" si="266">D257*$E$5</f>
        <v>5299</v>
      </c>
      <c r="F257" s="17">
        <f t="shared" ref="F257:F263" si="267">(E257-1)/30</f>
        <v>176.6</v>
      </c>
      <c r="G257" s="17">
        <f t="shared" ref="G257:G263" si="268">($E257-7)/30</f>
        <v>176.4</v>
      </c>
      <c r="H257" s="17">
        <f t="shared" ref="H257:H263" si="269">($E257-11)/30</f>
        <v>176.26666666666668</v>
      </c>
      <c r="I257" s="17">
        <f t="shared" ref="I257:I263" si="270">($E257-13)/30</f>
        <v>176.2</v>
      </c>
      <c r="J257" s="17">
        <f t="shared" ref="J257:J263" si="271">($E257-17)/30</f>
        <v>176.06666666666666</v>
      </c>
      <c r="K257" s="17">
        <f t="shared" ref="K257:K263" si="272">($E257-19)/30</f>
        <v>176</v>
      </c>
      <c r="L257" s="17">
        <f t="shared" ref="L257:L263" si="273">($E257-23)/30</f>
        <v>175.86666666666667</v>
      </c>
      <c r="M257" s="17">
        <f t="shared" ref="M257:M263" si="274">($E257-29)/30</f>
        <v>175.66666666666666</v>
      </c>
    </row>
    <row r="258" spans="1:13" x14ac:dyDescent="0.35">
      <c r="B258" s="2">
        <v>30</v>
      </c>
      <c r="C258" s="2">
        <f t="shared" si="264"/>
        <v>791</v>
      </c>
      <c r="D258" s="2">
        <f t="shared" si="265"/>
        <v>761</v>
      </c>
      <c r="E258" s="3">
        <f t="shared" si="266"/>
        <v>5327</v>
      </c>
      <c r="F258" s="17">
        <f t="shared" si="267"/>
        <v>177.53333333333333</v>
      </c>
      <c r="G258" s="17">
        <f t="shared" si="268"/>
        <v>177.33333333333334</v>
      </c>
      <c r="H258" s="17">
        <f t="shared" si="269"/>
        <v>177.2</v>
      </c>
      <c r="I258" s="17">
        <f t="shared" si="270"/>
        <v>177.13333333333333</v>
      </c>
      <c r="J258" s="17">
        <f t="shared" si="271"/>
        <v>177</v>
      </c>
      <c r="K258" s="17">
        <f t="shared" si="272"/>
        <v>176.93333333333334</v>
      </c>
      <c r="L258" s="17">
        <f t="shared" si="273"/>
        <v>176.8</v>
      </c>
      <c r="M258" s="17">
        <f t="shared" si="274"/>
        <v>176.6</v>
      </c>
    </row>
    <row r="259" spans="1:13" x14ac:dyDescent="0.35">
      <c r="B259" s="2">
        <v>30</v>
      </c>
      <c r="C259" s="2">
        <f t="shared" si="264"/>
        <v>793</v>
      </c>
      <c r="D259" s="2">
        <f t="shared" si="265"/>
        <v>763</v>
      </c>
      <c r="E259" s="3">
        <f t="shared" si="266"/>
        <v>5341</v>
      </c>
      <c r="F259" s="17">
        <f t="shared" si="267"/>
        <v>178</v>
      </c>
      <c r="G259" s="17">
        <f t="shared" si="268"/>
        <v>177.8</v>
      </c>
      <c r="H259" s="17">
        <f t="shared" si="269"/>
        <v>177.66666666666666</v>
      </c>
      <c r="I259" s="17">
        <f t="shared" si="270"/>
        <v>177.6</v>
      </c>
      <c r="J259" s="17">
        <f t="shared" si="271"/>
        <v>177.46666666666667</v>
      </c>
      <c r="K259" s="17">
        <f t="shared" si="272"/>
        <v>177.4</v>
      </c>
      <c r="L259" s="17">
        <f t="shared" si="273"/>
        <v>177.26666666666668</v>
      </c>
      <c r="M259" s="17">
        <f t="shared" si="274"/>
        <v>177.06666666666666</v>
      </c>
    </row>
    <row r="260" spans="1:13" x14ac:dyDescent="0.35">
      <c r="B260" s="2">
        <v>30</v>
      </c>
      <c r="C260" s="2">
        <f t="shared" si="264"/>
        <v>797</v>
      </c>
      <c r="D260" s="2">
        <f t="shared" si="265"/>
        <v>767</v>
      </c>
      <c r="E260" s="3">
        <f t="shared" si="266"/>
        <v>5369</v>
      </c>
      <c r="F260" s="17">
        <f t="shared" si="267"/>
        <v>178.93333333333334</v>
      </c>
      <c r="G260" s="17">
        <f t="shared" si="268"/>
        <v>178.73333333333332</v>
      </c>
      <c r="H260" s="17">
        <f t="shared" si="269"/>
        <v>178.6</v>
      </c>
      <c r="I260" s="17">
        <f t="shared" si="270"/>
        <v>178.53333333333333</v>
      </c>
      <c r="J260" s="17">
        <f t="shared" si="271"/>
        <v>178.4</v>
      </c>
      <c r="K260" s="17">
        <f t="shared" si="272"/>
        <v>178.33333333333334</v>
      </c>
      <c r="L260" s="17">
        <f t="shared" si="273"/>
        <v>178.2</v>
      </c>
      <c r="M260" s="17">
        <f t="shared" si="274"/>
        <v>178</v>
      </c>
    </row>
    <row r="261" spans="1:13" x14ac:dyDescent="0.35">
      <c r="B261" s="2">
        <v>30</v>
      </c>
      <c r="C261" s="2">
        <f t="shared" si="264"/>
        <v>799</v>
      </c>
      <c r="D261" s="2">
        <f t="shared" si="265"/>
        <v>769</v>
      </c>
      <c r="E261" s="3">
        <f t="shared" si="266"/>
        <v>5383</v>
      </c>
      <c r="F261" s="17">
        <f t="shared" si="267"/>
        <v>179.4</v>
      </c>
      <c r="G261" s="17">
        <f t="shared" si="268"/>
        <v>179.2</v>
      </c>
      <c r="H261" s="17">
        <f t="shared" si="269"/>
        <v>179.06666666666666</v>
      </c>
      <c r="I261" s="17">
        <f t="shared" si="270"/>
        <v>179</v>
      </c>
      <c r="J261" s="17">
        <f t="shared" si="271"/>
        <v>178.86666666666667</v>
      </c>
      <c r="K261" s="17">
        <f t="shared" si="272"/>
        <v>178.8</v>
      </c>
      <c r="L261" s="17">
        <f t="shared" si="273"/>
        <v>178.66666666666666</v>
      </c>
      <c r="M261" s="17">
        <f t="shared" si="274"/>
        <v>178.46666666666667</v>
      </c>
    </row>
    <row r="262" spans="1:13" x14ac:dyDescent="0.35">
      <c r="B262" s="2">
        <v>30</v>
      </c>
      <c r="C262" s="2">
        <f t="shared" si="264"/>
        <v>803</v>
      </c>
      <c r="D262" s="2">
        <f t="shared" si="265"/>
        <v>773</v>
      </c>
      <c r="E262" s="3">
        <f t="shared" si="266"/>
        <v>5411</v>
      </c>
      <c r="F262" s="17">
        <f t="shared" si="267"/>
        <v>180.33333333333334</v>
      </c>
      <c r="G262" s="17">
        <f t="shared" si="268"/>
        <v>180.13333333333333</v>
      </c>
      <c r="H262" s="17">
        <f t="shared" si="269"/>
        <v>180</v>
      </c>
      <c r="I262" s="17">
        <f t="shared" si="270"/>
        <v>179.93333333333334</v>
      </c>
      <c r="J262" s="17">
        <f t="shared" si="271"/>
        <v>179.8</v>
      </c>
      <c r="K262" s="17">
        <f t="shared" si="272"/>
        <v>179.73333333333332</v>
      </c>
      <c r="L262" s="17">
        <f t="shared" si="273"/>
        <v>179.6</v>
      </c>
      <c r="M262" s="17">
        <f t="shared" si="274"/>
        <v>179.4</v>
      </c>
    </row>
    <row r="263" spans="1:13" x14ac:dyDescent="0.35">
      <c r="B263" s="2">
        <v>30</v>
      </c>
      <c r="C263" s="2">
        <f t="shared" si="264"/>
        <v>809</v>
      </c>
      <c r="D263" s="2">
        <f t="shared" si="265"/>
        <v>779</v>
      </c>
      <c r="E263" s="3">
        <f t="shared" si="266"/>
        <v>5453</v>
      </c>
      <c r="F263" s="17">
        <f t="shared" si="267"/>
        <v>181.73333333333332</v>
      </c>
      <c r="G263" s="17">
        <f t="shared" si="268"/>
        <v>181.53333333333333</v>
      </c>
      <c r="H263" s="17">
        <f t="shared" si="269"/>
        <v>181.4</v>
      </c>
      <c r="I263" s="17">
        <f t="shared" si="270"/>
        <v>181.33333333333334</v>
      </c>
      <c r="J263" s="17">
        <f t="shared" si="271"/>
        <v>181.2</v>
      </c>
      <c r="K263" s="17">
        <f t="shared" si="272"/>
        <v>181.13333333333333</v>
      </c>
      <c r="L263" s="17">
        <f t="shared" si="273"/>
        <v>181</v>
      </c>
      <c r="M263" s="17">
        <f t="shared" si="274"/>
        <v>180.8</v>
      </c>
    </row>
    <row r="264" spans="1:13" ht="16.8" thickBot="1" x14ac:dyDescent="0.4">
      <c r="F264" s="17"/>
      <c r="G264" s="17"/>
      <c r="H264" s="17"/>
      <c r="I264" s="17"/>
      <c r="J264" s="17"/>
      <c r="K264" s="17"/>
      <c r="L264" s="17"/>
      <c r="M264" s="17"/>
    </row>
    <row r="265" spans="1:13" ht="16.8" thickBot="1" x14ac:dyDescent="0.4">
      <c r="A265" s="1">
        <v>27</v>
      </c>
      <c r="C265" s="18" t="s">
        <v>2</v>
      </c>
      <c r="E265" s="13">
        <f>E246</f>
        <v>5047</v>
      </c>
      <c r="F265" s="19">
        <v>1</v>
      </c>
      <c r="G265" s="20">
        <v>7</v>
      </c>
      <c r="H265" s="20">
        <v>11</v>
      </c>
      <c r="I265" s="20">
        <v>13</v>
      </c>
      <c r="J265" s="20">
        <v>17</v>
      </c>
      <c r="K265" s="20">
        <v>19</v>
      </c>
      <c r="L265" s="20">
        <v>23</v>
      </c>
      <c r="M265" s="21">
        <v>29</v>
      </c>
    </row>
    <row r="266" spans="1:13" x14ac:dyDescent="0.35">
      <c r="B266" s="2">
        <v>30</v>
      </c>
      <c r="C266" s="2">
        <f>D266+B266</f>
        <v>811</v>
      </c>
      <c r="D266" s="2">
        <f>C256</f>
        <v>781</v>
      </c>
      <c r="E266" s="3">
        <f>D266*$E$5</f>
        <v>5467</v>
      </c>
      <c r="F266" s="17">
        <f>(E266-1)/30</f>
        <v>182.2</v>
      </c>
      <c r="G266" s="17">
        <f>($E266-7)/30</f>
        <v>182</v>
      </c>
      <c r="H266" s="17">
        <f>($E266-11)/30</f>
        <v>181.86666666666667</v>
      </c>
      <c r="I266" s="17">
        <f>($E266-13)/30</f>
        <v>181.8</v>
      </c>
      <c r="J266" s="17">
        <f>($E266-17)/30</f>
        <v>181.66666666666666</v>
      </c>
      <c r="K266" s="17">
        <f>($E266-19)/30</f>
        <v>181.6</v>
      </c>
      <c r="L266" s="17">
        <f>($E266-23)/30</f>
        <v>181.46666666666667</v>
      </c>
      <c r="M266" s="17">
        <f>($E266-29)/30</f>
        <v>181.26666666666668</v>
      </c>
    </row>
    <row r="267" spans="1:13" x14ac:dyDescent="0.35">
      <c r="B267" s="2">
        <v>30</v>
      </c>
      <c r="C267" s="2">
        <f t="shared" ref="C267:C273" si="275">D267+B267</f>
        <v>817</v>
      </c>
      <c r="D267" s="2">
        <f t="shared" ref="D267:D273" si="276">C257</f>
        <v>787</v>
      </c>
      <c r="E267" s="3">
        <f t="shared" ref="E267:E273" si="277">D267*$E$5</f>
        <v>5509</v>
      </c>
      <c r="F267" s="17">
        <f t="shared" ref="F267:F273" si="278">(E267-1)/30</f>
        <v>183.6</v>
      </c>
      <c r="G267" s="17">
        <f t="shared" ref="G267:G273" si="279">($E267-7)/30</f>
        <v>183.4</v>
      </c>
      <c r="H267" s="17">
        <f t="shared" ref="H267:H273" si="280">($E267-11)/30</f>
        <v>183.26666666666668</v>
      </c>
      <c r="I267" s="17">
        <f t="shared" ref="I267:I273" si="281">($E267-13)/30</f>
        <v>183.2</v>
      </c>
      <c r="J267" s="17">
        <f t="shared" ref="J267:J273" si="282">($E267-17)/30</f>
        <v>183.06666666666666</v>
      </c>
      <c r="K267" s="17">
        <f t="shared" ref="K267:K273" si="283">($E267-19)/30</f>
        <v>183</v>
      </c>
      <c r="L267" s="17">
        <f t="shared" ref="L267:L273" si="284">($E267-23)/30</f>
        <v>182.86666666666667</v>
      </c>
      <c r="M267" s="17">
        <f t="shared" ref="M267:M273" si="285">($E267-29)/30</f>
        <v>182.66666666666666</v>
      </c>
    </row>
    <row r="268" spans="1:13" x14ac:dyDescent="0.35">
      <c r="B268" s="2">
        <v>30</v>
      </c>
      <c r="C268" s="2">
        <f t="shared" si="275"/>
        <v>821</v>
      </c>
      <c r="D268" s="2">
        <f t="shared" si="276"/>
        <v>791</v>
      </c>
      <c r="E268" s="3">
        <f t="shared" si="277"/>
        <v>5537</v>
      </c>
      <c r="F268" s="17">
        <f t="shared" si="278"/>
        <v>184.53333333333333</v>
      </c>
      <c r="G268" s="17">
        <f t="shared" si="279"/>
        <v>184.33333333333334</v>
      </c>
      <c r="H268" s="17">
        <f t="shared" si="280"/>
        <v>184.2</v>
      </c>
      <c r="I268" s="17">
        <f t="shared" si="281"/>
        <v>184.13333333333333</v>
      </c>
      <c r="J268" s="17">
        <f t="shared" si="282"/>
        <v>184</v>
      </c>
      <c r="K268" s="17">
        <f t="shared" si="283"/>
        <v>183.93333333333334</v>
      </c>
      <c r="L268" s="17">
        <f t="shared" si="284"/>
        <v>183.8</v>
      </c>
      <c r="M268" s="17">
        <f t="shared" si="285"/>
        <v>183.6</v>
      </c>
    </row>
    <row r="269" spans="1:13" x14ac:dyDescent="0.35">
      <c r="B269" s="2">
        <v>30</v>
      </c>
      <c r="C269" s="2">
        <f t="shared" si="275"/>
        <v>823</v>
      </c>
      <c r="D269" s="2">
        <f t="shared" si="276"/>
        <v>793</v>
      </c>
      <c r="E269" s="3">
        <f t="shared" si="277"/>
        <v>5551</v>
      </c>
      <c r="F269" s="17">
        <f t="shared" si="278"/>
        <v>185</v>
      </c>
      <c r="G269" s="17">
        <f t="shared" si="279"/>
        <v>184.8</v>
      </c>
      <c r="H269" s="17">
        <f t="shared" si="280"/>
        <v>184.66666666666666</v>
      </c>
      <c r="I269" s="17">
        <f t="shared" si="281"/>
        <v>184.6</v>
      </c>
      <c r="J269" s="17">
        <f t="shared" si="282"/>
        <v>184.46666666666667</v>
      </c>
      <c r="K269" s="17">
        <f t="shared" si="283"/>
        <v>184.4</v>
      </c>
      <c r="L269" s="17">
        <f t="shared" si="284"/>
        <v>184.26666666666668</v>
      </c>
      <c r="M269" s="17">
        <f t="shared" si="285"/>
        <v>184.06666666666666</v>
      </c>
    </row>
    <row r="270" spans="1:13" x14ac:dyDescent="0.35">
      <c r="B270" s="2">
        <v>30</v>
      </c>
      <c r="C270" s="2">
        <f t="shared" si="275"/>
        <v>827</v>
      </c>
      <c r="D270" s="2">
        <f t="shared" si="276"/>
        <v>797</v>
      </c>
      <c r="E270" s="3">
        <f t="shared" si="277"/>
        <v>5579</v>
      </c>
      <c r="F270" s="17">
        <f t="shared" si="278"/>
        <v>185.93333333333334</v>
      </c>
      <c r="G270" s="17">
        <f t="shared" si="279"/>
        <v>185.73333333333332</v>
      </c>
      <c r="H270" s="17">
        <f t="shared" si="280"/>
        <v>185.6</v>
      </c>
      <c r="I270" s="17">
        <f t="shared" si="281"/>
        <v>185.53333333333333</v>
      </c>
      <c r="J270" s="17">
        <f t="shared" si="282"/>
        <v>185.4</v>
      </c>
      <c r="K270" s="17">
        <f t="shared" si="283"/>
        <v>185.33333333333334</v>
      </c>
      <c r="L270" s="17">
        <f t="shared" si="284"/>
        <v>185.2</v>
      </c>
      <c r="M270" s="17">
        <f t="shared" si="285"/>
        <v>185</v>
      </c>
    </row>
    <row r="271" spans="1:13" x14ac:dyDescent="0.35">
      <c r="B271" s="2">
        <v>30</v>
      </c>
      <c r="C271" s="2">
        <f t="shared" si="275"/>
        <v>829</v>
      </c>
      <c r="D271" s="2">
        <f t="shared" si="276"/>
        <v>799</v>
      </c>
      <c r="E271" s="3">
        <f t="shared" si="277"/>
        <v>5593</v>
      </c>
      <c r="F271" s="17">
        <f t="shared" si="278"/>
        <v>186.4</v>
      </c>
      <c r="G271" s="17">
        <f t="shared" si="279"/>
        <v>186.2</v>
      </c>
      <c r="H271" s="17">
        <f t="shared" si="280"/>
        <v>186.06666666666666</v>
      </c>
      <c r="I271" s="17">
        <f t="shared" si="281"/>
        <v>186</v>
      </c>
      <c r="J271" s="17">
        <f t="shared" si="282"/>
        <v>185.86666666666667</v>
      </c>
      <c r="K271" s="17">
        <f t="shared" si="283"/>
        <v>185.8</v>
      </c>
      <c r="L271" s="17">
        <f t="shared" si="284"/>
        <v>185.66666666666666</v>
      </c>
      <c r="M271" s="17">
        <f t="shared" si="285"/>
        <v>185.46666666666667</v>
      </c>
    </row>
    <row r="272" spans="1:13" x14ac:dyDescent="0.35">
      <c r="B272" s="2">
        <v>30</v>
      </c>
      <c r="C272" s="2">
        <f t="shared" si="275"/>
        <v>833</v>
      </c>
      <c r="D272" s="2">
        <f t="shared" si="276"/>
        <v>803</v>
      </c>
      <c r="E272" s="3">
        <f t="shared" si="277"/>
        <v>5621</v>
      </c>
      <c r="F272" s="17">
        <f t="shared" si="278"/>
        <v>187.33333333333334</v>
      </c>
      <c r="G272" s="17">
        <f t="shared" si="279"/>
        <v>187.13333333333333</v>
      </c>
      <c r="H272" s="17">
        <f t="shared" si="280"/>
        <v>187</v>
      </c>
      <c r="I272" s="17">
        <f t="shared" si="281"/>
        <v>186.93333333333334</v>
      </c>
      <c r="J272" s="17">
        <f t="shared" si="282"/>
        <v>186.8</v>
      </c>
      <c r="K272" s="17">
        <f t="shared" si="283"/>
        <v>186.73333333333332</v>
      </c>
      <c r="L272" s="17">
        <f t="shared" si="284"/>
        <v>186.6</v>
      </c>
      <c r="M272" s="17">
        <f t="shared" si="285"/>
        <v>186.4</v>
      </c>
    </row>
    <row r="273" spans="1:13" x14ac:dyDescent="0.35">
      <c r="B273" s="2">
        <v>30</v>
      </c>
      <c r="C273" s="2">
        <f t="shared" si="275"/>
        <v>839</v>
      </c>
      <c r="D273" s="2">
        <f t="shared" si="276"/>
        <v>809</v>
      </c>
      <c r="E273" s="3">
        <f t="shared" si="277"/>
        <v>5663</v>
      </c>
      <c r="F273" s="17">
        <f t="shared" si="278"/>
        <v>188.73333333333332</v>
      </c>
      <c r="G273" s="17">
        <f t="shared" si="279"/>
        <v>188.53333333333333</v>
      </c>
      <c r="H273" s="17">
        <f t="shared" si="280"/>
        <v>188.4</v>
      </c>
      <c r="I273" s="17">
        <f t="shared" si="281"/>
        <v>188.33333333333334</v>
      </c>
      <c r="J273" s="17">
        <f t="shared" si="282"/>
        <v>188.2</v>
      </c>
      <c r="K273" s="17">
        <f t="shared" si="283"/>
        <v>188.13333333333333</v>
      </c>
      <c r="L273" s="17">
        <f t="shared" si="284"/>
        <v>188</v>
      </c>
      <c r="M273" s="17">
        <f t="shared" si="285"/>
        <v>187.8</v>
      </c>
    </row>
    <row r="274" spans="1:13" ht="16.8" thickBot="1" x14ac:dyDescent="0.4">
      <c r="F274" s="17"/>
      <c r="G274" s="17"/>
      <c r="H274" s="17"/>
      <c r="I274" s="17"/>
      <c r="J274" s="17"/>
      <c r="K274" s="17"/>
      <c r="L274" s="17"/>
      <c r="M274" s="17"/>
    </row>
    <row r="275" spans="1:13" ht="16.8" thickBot="1" x14ac:dyDescent="0.4">
      <c r="A275" s="1">
        <v>28</v>
      </c>
      <c r="C275" s="18" t="s">
        <v>2</v>
      </c>
      <c r="E275" s="13">
        <f>E256</f>
        <v>5257</v>
      </c>
      <c r="F275" s="19">
        <v>1</v>
      </c>
      <c r="G275" s="20">
        <v>7</v>
      </c>
      <c r="H275" s="20">
        <v>11</v>
      </c>
      <c r="I275" s="20">
        <v>13</v>
      </c>
      <c r="J275" s="20">
        <v>17</v>
      </c>
      <c r="K275" s="20">
        <v>19</v>
      </c>
      <c r="L275" s="20">
        <v>23</v>
      </c>
      <c r="M275" s="21">
        <v>29</v>
      </c>
    </row>
    <row r="276" spans="1:13" x14ac:dyDescent="0.35">
      <c r="B276" s="2">
        <v>30</v>
      </c>
      <c r="C276" s="2">
        <f>D276+B276</f>
        <v>841</v>
      </c>
      <c r="D276" s="2">
        <f>C266</f>
        <v>811</v>
      </c>
      <c r="E276" s="3">
        <f>D276*$E$5</f>
        <v>5677</v>
      </c>
      <c r="F276" s="17">
        <f>(E276-1)/30</f>
        <v>189.2</v>
      </c>
      <c r="G276" s="17">
        <f>($E276-7)/30</f>
        <v>189</v>
      </c>
      <c r="H276" s="17">
        <f>($E276-11)/30</f>
        <v>188.86666666666667</v>
      </c>
      <c r="I276" s="17">
        <f>($E276-13)/30</f>
        <v>188.8</v>
      </c>
      <c r="J276" s="17">
        <f>($E276-17)/30</f>
        <v>188.66666666666666</v>
      </c>
      <c r="K276" s="17">
        <f>($E276-19)/30</f>
        <v>188.6</v>
      </c>
      <c r="L276" s="17">
        <f>($E276-23)/30</f>
        <v>188.46666666666667</v>
      </c>
      <c r="M276" s="17">
        <f>($E276-29)/30</f>
        <v>188.26666666666668</v>
      </c>
    </row>
    <row r="277" spans="1:13" x14ac:dyDescent="0.35">
      <c r="B277" s="2">
        <v>30</v>
      </c>
      <c r="C277" s="2">
        <f t="shared" ref="C277:C283" si="286">D277+B277</f>
        <v>847</v>
      </c>
      <c r="D277" s="2">
        <f t="shared" ref="D277:D283" si="287">C267</f>
        <v>817</v>
      </c>
      <c r="E277" s="3">
        <f t="shared" ref="E277:E283" si="288">D277*$E$5</f>
        <v>5719</v>
      </c>
      <c r="F277" s="17">
        <f t="shared" ref="F277:F283" si="289">(E277-1)/30</f>
        <v>190.6</v>
      </c>
      <c r="G277" s="17">
        <f t="shared" ref="G277:G283" si="290">($E277-7)/30</f>
        <v>190.4</v>
      </c>
      <c r="H277" s="17">
        <f t="shared" ref="H277:H283" si="291">($E277-11)/30</f>
        <v>190.26666666666668</v>
      </c>
      <c r="I277" s="17">
        <f t="shared" ref="I277:I283" si="292">($E277-13)/30</f>
        <v>190.2</v>
      </c>
      <c r="J277" s="17">
        <f t="shared" ref="J277:J283" si="293">($E277-17)/30</f>
        <v>190.06666666666666</v>
      </c>
      <c r="K277" s="17">
        <f t="shared" ref="K277:K283" si="294">($E277-19)/30</f>
        <v>190</v>
      </c>
      <c r="L277" s="17">
        <f t="shared" ref="L277:L283" si="295">($E277-23)/30</f>
        <v>189.86666666666667</v>
      </c>
      <c r="M277" s="17">
        <f t="shared" ref="M277:M283" si="296">($E277-29)/30</f>
        <v>189.66666666666666</v>
      </c>
    </row>
    <row r="278" spans="1:13" x14ac:dyDescent="0.35">
      <c r="B278" s="2">
        <v>30</v>
      </c>
      <c r="C278" s="2">
        <f t="shared" si="286"/>
        <v>851</v>
      </c>
      <c r="D278" s="2">
        <f t="shared" si="287"/>
        <v>821</v>
      </c>
      <c r="E278" s="3">
        <f t="shared" si="288"/>
        <v>5747</v>
      </c>
      <c r="F278" s="17">
        <f t="shared" si="289"/>
        <v>191.53333333333333</v>
      </c>
      <c r="G278" s="17">
        <f t="shared" si="290"/>
        <v>191.33333333333334</v>
      </c>
      <c r="H278" s="17">
        <f t="shared" si="291"/>
        <v>191.2</v>
      </c>
      <c r="I278" s="17">
        <f t="shared" si="292"/>
        <v>191.13333333333333</v>
      </c>
      <c r="J278" s="17">
        <f t="shared" si="293"/>
        <v>191</v>
      </c>
      <c r="K278" s="17">
        <f t="shared" si="294"/>
        <v>190.93333333333334</v>
      </c>
      <c r="L278" s="17">
        <f t="shared" si="295"/>
        <v>190.8</v>
      </c>
      <c r="M278" s="17">
        <f t="shared" si="296"/>
        <v>190.6</v>
      </c>
    </row>
    <row r="279" spans="1:13" x14ac:dyDescent="0.35">
      <c r="B279" s="2">
        <v>30</v>
      </c>
      <c r="C279" s="2">
        <f t="shared" si="286"/>
        <v>853</v>
      </c>
      <c r="D279" s="2">
        <f t="shared" si="287"/>
        <v>823</v>
      </c>
      <c r="E279" s="3">
        <f t="shared" si="288"/>
        <v>5761</v>
      </c>
      <c r="F279" s="17">
        <f t="shared" si="289"/>
        <v>192</v>
      </c>
      <c r="G279" s="17">
        <f t="shared" si="290"/>
        <v>191.8</v>
      </c>
      <c r="H279" s="17">
        <f t="shared" si="291"/>
        <v>191.66666666666666</v>
      </c>
      <c r="I279" s="17">
        <f t="shared" si="292"/>
        <v>191.6</v>
      </c>
      <c r="J279" s="17">
        <f t="shared" si="293"/>
        <v>191.46666666666667</v>
      </c>
      <c r="K279" s="17">
        <f t="shared" si="294"/>
        <v>191.4</v>
      </c>
      <c r="L279" s="17">
        <f t="shared" si="295"/>
        <v>191.26666666666668</v>
      </c>
      <c r="M279" s="17">
        <f t="shared" si="296"/>
        <v>191.06666666666666</v>
      </c>
    </row>
    <row r="280" spans="1:13" x14ac:dyDescent="0.35">
      <c r="B280" s="2">
        <v>30</v>
      </c>
      <c r="C280" s="2">
        <f t="shared" si="286"/>
        <v>857</v>
      </c>
      <c r="D280" s="2">
        <f t="shared" si="287"/>
        <v>827</v>
      </c>
      <c r="E280" s="3">
        <f t="shared" si="288"/>
        <v>5789</v>
      </c>
      <c r="F280" s="17">
        <f t="shared" si="289"/>
        <v>192.93333333333334</v>
      </c>
      <c r="G280" s="17">
        <f t="shared" si="290"/>
        <v>192.73333333333332</v>
      </c>
      <c r="H280" s="17">
        <f t="shared" si="291"/>
        <v>192.6</v>
      </c>
      <c r="I280" s="17">
        <f t="shared" si="292"/>
        <v>192.53333333333333</v>
      </c>
      <c r="J280" s="17">
        <f t="shared" si="293"/>
        <v>192.4</v>
      </c>
      <c r="K280" s="17">
        <f t="shared" si="294"/>
        <v>192.33333333333334</v>
      </c>
      <c r="L280" s="17">
        <f t="shared" si="295"/>
        <v>192.2</v>
      </c>
      <c r="M280" s="17">
        <f t="shared" si="296"/>
        <v>192</v>
      </c>
    </row>
    <row r="281" spans="1:13" x14ac:dyDescent="0.35">
      <c r="B281" s="2">
        <v>30</v>
      </c>
      <c r="C281" s="2">
        <f t="shared" si="286"/>
        <v>859</v>
      </c>
      <c r="D281" s="2">
        <f t="shared" si="287"/>
        <v>829</v>
      </c>
      <c r="E281" s="3">
        <f t="shared" si="288"/>
        <v>5803</v>
      </c>
      <c r="F281" s="17">
        <f t="shared" si="289"/>
        <v>193.4</v>
      </c>
      <c r="G281" s="17">
        <f t="shared" si="290"/>
        <v>193.2</v>
      </c>
      <c r="H281" s="17">
        <f t="shared" si="291"/>
        <v>193.06666666666666</v>
      </c>
      <c r="I281" s="17">
        <f t="shared" si="292"/>
        <v>193</v>
      </c>
      <c r="J281" s="17">
        <f t="shared" si="293"/>
        <v>192.86666666666667</v>
      </c>
      <c r="K281" s="17">
        <f t="shared" si="294"/>
        <v>192.8</v>
      </c>
      <c r="L281" s="17">
        <f t="shared" si="295"/>
        <v>192.66666666666666</v>
      </c>
      <c r="M281" s="17">
        <f t="shared" si="296"/>
        <v>192.46666666666667</v>
      </c>
    </row>
    <row r="282" spans="1:13" x14ac:dyDescent="0.35">
      <c r="B282" s="2">
        <v>30</v>
      </c>
      <c r="C282" s="2">
        <f t="shared" si="286"/>
        <v>863</v>
      </c>
      <c r="D282" s="2">
        <f t="shared" si="287"/>
        <v>833</v>
      </c>
      <c r="E282" s="3">
        <f t="shared" si="288"/>
        <v>5831</v>
      </c>
      <c r="F282" s="17">
        <f t="shared" si="289"/>
        <v>194.33333333333334</v>
      </c>
      <c r="G282" s="17">
        <f t="shared" si="290"/>
        <v>194.13333333333333</v>
      </c>
      <c r="H282" s="17">
        <f t="shared" si="291"/>
        <v>194</v>
      </c>
      <c r="I282" s="17">
        <f t="shared" si="292"/>
        <v>193.93333333333334</v>
      </c>
      <c r="J282" s="17">
        <f t="shared" si="293"/>
        <v>193.8</v>
      </c>
      <c r="K282" s="17">
        <f t="shared" si="294"/>
        <v>193.73333333333332</v>
      </c>
      <c r="L282" s="17">
        <f t="shared" si="295"/>
        <v>193.6</v>
      </c>
      <c r="M282" s="17">
        <f t="shared" si="296"/>
        <v>193.4</v>
      </c>
    </row>
    <row r="283" spans="1:13" x14ac:dyDescent="0.35">
      <c r="B283" s="2">
        <v>30</v>
      </c>
      <c r="C283" s="2">
        <f t="shared" si="286"/>
        <v>869</v>
      </c>
      <c r="D283" s="2">
        <f t="shared" si="287"/>
        <v>839</v>
      </c>
      <c r="E283" s="3">
        <f t="shared" si="288"/>
        <v>5873</v>
      </c>
      <c r="F283" s="17">
        <f t="shared" si="289"/>
        <v>195.73333333333332</v>
      </c>
      <c r="G283" s="17">
        <f t="shared" si="290"/>
        <v>195.53333333333333</v>
      </c>
      <c r="H283" s="17">
        <f t="shared" si="291"/>
        <v>195.4</v>
      </c>
      <c r="I283" s="17">
        <f t="shared" si="292"/>
        <v>195.33333333333334</v>
      </c>
      <c r="J283" s="17">
        <f t="shared" si="293"/>
        <v>195.2</v>
      </c>
      <c r="K283" s="17">
        <f t="shared" si="294"/>
        <v>195.13333333333333</v>
      </c>
      <c r="L283" s="17">
        <f t="shared" si="295"/>
        <v>195</v>
      </c>
      <c r="M283" s="17">
        <f t="shared" si="296"/>
        <v>194.8</v>
      </c>
    </row>
    <row r="284" spans="1:13" ht="16.8" thickBot="1" x14ac:dyDescent="0.4">
      <c r="F284" s="17"/>
      <c r="G284" s="17"/>
      <c r="H284" s="17"/>
      <c r="I284" s="17"/>
      <c r="J284" s="17"/>
      <c r="K284" s="17"/>
      <c r="L284" s="17"/>
      <c r="M284" s="17"/>
    </row>
    <row r="285" spans="1:13" ht="16.8" thickBot="1" x14ac:dyDescent="0.4">
      <c r="A285" s="1">
        <v>29</v>
      </c>
      <c r="C285" s="18" t="s">
        <v>2</v>
      </c>
      <c r="E285" s="13">
        <f>E266</f>
        <v>5467</v>
      </c>
      <c r="F285" s="19">
        <v>1</v>
      </c>
      <c r="G285" s="20">
        <v>7</v>
      </c>
      <c r="H285" s="20">
        <v>11</v>
      </c>
      <c r="I285" s="20">
        <v>13</v>
      </c>
      <c r="J285" s="20">
        <v>17</v>
      </c>
      <c r="K285" s="20">
        <v>19</v>
      </c>
      <c r="L285" s="20">
        <v>23</v>
      </c>
      <c r="M285" s="21">
        <v>29</v>
      </c>
    </row>
    <row r="286" spans="1:13" x14ac:dyDescent="0.35">
      <c r="B286" s="2">
        <v>30</v>
      </c>
      <c r="C286" s="2">
        <f>D286+B286</f>
        <v>871</v>
      </c>
      <c r="D286" s="2">
        <f>C276</f>
        <v>841</v>
      </c>
      <c r="E286" s="3">
        <f>D286*$E$5</f>
        <v>5887</v>
      </c>
      <c r="F286" s="17">
        <f>(E286-1)/30</f>
        <v>196.2</v>
      </c>
      <c r="G286" s="17">
        <f>($E286-7)/30</f>
        <v>196</v>
      </c>
      <c r="H286" s="17">
        <f>($E286-11)/30</f>
        <v>195.86666666666667</v>
      </c>
      <c r="I286" s="17">
        <f>($E286-13)/30</f>
        <v>195.8</v>
      </c>
      <c r="J286" s="17">
        <f>($E286-17)/30</f>
        <v>195.66666666666666</v>
      </c>
      <c r="K286" s="17">
        <f>($E286-19)/30</f>
        <v>195.6</v>
      </c>
      <c r="L286" s="17">
        <f>($E286-23)/30</f>
        <v>195.46666666666667</v>
      </c>
      <c r="M286" s="17">
        <f>($E286-29)/30</f>
        <v>195.26666666666668</v>
      </c>
    </row>
    <row r="287" spans="1:13" x14ac:dyDescent="0.35">
      <c r="B287" s="2">
        <v>30</v>
      </c>
      <c r="C287" s="2">
        <f t="shared" ref="C287:C293" si="297">D287+B287</f>
        <v>877</v>
      </c>
      <c r="D287" s="2">
        <f t="shared" ref="D287:D293" si="298">C277</f>
        <v>847</v>
      </c>
      <c r="E287" s="3">
        <f t="shared" ref="E287:E293" si="299">D287*$E$5</f>
        <v>5929</v>
      </c>
      <c r="F287" s="17">
        <f t="shared" ref="F287:F293" si="300">(E287-1)/30</f>
        <v>197.6</v>
      </c>
      <c r="G287" s="17">
        <f t="shared" ref="G287:G293" si="301">($E287-7)/30</f>
        <v>197.4</v>
      </c>
      <c r="H287" s="17">
        <f t="shared" ref="H287:H293" si="302">($E287-11)/30</f>
        <v>197.26666666666668</v>
      </c>
      <c r="I287" s="17">
        <f t="shared" ref="I287:I293" si="303">($E287-13)/30</f>
        <v>197.2</v>
      </c>
      <c r="J287" s="17">
        <f t="shared" ref="J287:J293" si="304">($E287-17)/30</f>
        <v>197.06666666666666</v>
      </c>
      <c r="K287" s="17">
        <f t="shared" ref="K287:K293" si="305">($E287-19)/30</f>
        <v>197</v>
      </c>
      <c r="L287" s="17">
        <f t="shared" ref="L287:L293" si="306">($E287-23)/30</f>
        <v>196.86666666666667</v>
      </c>
      <c r="M287" s="17">
        <f t="shared" ref="M287:M293" si="307">($E287-29)/30</f>
        <v>196.66666666666666</v>
      </c>
    </row>
    <row r="288" spans="1:13" x14ac:dyDescent="0.35">
      <c r="B288" s="2">
        <v>30</v>
      </c>
      <c r="C288" s="2">
        <f t="shared" si="297"/>
        <v>881</v>
      </c>
      <c r="D288" s="2">
        <f t="shared" si="298"/>
        <v>851</v>
      </c>
      <c r="E288" s="3">
        <f t="shared" si="299"/>
        <v>5957</v>
      </c>
      <c r="F288" s="17">
        <f t="shared" si="300"/>
        <v>198.53333333333333</v>
      </c>
      <c r="G288" s="17">
        <f t="shared" si="301"/>
        <v>198.33333333333334</v>
      </c>
      <c r="H288" s="17">
        <f t="shared" si="302"/>
        <v>198.2</v>
      </c>
      <c r="I288" s="17">
        <f t="shared" si="303"/>
        <v>198.13333333333333</v>
      </c>
      <c r="J288" s="17">
        <f t="shared" si="304"/>
        <v>198</v>
      </c>
      <c r="K288" s="17">
        <f t="shared" si="305"/>
        <v>197.93333333333334</v>
      </c>
      <c r="L288" s="17">
        <f t="shared" si="306"/>
        <v>197.8</v>
      </c>
      <c r="M288" s="17">
        <f t="shared" si="307"/>
        <v>197.6</v>
      </c>
    </row>
    <row r="289" spans="1:13" x14ac:dyDescent="0.35">
      <c r="B289" s="2">
        <v>30</v>
      </c>
      <c r="C289" s="2">
        <f t="shared" si="297"/>
        <v>883</v>
      </c>
      <c r="D289" s="2">
        <f t="shared" si="298"/>
        <v>853</v>
      </c>
      <c r="E289" s="3">
        <f t="shared" si="299"/>
        <v>5971</v>
      </c>
      <c r="F289" s="17">
        <f t="shared" si="300"/>
        <v>199</v>
      </c>
      <c r="G289" s="17">
        <f t="shared" si="301"/>
        <v>198.8</v>
      </c>
      <c r="H289" s="17">
        <f t="shared" si="302"/>
        <v>198.66666666666666</v>
      </c>
      <c r="I289" s="17">
        <f t="shared" si="303"/>
        <v>198.6</v>
      </c>
      <c r="J289" s="17">
        <f t="shared" si="304"/>
        <v>198.46666666666667</v>
      </c>
      <c r="K289" s="17">
        <f t="shared" si="305"/>
        <v>198.4</v>
      </c>
      <c r="L289" s="17">
        <f t="shared" si="306"/>
        <v>198.26666666666668</v>
      </c>
      <c r="M289" s="17">
        <f t="shared" si="307"/>
        <v>198.06666666666666</v>
      </c>
    </row>
    <row r="290" spans="1:13" x14ac:dyDescent="0.35">
      <c r="B290" s="2">
        <v>30</v>
      </c>
      <c r="C290" s="2">
        <f t="shared" si="297"/>
        <v>887</v>
      </c>
      <c r="D290" s="2">
        <f t="shared" si="298"/>
        <v>857</v>
      </c>
      <c r="E290" s="3">
        <f t="shared" si="299"/>
        <v>5999</v>
      </c>
      <c r="F290" s="17">
        <f t="shared" si="300"/>
        <v>199.93333333333334</v>
      </c>
      <c r="G290" s="17">
        <f t="shared" si="301"/>
        <v>199.73333333333332</v>
      </c>
      <c r="H290" s="17">
        <f t="shared" si="302"/>
        <v>199.6</v>
      </c>
      <c r="I290" s="17">
        <f t="shared" si="303"/>
        <v>199.53333333333333</v>
      </c>
      <c r="J290" s="17">
        <f t="shared" si="304"/>
        <v>199.4</v>
      </c>
      <c r="K290" s="17">
        <f t="shared" si="305"/>
        <v>199.33333333333334</v>
      </c>
      <c r="L290" s="17">
        <f t="shared" si="306"/>
        <v>199.2</v>
      </c>
      <c r="M290" s="17">
        <f t="shared" si="307"/>
        <v>199</v>
      </c>
    </row>
    <row r="291" spans="1:13" x14ac:dyDescent="0.35">
      <c r="B291" s="2">
        <v>30</v>
      </c>
      <c r="C291" s="2">
        <f t="shared" si="297"/>
        <v>889</v>
      </c>
      <c r="D291" s="2">
        <f t="shared" si="298"/>
        <v>859</v>
      </c>
      <c r="E291" s="3">
        <f t="shared" si="299"/>
        <v>6013</v>
      </c>
      <c r="F291" s="17">
        <f t="shared" si="300"/>
        <v>200.4</v>
      </c>
      <c r="G291" s="17">
        <f t="shared" si="301"/>
        <v>200.2</v>
      </c>
      <c r="H291" s="17">
        <f t="shared" si="302"/>
        <v>200.06666666666666</v>
      </c>
      <c r="I291" s="17">
        <f t="shared" si="303"/>
        <v>200</v>
      </c>
      <c r="J291" s="17">
        <f t="shared" si="304"/>
        <v>199.86666666666667</v>
      </c>
      <c r="K291" s="17">
        <f t="shared" si="305"/>
        <v>199.8</v>
      </c>
      <c r="L291" s="17">
        <f t="shared" si="306"/>
        <v>199.66666666666666</v>
      </c>
      <c r="M291" s="17">
        <f t="shared" si="307"/>
        <v>199.46666666666667</v>
      </c>
    </row>
    <row r="292" spans="1:13" x14ac:dyDescent="0.35">
      <c r="B292" s="2">
        <v>30</v>
      </c>
      <c r="C292" s="2">
        <f t="shared" si="297"/>
        <v>893</v>
      </c>
      <c r="D292" s="2">
        <f t="shared" si="298"/>
        <v>863</v>
      </c>
      <c r="E292" s="3">
        <f t="shared" si="299"/>
        <v>6041</v>
      </c>
      <c r="F292" s="17">
        <f t="shared" si="300"/>
        <v>201.33333333333334</v>
      </c>
      <c r="G292" s="17">
        <f t="shared" si="301"/>
        <v>201.13333333333333</v>
      </c>
      <c r="H292" s="17">
        <f t="shared" si="302"/>
        <v>201</v>
      </c>
      <c r="I292" s="17">
        <f t="shared" si="303"/>
        <v>200.93333333333334</v>
      </c>
      <c r="J292" s="17">
        <f t="shared" si="304"/>
        <v>200.8</v>
      </c>
      <c r="K292" s="17">
        <f t="shared" si="305"/>
        <v>200.73333333333332</v>
      </c>
      <c r="L292" s="17">
        <f t="shared" si="306"/>
        <v>200.6</v>
      </c>
      <c r="M292" s="17">
        <f t="shared" si="307"/>
        <v>200.4</v>
      </c>
    </row>
    <row r="293" spans="1:13" x14ac:dyDescent="0.35">
      <c r="B293" s="2">
        <v>30</v>
      </c>
      <c r="C293" s="2">
        <f t="shared" si="297"/>
        <v>899</v>
      </c>
      <c r="D293" s="2">
        <f t="shared" si="298"/>
        <v>869</v>
      </c>
      <c r="E293" s="3">
        <f t="shared" si="299"/>
        <v>6083</v>
      </c>
      <c r="F293" s="17">
        <f t="shared" si="300"/>
        <v>202.73333333333332</v>
      </c>
      <c r="G293" s="17">
        <f t="shared" si="301"/>
        <v>202.53333333333333</v>
      </c>
      <c r="H293" s="17">
        <f t="shared" si="302"/>
        <v>202.4</v>
      </c>
      <c r="I293" s="17">
        <f t="shared" si="303"/>
        <v>202.33333333333334</v>
      </c>
      <c r="J293" s="17">
        <f t="shared" si="304"/>
        <v>202.2</v>
      </c>
      <c r="K293" s="17">
        <f t="shared" si="305"/>
        <v>202.13333333333333</v>
      </c>
      <c r="L293" s="17">
        <f t="shared" si="306"/>
        <v>202</v>
      </c>
      <c r="M293" s="17">
        <f t="shared" si="307"/>
        <v>201.8</v>
      </c>
    </row>
    <row r="294" spans="1:13" ht="16.8" thickBot="1" x14ac:dyDescent="0.4">
      <c r="F294" s="17"/>
      <c r="G294" s="17"/>
      <c r="H294" s="17"/>
      <c r="I294" s="17"/>
      <c r="J294" s="17"/>
      <c r="K294" s="17"/>
      <c r="L294" s="17"/>
      <c r="M294" s="17"/>
    </row>
    <row r="295" spans="1:13" ht="16.8" thickBot="1" x14ac:dyDescent="0.4">
      <c r="A295" s="1">
        <v>30</v>
      </c>
      <c r="C295" s="18" t="s">
        <v>2</v>
      </c>
      <c r="E295" s="13">
        <f>E276</f>
        <v>5677</v>
      </c>
      <c r="F295" s="19">
        <v>1</v>
      </c>
      <c r="G295" s="20">
        <v>7</v>
      </c>
      <c r="H295" s="20">
        <v>11</v>
      </c>
      <c r="I295" s="20">
        <v>13</v>
      </c>
      <c r="J295" s="20">
        <v>17</v>
      </c>
      <c r="K295" s="20">
        <v>19</v>
      </c>
      <c r="L295" s="20">
        <v>23</v>
      </c>
      <c r="M295" s="21">
        <v>29</v>
      </c>
    </row>
    <row r="296" spans="1:13" x14ac:dyDescent="0.35">
      <c r="B296" s="2">
        <v>30</v>
      </c>
      <c r="C296" s="2">
        <f>D296+B296</f>
        <v>901</v>
      </c>
      <c r="D296" s="2">
        <f>C286</f>
        <v>871</v>
      </c>
      <c r="E296" s="3">
        <f>D296*$E$5</f>
        <v>6097</v>
      </c>
      <c r="F296" s="17">
        <f>(E296-1)/30</f>
        <v>203.2</v>
      </c>
      <c r="G296" s="17">
        <f>($E296-7)/30</f>
        <v>203</v>
      </c>
      <c r="H296" s="17">
        <f>($E296-11)/30</f>
        <v>202.86666666666667</v>
      </c>
      <c r="I296" s="17">
        <f>($E296-13)/30</f>
        <v>202.8</v>
      </c>
      <c r="J296" s="17">
        <f>($E296-17)/30</f>
        <v>202.66666666666666</v>
      </c>
      <c r="K296" s="17">
        <f>($E296-19)/30</f>
        <v>202.6</v>
      </c>
      <c r="L296" s="17">
        <f>($E296-23)/30</f>
        <v>202.46666666666667</v>
      </c>
      <c r="M296" s="17">
        <f>($E296-29)/30</f>
        <v>202.26666666666668</v>
      </c>
    </row>
    <row r="297" spans="1:13" x14ac:dyDescent="0.35">
      <c r="B297" s="2">
        <v>30</v>
      </c>
      <c r="C297" s="2">
        <f t="shared" ref="C297:C303" si="308">D297+B297</f>
        <v>907</v>
      </c>
      <c r="D297" s="2">
        <f t="shared" ref="D297:D303" si="309">C287</f>
        <v>877</v>
      </c>
      <c r="E297" s="3">
        <f t="shared" ref="E297:E303" si="310">D297*$E$5</f>
        <v>6139</v>
      </c>
      <c r="F297" s="17">
        <f t="shared" ref="F297:F303" si="311">(E297-1)/30</f>
        <v>204.6</v>
      </c>
      <c r="G297" s="17">
        <f t="shared" ref="G297:G303" si="312">($E297-7)/30</f>
        <v>204.4</v>
      </c>
      <c r="H297" s="17">
        <f t="shared" ref="H297:H303" si="313">($E297-11)/30</f>
        <v>204.26666666666668</v>
      </c>
      <c r="I297" s="17">
        <f t="shared" ref="I297:I303" si="314">($E297-13)/30</f>
        <v>204.2</v>
      </c>
      <c r="J297" s="17">
        <f t="shared" ref="J297:J303" si="315">($E297-17)/30</f>
        <v>204.06666666666666</v>
      </c>
      <c r="K297" s="17">
        <f t="shared" ref="K297:K303" si="316">($E297-19)/30</f>
        <v>204</v>
      </c>
      <c r="L297" s="17">
        <f t="shared" ref="L297:L303" si="317">($E297-23)/30</f>
        <v>203.86666666666667</v>
      </c>
      <c r="M297" s="17">
        <f t="shared" ref="M297:M303" si="318">($E297-29)/30</f>
        <v>203.66666666666666</v>
      </c>
    </row>
    <row r="298" spans="1:13" x14ac:dyDescent="0.35">
      <c r="B298" s="2">
        <v>30</v>
      </c>
      <c r="C298" s="2">
        <f t="shared" si="308"/>
        <v>911</v>
      </c>
      <c r="D298" s="2">
        <f t="shared" si="309"/>
        <v>881</v>
      </c>
      <c r="E298" s="3">
        <f t="shared" si="310"/>
        <v>6167</v>
      </c>
      <c r="F298" s="17">
        <f t="shared" si="311"/>
        <v>205.53333333333333</v>
      </c>
      <c r="G298" s="17">
        <f t="shared" si="312"/>
        <v>205.33333333333334</v>
      </c>
      <c r="H298" s="17">
        <f t="shared" si="313"/>
        <v>205.2</v>
      </c>
      <c r="I298" s="17">
        <f t="shared" si="314"/>
        <v>205.13333333333333</v>
      </c>
      <c r="J298" s="17">
        <f t="shared" si="315"/>
        <v>205</v>
      </c>
      <c r="K298" s="17">
        <f t="shared" si="316"/>
        <v>204.93333333333334</v>
      </c>
      <c r="L298" s="17">
        <f t="shared" si="317"/>
        <v>204.8</v>
      </c>
      <c r="M298" s="17">
        <f t="shared" si="318"/>
        <v>204.6</v>
      </c>
    </row>
    <row r="299" spans="1:13" x14ac:dyDescent="0.35">
      <c r="B299" s="2">
        <v>30</v>
      </c>
      <c r="C299" s="2">
        <f t="shared" si="308"/>
        <v>913</v>
      </c>
      <c r="D299" s="2">
        <f t="shared" si="309"/>
        <v>883</v>
      </c>
      <c r="E299" s="3">
        <f t="shared" si="310"/>
        <v>6181</v>
      </c>
      <c r="F299" s="17">
        <f t="shared" si="311"/>
        <v>206</v>
      </c>
      <c r="G299" s="17">
        <f t="shared" si="312"/>
        <v>205.8</v>
      </c>
      <c r="H299" s="17">
        <f t="shared" si="313"/>
        <v>205.66666666666666</v>
      </c>
      <c r="I299" s="17">
        <f t="shared" si="314"/>
        <v>205.6</v>
      </c>
      <c r="J299" s="17">
        <f t="shared" si="315"/>
        <v>205.46666666666667</v>
      </c>
      <c r="K299" s="17">
        <f t="shared" si="316"/>
        <v>205.4</v>
      </c>
      <c r="L299" s="17">
        <f t="shared" si="317"/>
        <v>205.26666666666668</v>
      </c>
      <c r="M299" s="17">
        <f t="shared" si="318"/>
        <v>205.06666666666666</v>
      </c>
    </row>
    <row r="300" spans="1:13" x14ac:dyDescent="0.35">
      <c r="B300" s="2">
        <v>30</v>
      </c>
      <c r="C300" s="2">
        <f t="shared" si="308"/>
        <v>917</v>
      </c>
      <c r="D300" s="2">
        <f t="shared" si="309"/>
        <v>887</v>
      </c>
      <c r="E300" s="3">
        <f t="shared" si="310"/>
        <v>6209</v>
      </c>
      <c r="F300" s="17">
        <f t="shared" si="311"/>
        <v>206.93333333333334</v>
      </c>
      <c r="G300" s="17">
        <f t="shared" si="312"/>
        <v>206.73333333333332</v>
      </c>
      <c r="H300" s="17">
        <f t="shared" si="313"/>
        <v>206.6</v>
      </c>
      <c r="I300" s="17">
        <f t="shared" si="314"/>
        <v>206.53333333333333</v>
      </c>
      <c r="J300" s="17">
        <f t="shared" si="315"/>
        <v>206.4</v>
      </c>
      <c r="K300" s="17">
        <f t="shared" si="316"/>
        <v>206.33333333333334</v>
      </c>
      <c r="L300" s="17">
        <f t="shared" si="317"/>
        <v>206.2</v>
      </c>
      <c r="M300" s="17">
        <f t="shared" si="318"/>
        <v>206</v>
      </c>
    </row>
    <row r="301" spans="1:13" x14ac:dyDescent="0.35">
      <c r="B301" s="2">
        <v>30</v>
      </c>
      <c r="C301" s="2">
        <f t="shared" si="308"/>
        <v>919</v>
      </c>
      <c r="D301" s="2">
        <f t="shared" si="309"/>
        <v>889</v>
      </c>
      <c r="E301" s="3">
        <f t="shared" si="310"/>
        <v>6223</v>
      </c>
      <c r="F301" s="17">
        <f t="shared" si="311"/>
        <v>207.4</v>
      </c>
      <c r="G301" s="17">
        <f t="shared" si="312"/>
        <v>207.2</v>
      </c>
      <c r="H301" s="17">
        <f t="shared" si="313"/>
        <v>207.06666666666666</v>
      </c>
      <c r="I301" s="17">
        <f t="shared" si="314"/>
        <v>207</v>
      </c>
      <c r="J301" s="17">
        <f t="shared" si="315"/>
        <v>206.86666666666667</v>
      </c>
      <c r="K301" s="17">
        <f t="shared" si="316"/>
        <v>206.8</v>
      </c>
      <c r="L301" s="17">
        <f t="shared" si="317"/>
        <v>206.66666666666666</v>
      </c>
      <c r="M301" s="17">
        <f t="shared" si="318"/>
        <v>206.46666666666667</v>
      </c>
    </row>
    <row r="302" spans="1:13" x14ac:dyDescent="0.35">
      <c r="B302" s="2">
        <v>30</v>
      </c>
      <c r="C302" s="2">
        <f t="shared" si="308"/>
        <v>923</v>
      </c>
      <c r="D302" s="2">
        <f t="shared" si="309"/>
        <v>893</v>
      </c>
      <c r="E302" s="3">
        <f t="shared" si="310"/>
        <v>6251</v>
      </c>
      <c r="F302" s="17">
        <f t="shared" si="311"/>
        <v>208.33333333333334</v>
      </c>
      <c r="G302" s="17">
        <f t="shared" si="312"/>
        <v>208.13333333333333</v>
      </c>
      <c r="H302" s="17">
        <f t="shared" si="313"/>
        <v>208</v>
      </c>
      <c r="I302" s="17">
        <f t="shared" si="314"/>
        <v>207.93333333333334</v>
      </c>
      <c r="J302" s="17">
        <f t="shared" si="315"/>
        <v>207.8</v>
      </c>
      <c r="K302" s="17">
        <f t="shared" si="316"/>
        <v>207.73333333333332</v>
      </c>
      <c r="L302" s="17">
        <f t="shared" si="317"/>
        <v>207.6</v>
      </c>
      <c r="M302" s="17">
        <f t="shared" si="318"/>
        <v>207.4</v>
      </c>
    </row>
    <row r="303" spans="1:13" x14ac:dyDescent="0.35">
      <c r="B303" s="2">
        <v>30</v>
      </c>
      <c r="C303" s="2">
        <f t="shared" si="308"/>
        <v>929</v>
      </c>
      <c r="D303" s="2">
        <f t="shared" si="309"/>
        <v>899</v>
      </c>
      <c r="E303" s="3">
        <f t="shared" si="310"/>
        <v>6293</v>
      </c>
      <c r="F303" s="17">
        <f t="shared" si="311"/>
        <v>209.73333333333332</v>
      </c>
      <c r="G303" s="17">
        <f t="shared" si="312"/>
        <v>209.53333333333333</v>
      </c>
      <c r="H303" s="17">
        <f t="shared" si="313"/>
        <v>209.4</v>
      </c>
      <c r="I303" s="17">
        <f t="shared" si="314"/>
        <v>209.33333333333334</v>
      </c>
      <c r="J303" s="17">
        <f t="shared" si="315"/>
        <v>209.2</v>
      </c>
      <c r="K303" s="17">
        <f t="shared" si="316"/>
        <v>209.13333333333333</v>
      </c>
      <c r="L303" s="17">
        <f t="shared" si="317"/>
        <v>209</v>
      </c>
      <c r="M303" s="17">
        <f t="shared" si="318"/>
        <v>208.8</v>
      </c>
    </row>
    <row r="304" spans="1:13" ht="16.8" thickBot="1" x14ac:dyDescent="0.4">
      <c r="F304" s="17"/>
      <c r="G304" s="17"/>
      <c r="H304" s="17"/>
      <c r="I304" s="17"/>
      <c r="J304" s="17"/>
      <c r="K304" s="17"/>
      <c r="L304" s="17"/>
      <c r="M304" s="17"/>
    </row>
    <row r="305" spans="1:13" ht="16.8" thickBot="1" x14ac:dyDescent="0.4">
      <c r="A305" s="1">
        <v>31</v>
      </c>
      <c r="C305" s="18" t="s">
        <v>2</v>
      </c>
      <c r="E305" s="13">
        <f>E286</f>
        <v>5887</v>
      </c>
      <c r="F305" s="19">
        <v>1</v>
      </c>
      <c r="G305" s="20">
        <v>7</v>
      </c>
      <c r="H305" s="20">
        <v>11</v>
      </c>
      <c r="I305" s="20">
        <v>13</v>
      </c>
      <c r="J305" s="20">
        <v>17</v>
      </c>
      <c r="K305" s="20">
        <v>19</v>
      </c>
      <c r="L305" s="20">
        <v>23</v>
      </c>
      <c r="M305" s="21">
        <v>29</v>
      </c>
    </row>
    <row r="306" spans="1:13" x14ac:dyDescent="0.35">
      <c r="B306" s="2">
        <v>30</v>
      </c>
      <c r="C306" s="2">
        <f>D306+B306</f>
        <v>931</v>
      </c>
      <c r="D306" s="2">
        <f>C296</f>
        <v>901</v>
      </c>
      <c r="E306" s="3">
        <f>D306*$E$5</f>
        <v>6307</v>
      </c>
      <c r="F306" s="17">
        <f>(E306-1)/30</f>
        <v>210.2</v>
      </c>
      <c r="G306" s="17">
        <f>($E306-7)/30</f>
        <v>210</v>
      </c>
      <c r="H306" s="17">
        <f>($E306-11)/30</f>
        <v>209.86666666666667</v>
      </c>
      <c r="I306" s="17">
        <f>($E306-13)/30</f>
        <v>209.8</v>
      </c>
      <c r="J306" s="17">
        <f>($E306-17)/30</f>
        <v>209.66666666666666</v>
      </c>
      <c r="K306" s="17">
        <f>($E306-19)/30</f>
        <v>209.6</v>
      </c>
      <c r="L306" s="17">
        <f>($E306-23)/30</f>
        <v>209.46666666666667</v>
      </c>
      <c r="M306" s="17">
        <f>($E306-29)/30</f>
        <v>209.26666666666668</v>
      </c>
    </row>
    <row r="307" spans="1:13" x14ac:dyDescent="0.35">
      <c r="B307" s="2">
        <v>30</v>
      </c>
      <c r="C307" s="2">
        <f t="shared" ref="C307:C313" si="319">D307+B307</f>
        <v>937</v>
      </c>
      <c r="D307" s="2">
        <f t="shared" ref="D307:D313" si="320">C297</f>
        <v>907</v>
      </c>
      <c r="E307" s="3">
        <f t="shared" ref="E307:E313" si="321">D307*$E$5</f>
        <v>6349</v>
      </c>
      <c r="F307" s="17">
        <f t="shared" ref="F307:F313" si="322">(E307-1)/30</f>
        <v>211.6</v>
      </c>
      <c r="G307" s="17">
        <f t="shared" ref="G307:G313" si="323">($E307-7)/30</f>
        <v>211.4</v>
      </c>
      <c r="H307" s="17">
        <f t="shared" ref="H307:H313" si="324">($E307-11)/30</f>
        <v>211.26666666666668</v>
      </c>
      <c r="I307" s="17">
        <f t="shared" ref="I307:I313" si="325">($E307-13)/30</f>
        <v>211.2</v>
      </c>
      <c r="J307" s="17">
        <f t="shared" ref="J307:J313" si="326">($E307-17)/30</f>
        <v>211.06666666666666</v>
      </c>
      <c r="K307" s="17">
        <f t="shared" ref="K307:K313" si="327">($E307-19)/30</f>
        <v>211</v>
      </c>
      <c r="L307" s="17">
        <f t="shared" ref="L307:L313" si="328">($E307-23)/30</f>
        <v>210.86666666666667</v>
      </c>
      <c r="M307" s="17">
        <f t="shared" ref="M307:M313" si="329">($E307-29)/30</f>
        <v>210.66666666666666</v>
      </c>
    </row>
    <row r="308" spans="1:13" x14ac:dyDescent="0.35">
      <c r="B308" s="2">
        <v>30</v>
      </c>
      <c r="C308" s="2">
        <f t="shared" si="319"/>
        <v>941</v>
      </c>
      <c r="D308" s="2">
        <f t="shared" si="320"/>
        <v>911</v>
      </c>
      <c r="E308" s="3">
        <f t="shared" si="321"/>
        <v>6377</v>
      </c>
      <c r="F308" s="17">
        <f t="shared" si="322"/>
        <v>212.53333333333333</v>
      </c>
      <c r="G308" s="17">
        <f t="shared" si="323"/>
        <v>212.33333333333334</v>
      </c>
      <c r="H308" s="17">
        <f t="shared" si="324"/>
        <v>212.2</v>
      </c>
      <c r="I308" s="17">
        <f t="shared" si="325"/>
        <v>212.13333333333333</v>
      </c>
      <c r="J308" s="17">
        <f t="shared" si="326"/>
        <v>212</v>
      </c>
      <c r="K308" s="17">
        <f t="shared" si="327"/>
        <v>211.93333333333334</v>
      </c>
      <c r="L308" s="17">
        <f t="shared" si="328"/>
        <v>211.8</v>
      </c>
      <c r="M308" s="17">
        <f t="shared" si="329"/>
        <v>211.6</v>
      </c>
    </row>
    <row r="309" spans="1:13" x14ac:dyDescent="0.35">
      <c r="B309" s="2">
        <v>30</v>
      </c>
      <c r="C309" s="2">
        <f t="shared" si="319"/>
        <v>943</v>
      </c>
      <c r="D309" s="2">
        <f t="shared" si="320"/>
        <v>913</v>
      </c>
      <c r="E309" s="3">
        <f t="shared" si="321"/>
        <v>6391</v>
      </c>
      <c r="F309" s="17">
        <f t="shared" si="322"/>
        <v>213</v>
      </c>
      <c r="G309" s="17">
        <f t="shared" si="323"/>
        <v>212.8</v>
      </c>
      <c r="H309" s="17">
        <f t="shared" si="324"/>
        <v>212.66666666666666</v>
      </c>
      <c r="I309" s="17">
        <f t="shared" si="325"/>
        <v>212.6</v>
      </c>
      <c r="J309" s="17">
        <f t="shared" si="326"/>
        <v>212.46666666666667</v>
      </c>
      <c r="K309" s="17">
        <f t="shared" si="327"/>
        <v>212.4</v>
      </c>
      <c r="L309" s="17">
        <f t="shared" si="328"/>
        <v>212.26666666666668</v>
      </c>
      <c r="M309" s="17">
        <f t="shared" si="329"/>
        <v>212.06666666666666</v>
      </c>
    </row>
    <row r="310" spans="1:13" x14ac:dyDescent="0.35">
      <c r="B310" s="2">
        <v>30</v>
      </c>
      <c r="C310" s="2">
        <f t="shared" si="319"/>
        <v>947</v>
      </c>
      <c r="D310" s="2">
        <f t="shared" si="320"/>
        <v>917</v>
      </c>
      <c r="E310" s="3">
        <f t="shared" si="321"/>
        <v>6419</v>
      </c>
      <c r="F310" s="17">
        <f t="shared" si="322"/>
        <v>213.93333333333334</v>
      </c>
      <c r="G310" s="17">
        <f t="shared" si="323"/>
        <v>213.73333333333332</v>
      </c>
      <c r="H310" s="17">
        <f t="shared" si="324"/>
        <v>213.6</v>
      </c>
      <c r="I310" s="17">
        <f t="shared" si="325"/>
        <v>213.53333333333333</v>
      </c>
      <c r="J310" s="17">
        <f t="shared" si="326"/>
        <v>213.4</v>
      </c>
      <c r="K310" s="17">
        <f t="shared" si="327"/>
        <v>213.33333333333334</v>
      </c>
      <c r="L310" s="17">
        <f t="shared" si="328"/>
        <v>213.2</v>
      </c>
      <c r="M310" s="17">
        <f t="shared" si="329"/>
        <v>213</v>
      </c>
    </row>
    <row r="311" spans="1:13" x14ac:dyDescent="0.35">
      <c r="B311" s="2">
        <v>30</v>
      </c>
      <c r="C311" s="2">
        <f t="shared" si="319"/>
        <v>949</v>
      </c>
      <c r="D311" s="2">
        <f t="shared" si="320"/>
        <v>919</v>
      </c>
      <c r="E311" s="3">
        <f t="shared" si="321"/>
        <v>6433</v>
      </c>
      <c r="F311" s="17">
        <f t="shared" si="322"/>
        <v>214.4</v>
      </c>
      <c r="G311" s="17">
        <f t="shared" si="323"/>
        <v>214.2</v>
      </c>
      <c r="H311" s="17">
        <f t="shared" si="324"/>
        <v>214.06666666666666</v>
      </c>
      <c r="I311" s="17">
        <f t="shared" si="325"/>
        <v>214</v>
      </c>
      <c r="J311" s="17">
        <f t="shared" si="326"/>
        <v>213.86666666666667</v>
      </c>
      <c r="K311" s="17">
        <f t="shared" si="327"/>
        <v>213.8</v>
      </c>
      <c r="L311" s="17">
        <f t="shared" si="328"/>
        <v>213.66666666666666</v>
      </c>
      <c r="M311" s="17">
        <f t="shared" si="329"/>
        <v>213.46666666666667</v>
      </c>
    </row>
    <row r="312" spans="1:13" x14ac:dyDescent="0.35">
      <c r="B312" s="2">
        <v>30</v>
      </c>
      <c r="C312" s="2">
        <f t="shared" si="319"/>
        <v>953</v>
      </c>
      <c r="D312" s="2">
        <f t="shared" si="320"/>
        <v>923</v>
      </c>
      <c r="E312" s="3">
        <f t="shared" si="321"/>
        <v>6461</v>
      </c>
      <c r="F312" s="17">
        <f t="shared" si="322"/>
        <v>215.33333333333334</v>
      </c>
      <c r="G312" s="17">
        <f t="shared" si="323"/>
        <v>215.13333333333333</v>
      </c>
      <c r="H312" s="17">
        <f t="shared" si="324"/>
        <v>215</v>
      </c>
      <c r="I312" s="17">
        <f t="shared" si="325"/>
        <v>214.93333333333334</v>
      </c>
      <c r="J312" s="17">
        <f t="shared" si="326"/>
        <v>214.8</v>
      </c>
      <c r="K312" s="17">
        <f t="shared" si="327"/>
        <v>214.73333333333332</v>
      </c>
      <c r="L312" s="17">
        <f t="shared" si="328"/>
        <v>214.6</v>
      </c>
      <c r="M312" s="17">
        <f t="shared" si="329"/>
        <v>214.4</v>
      </c>
    </row>
    <row r="313" spans="1:13" x14ac:dyDescent="0.35">
      <c r="B313" s="2">
        <v>30</v>
      </c>
      <c r="C313" s="2">
        <f t="shared" si="319"/>
        <v>959</v>
      </c>
      <c r="D313" s="2">
        <f t="shared" si="320"/>
        <v>929</v>
      </c>
      <c r="E313" s="3">
        <f t="shared" si="321"/>
        <v>6503</v>
      </c>
      <c r="F313" s="17">
        <f t="shared" si="322"/>
        <v>216.73333333333332</v>
      </c>
      <c r="G313" s="17">
        <f t="shared" si="323"/>
        <v>216.53333333333333</v>
      </c>
      <c r="H313" s="17">
        <f t="shared" si="324"/>
        <v>216.4</v>
      </c>
      <c r="I313" s="17">
        <f t="shared" si="325"/>
        <v>216.33333333333334</v>
      </c>
      <c r="J313" s="17">
        <f t="shared" si="326"/>
        <v>216.2</v>
      </c>
      <c r="K313" s="17">
        <f t="shared" si="327"/>
        <v>216.13333333333333</v>
      </c>
      <c r="L313" s="17">
        <f t="shared" si="328"/>
        <v>216</v>
      </c>
      <c r="M313" s="17">
        <f t="shared" si="329"/>
        <v>215.8</v>
      </c>
    </row>
    <row r="314" spans="1:13" ht="16.8" thickBot="1" x14ac:dyDescent="0.4">
      <c r="F314" s="17"/>
      <c r="G314" s="17"/>
      <c r="H314" s="17"/>
      <c r="I314" s="17"/>
      <c r="J314" s="17"/>
      <c r="K314" s="17"/>
      <c r="L314" s="17"/>
      <c r="M314" s="17"/>
    </row>
    <row r="315" spans="1:13" ht="16.8" thickBot="1" x14ac:dyDescent="0.4">
      <c r="A315" s="1">
        <v>32</v>
      </c>
      <c r="C315" s="18" t="s">
        <v>2</v>
      </c>
      <c r="E315" s="13">
        <f>E296</f>
        <v>6097</v>
      </c>
      <c r="F315" s="19">
        <v>1</v>
      </c>
      <c r="G315" s="20">
        <v>7</v>
      </c>
      <c r="H315" s="20">
        <v>11</v>
      </c>
      <c r="I315" s="20">
        <v>13</v>
      </c>
      <c r="J315" s="20">
        <v>17</v>
      </c>
      <c r="K315" s="20">
        <v>19</v>
      </c>
      <c r="L315" s="20">
        <v>23</v>
      </c>
      <c r="M315" s="21">
        <v>29</v>
      </c>
    </row>
    <row r="316" spans="1:13" x14ac:dyDescent="0.35">
      <c r="B316" s="2">
        <v>30</v>
      </c>
      <c r="C316" s="2">
        <f>D316+B316</f>
        <v>961</v>
      </c>
      <c r="D316" s="2">
        <f>C306</f>
        <v>931</v>
      </c>
      <c r="E316" s="3">
        <f>D316*$E$5</f>
        <v>6517</v>
      </c>
      <c r="F316" s="17">
        <f>(E316-1)/30</f>
        <v>217.2</v>
      </c>
      <c r="G316" s="17">
        <f>($E316-7)/30</f>
        <v>217</v>
      </c>
      <c r="H316" s="17">
        <f>($E316-11)/30</f>
        <v>216.86666666666667</v>
      </c>
      <c r="I316" s="17">
        <f>($E316-13)/30</f>
        <v>216.8</v>
      </c>
      <c r="J316" s="17">
        <f>($E316-17)/30</f>
        <v>216.66666666666666</v>
      </c>
      <c r="K316" s="17">
        <f>($E316-19)/30</f>
        <v>216.6</v>
      </c>
      <c r="L316" s="17">
        <f>($E316-23)/30</f>
        <v>216.46666666666667</v>
      </c>
      <c r="M316" s="17">
        <f>($E316-29)/30</f>
        <v>216.26666666666668</v>
      </c>
    </row>
    <row r="317" spans="1:13" x14ac:dyDescent="0.35">
      <c r="B317" s="2">
        <v>30</v>
      </c>
      <c r="C317" s="2">
        <f t="shared" ref="C317:C323" si="330">D317+B317</f>
        <v>967</v>
      </c>
      <c r="D317" s="2">
        <f t="shared" ref="D317:D323" si="331">C307</f>
        <v>937</v>
      </c>
      <c r="E317" s="3">
        <f t="shared" ref="E317:E323" si="332">D317*$E$5</f>
        <v>6559</v>
      </c>
      <c r="F317" s="17">
        <f t="shared" ref="F317:F323" si="333">(E317-1)/30</f>
        <v>218.6</v>
      </c>
      <c r="G317" s="17">
        <f t="shared" ref="G317:G323" si="334">($E317-7)/30</f>
        <v>218.4</v>
      </c>
      <c r="H317" s="17">
        <f t="shared" ref="H317:H323" si="335">($E317-11)/30</f>
        <v>218.26666666666668</v>
      </c>
      <c r="I317" s="17">
        <f t="shared" ref="I317:I323" si="336">($E317-13)/30</f>
        <v>218.2</v>
      </c>
      <c r="J317" s="17">
        <f t="shared" ref="J317:J323" si="337">($E317-17)/30</f>
        <v>218.06666666666666</v>
      </c>
      <c r="K317" s="17">
        <f t="shared" ref="K317:K323" si="338">($E317-19)/30</f>
        <v>218</v>
      </c>
      <c r="L317" s="17">
        <f t="shared" ref="L317:L323" si="339">($E317-23)/30</f>
        <v>217.86666666666667</v>
      </c>
      <c r="M317" s="17">
        <f t="shared" ref="M317:M323" si="340">($E317-29)/30</f>
        <v>217.66666666666666</v>
      </c>
    </row>
    <row r="318" spans="1:13" x14ac:dyDescent="0.35">
      <c r="B318" s="2">
        <v>30</v>
      </c>
      <c r="C318" s="2">
        <f t="shared" si="330"/>
        <v>971</v>
      </c>
      <c r="D318" s="2">
        <f t="shared" si="331"/>
        <v>941</v>
      </c>
      <c r="E318" s="3">
        <f t="shared" si="332"/>
        <v>6587</v>
      </c>
      <c r="F318" s="17">
        <f t="shared" si="333"/>
        <v>219.53333333333333</v>
      </c>
      <c r="G318" s="17">
        <f t="shared" si="334"/>
        <v>219.33333333333334</v>
      </c>
      <c r="H318" s="17">
        <f t="shared" si="335"/>
        <v>219.2</v>
      </c>
      <c r="I318" s="17">
        <f t="shared" si="336"/>
        <v>219.13333333333333</v>
      </c>
      <c r="J318" s="17">
        <f t="shared" si="337"/>
        <v>219</v>
      </c>
      <c r="K318" s="17">
        <f t="shared" si="338"/>
        <v>218.93333333333334</v>
      </c>
      <c r="L318" s="17">
        <f t="shared" si="339"/>
        <v>218.8</v>
      </c>
      <c r="M318" s="17">
        <f t="shared" si="340"/>
        <v>218.6</v>
      </c>
    </row>
    <row r="319" spans="1:13" x14ac:dyDescent="0.35">
      <c r="B319" s="2">
        <v>30</v>
      </c>
      <c r="C319" s="2">
        <f t="shared" si="330"/>
        <v>973</v>
      </c>
      <c r="D319" s="2">
        <f t="shared" si="331"/>
        <v>943</v>
      </c>
      <c r="E319" s="3">
        <f t="shared" si="332"/>
        <v>6601</v>
      </c>
      <c r="F319" s="17">
        <f t="shared" si="333"/>
        <v>220</v>
      </c>
      <c r="G319" s="17">
        <f t="shared" si="334"/>
        <v>219.8</v>
      </c>
      <c r="H319" s="17">
        <f t="shared" si="335"/>
        <v>219.66666666666666</v>
      </c>
      <c r="I319" s="17">
        <f t="shared" si="336"/>
        <v>219.6</v>
      </c>
      <c r="J319" s="17">
        <f t="shared" si="337"/>
        <v>219.46666666666667</v>
      </c>
      <c r="K319" s="17">
        <f t="shared" si="338"/>
        <v>219.4</v>
      </c>
      <c r="L319" s="17">
        <f t="shared" si="339"/>
        <v>219.26666666666668</v>
      </c>
      <c r="M319" s="17">
        <f t="shared" si="340"/>
        <v>219.06666666666666</v>
      </c>
    </row>
    <row r="320" spans="1:13" x14ac:dyDescent="0.35">
      <c r="B320" s="2">
        <v>30</v>
      </c>
      <c r="C320" s="2">
        <f t="shared" si="330"/>
        <v>977</v>
      </c>
      <c r="D320" s="2">
        <f t="shared" si="331"/>
        <v>947</v>
      </c>
      <c r="E320" s="3">
        <f t="shared" si="332"/>
        <v>6629</v>
      </c>
      <c r="F320" s="17">
        <f t="shared" si="333"/>
        <v>220.93333333333334</v>
      </c>
      <c r="G320" s="17">
        <f t="shared" si="334"/>
        <v>220.73333333333332</v>
      </c>
      <c r="H320" s="17">
        <f t="shared" si="335"/>
        <v>220.6</v>
      </c>
      <c r="I320" s="17">
        <f t="shared" si="336"/>
        <v>220.53333333333333</v>
      </c>
      <c r="J320" s="17">
        <f t="shared" si="337"/>
        <v>220.4</v>
      </c>
      <c r="K320" s="17">
        <f t="shared" si="338"/>
        <v>220.33333333333334</v>
      </c>
      <c r="L320" s="17">
        <f t="shared" si="339"/>
        <v>220.2</v>
      </c>
      <c r="M320" s="17">
        <f t="shared" si="340"/>
        <v>220</v>
      </c>
    </row>
    <row r="321" spans="1:13" x14ac:dyDescent="0.35">
      <c r="B321" s="2">
        <v>30</v>
      </c>
      <c r="C321" s="2">
        <f t="shared" si="330"/>
        <v>979</v>
      </c>
      <c r="D321" s="2">
        <f t="shared" si="331"/>
        <v>949</v>
      </c>
      <c r="E321" s="3">
        <f t="shared" si="332"/>
        <v>6643</v>
      </c>
      <c r="F321" s="17">
        <f t="shared" si="333"/>
        <v>221.4</v>
      </c>
      <c r="G321" s="17">
        <f t="shared" si="334"/>
        <v>221.2</v>
      </c>
      <c r="H321" s="17">
        <f t="shared" si="335"/>
        <v>221.06666666666666</v>
      </c>
      <c r="I321" s="17">
        <f t="shared" si="336"/>
        <v>221</v>
      </c>
      <c r="J321" s="17">
        <f t="shared" si="337"/>
        <v>220.86666666666667</v>
      </c>
      <c r="K321" s="17">
        <f t="shared" si="338"/>
        <v>220.8</v>
      </c>
      <c r="L321" s="17">
        <f t="shared" si="339"/>
        <v>220.66666666666666</v>
      </c>
      <c r="M321" s="17">
        <f t="shared" si="340"/>
        <v>220.46666666666667</v>
      </c>
    </row>
    <row r="322" spans="1:13" x14ac:dyDescent="0.35">
      <c r="B322" s="2">
        <v>30</v>
      </c>
      <c r="C322" s="2">
        <f t="shared" si="330"/>
        <v>983</v>
      </c>
      <c r="D322" s="2">
        <f t="shared" si="331"/>
        <v>953</v>
      </c>
      <c r="E322" s="3">
        <f t="shared" si="332"/>
        <v>6671</v>
      </c>
      <c r="F322" s="17">
        <f t="shared" si="333"/>
        <v>222.33333333333334</v>
      </c>
      <c r="G322" s="17">
        <f t="shared" si="334"/>
        <v>222.13333333333333</v>
      </c>
      <c r="H322" s="17">
        <f t="shared" si="335"/>
        <v>222</v>
      </c>
      <c r="I322" s="17">
        <f t="shared" si="336"/>
        <v>221.93333333333334</v>
      </c>
      <c r="J322" s="17">
        <f t="shared" si="337"/>
        <v>221.8</v>
      </c>
      <c r="K322" s="17">
        <f t="shared" si="338"/>
        <v>221.73333333333332</v>
      </c>
      <c r="L322" s="17">
        <f t="shared" si="339"/>
        <v>221.6</v>
      </c>
      <c r="M322" s="17">
        <f t="shared" si="340"/>
        <v>221.4</v>
      </c>
    </row>
    <row r="323" spans="1:13" x14ac:dyDescent="0.35">
      <c r="B323" s="2">
        <v>30</v>
      </c>
      <c r="C323" s="2">
        <f t="shared" si="330"/>
        <v>989</v>
      </c>
      <c r="D323" s="2">
        <f t="shared" si="331"/>
        <v>959</v>
      </c>
      <c r="E323" s="3">
        <f t="shared" si="332"/>
        <v>6713</v>
      </c>
      <c r="F323" s="17">
        <f t="shared" si="333"/>
        <v>223.73333333333332</v>
      </c>
      <c r="G323" s="17">
        <f t="shared" si="334"/>
        <v>223.53333333333333</v>
      </c>
      <c r="H323" s="17">
        <f t="shared" si="335"/>
        <v>223.4</v>
      </c>
      <c r="I323" s="17">
        <f t="shared" si="336"/>
        <v>223.33333333333334</v>
      </c>
      <c r="J323" s="17">
        <f t="shared" si="337"/>
        <v>223.2</v>
      </c>
      <c r="K323" s="17">
        <f t="shared" si="338"/>
        <v>223.13333333333333</v>
      </c>
      <c r="L323" s="17">
        <f t="shared" si="339"/>
        <v>223</v>
      </c>
      <c r="M323" s="17">
        <f t="shared" si="340"/>
        <v>222.8</v>
      </c>
    </row>
    <row r="324" spans="1:13" ht="16.8" thickBot="1" x14ac:dyDescent="0.4">
      <c r="F324" s="17"/>
      <c r="G324" s="17"/>
      <c r="H324" s="17"/>
      <c r="I324" s="17"/>
      <c r="J324" s="17"/>
      <c r="K324" s="17"/>
      <c r="L324" s="17"/>
      <c r="M324" s="17"/>
    </row>
    <row r="325" spans="1:13" ht="16.8" thickBot="1" x14ac:dyDescent="0.4">
      <c r="A325" s="1">
        <f>A315+1</f>
        <v>33</v>
      </c>
      <c r="C325" s="18" t="s">
        <v>2</v>
      </c>
      <c r="E325" s="13">
        <f>E306</f>
        <v>6307</v>
      </c>
      <c r="F325" s="19">
        <v>1</v>
      </c>
      <c r="G325" s="20">
        <v>7</v>
      </c>
      <c r="H325" s="20">
        <v>11</v>
      </c>
      <c r="I325" s="20">
        <v>13</v>
      </c>
      <c r="J325" s="20">
        <v>17</v>
      </c>
      <c r="K325" s="20">
        <v>19</v>
      </c>
      <c r="L325" s="20">
        <v>23</v>
      </c>
      <c r="M325" s="21">
        <v>29</v>
      </c>
    </row>
    <row r="326" spans="1:13" x14ac:dyDescent="0.35">
      <c r="B326" s="2">
        <v>30</v>
      </c>
      <c r="C326" s="2">
        <f>D326+B326</f>
        <v>991</v>
      </c>
      <c r="D326" s="2">
        <f>C316</f>
        <v>961</v>
      </c>
      <c r="E326" s="3">
        <f>D326*$E$5</f>
        <v>6727</v>
      </c>
      <c r="F326" s="17">
        <f>(E326-1)/30</f>
        <v>224.2</v>
      </c>
      <c r="G326" s="17">
        <f>($E326-7)/30</f>
        <v>224</v>
      </c>
      <c r="H326" s="17">
        <f>($E326-11)/30</f>
        <v>223.86666666666667</v>
      </c>
      <c r="I326" s="17">
        <f>($E326-13)/30</f>
        <v>223.8</v>
      </c>
      <c r="J326" s="17">
        <f>($E326-17)/30</f>
        <v>223.66666666666666</v>
      </c>
      <c r="K326" s="17">
        <f>($E326-19)/30</f>
        <v>223.6</v>
      </c>
      <c r="L326" s="17">
        <f>($E326-23)/30</f>
        <v>223.46666666666667</v>
      </c>
      <c r="M326" s="17">
        <f>($E326-29)/30</f>
        <v>223.26666666666668</v>
      </c>
    </row>
    <row r="327" spans="1:13" x14ac:dyDescent="0.35">
      <c r="B327" s="2">
        <v>30</v>
      </c>
      <c r="C327" s="2">
        <f t="shared" ref="C327:C333" si="341">D327+B327</f>
        <v>997</v>
      </c>
      <c r="D327" s="2">
        <f t="shared" ref="D327:D333" si="342">C317</f>
        <v>967</v>
      </c>
      <c r="E327" s="3">
        <f t="shared" ref="E327:E333" si="343">D327*$E$5</f>
        <v>6769</v>
      </c>
      <c r="F327" s="17">
        <f t="shared" ref="F327:F333" si="344">(E327-1)/30</f>
        <v>225.6</v>
      </c>
      <c r="G327" s="17">
        <f t="shared" ref="G327:G333" si="345">($E327-7)/30</f>
        <v>225.4</v>
      </c>
      <c r="H327" s="17">
        <f t="shared" ref="H327:H333" si="346">($E327-11)/30</f>
        <v>225.26666666666668</v>
      </c>
      <c r="I327" s="17">
        <f t="shared" ref="I327:I333" si="347">($E327-13)/30</f>
        <v>225.2</v>
      </c>
      <c r="J327" s="17">
        <f t="shared" ref="J327:J333" si="348">($E327-17)/30</f>
        <v>225.06666666666666</v>
      </c>
      <c r="K327" s="17">
        <f t="shared" ref="K327:K333" si="349">($E327-19)/30</f>
        <v>225</v>
      </c>
      <c r="L327" s="17">
        <f t="shared" ref="L327:L333" si="350">($E327-23)/30</f>
        <v>224.86666666666667</v>
      </c>
      <c r="M327" s="17">
        <f t="shared" ref="M327:M333" si="351">($E327-29)/30</f>
        <v>224.66666666666666</v>
      </c>
    </row>
    <row r="328" spans="1:13" x14ac:dyDescent="0.35">
      <c r="B328" s="2">
        <v>30</v>
      </c>
      <c r="C328" s="2">
        <f t="shared" si="341"/>
        <v>1001</v>
      </c>
      <c r="D328" s="2">
        <f t="shared" si="342"/>
        <v>971</v>
      </c>
      <c r="E328" s="3">
        <f t="shared" si="343"/>
        <v>6797</v>
      </c>
      <c r="F328" s="17">
        <f t="shared" si="344"/>
        <v>226.53333333333333</v>
      </c>
      <c r="G328" s="17">
        <f t="shared" si="345"/>
        <v>226.33333333333334</v>
      </c>
      <c r="H328" s="17">
        <f t="shared" si="346"/>
        <v>226.2</v>
      </c>
      <c r="I328" s="17">
        <f t="shared" si="347"/>
        <v>226.13333333333333</v>
      </c>
      <c r="J328" s="17">
        <f t="shared" si="348"/>
        <v>226</v>
      </c>
      <c r="K328" s="17">
        <f t="shared" si="349"/>
        <v>225.93333333333334</v>
      </c>
      <c r="L328" s="17">
        <f t="shared" si="350"/>
        <v>225.8</v>
      </c>
      <c r="M328" s="17">
        <f t="shared" si="351"/>
        <v>225.6</v>
      </c>
    </row>
    <row r="329" spans="1:13" x14ac:dyDescent="0.35">
      <c r="B329" s="2">
        <v>30</v>
      </c>
      <c r="C329" s="2">
        <f t="shared" si="341"/>
        <v>1003</v>
      </c>
      <c r="D329" s="2">
        <f t="shared" si="342"/>
        <v>973</v>
      </c>
      <c r="E329" s="3">
        <f t="shared" si="343"/>
        <v>6811</v>
      </c>
      <c r="F329" s="17">
        <f t="shared" si="344"/>
        <v>227</v>
      </c>
      <c r="G329" s="17">
        <f t="shared" si="345"/>
        <v>226.8</v>
      </c>
      <c r="H329" s="17">
        <f t="shared" si="346"/>
        <v>226.66666666666666</v>
      </c>
      <c r="I329" s="17">
        <f t="shared" si="347"/>
        <v>226.6</v>
      </c>
      <c r="J329" s="17">
        <f t="shared" si="348"/>
        <v>226.46666666666667</v>
      </c>
      <c r="K329" s="17">
        <f t="shared" si="349"/>
        <v>226.4</v>
      </c>
      <c r="L329" s="17">
        <f t="shared" si="350"/>
        <v>226.26666666666668</v>
      </c>
      <c r="M329" s="17">
        <f t="shared" si="351"/>
        <v>226.06666666666666</v>
      </c>
    </row>
    <row r="330" spans="1:13" x14ac:dyDescent="0.35">
      <c r="B330" s="2">
        <v>30</v>
      </c>
      <c r="C330" s="2">
        <f t="shared" si="341"/>
        <v>1007</v>
      </c>
      <c r="D330" s="2">
        <f t="shared" si="342"/>
        <v>977</v>
      </c>
      <c r="E330" s="3">
        <f t="shared" si="343"/>
        <v>6839</v>
      </c>
      <c r="F330" s="17">
        <f t="shared" si="344"/>
        <v>227.93333333333334</v>
      </c>
      <c r="G330" s="17">
        <f t="shared" si="345"/>
        <v>227.73333333333332</v>
      </c>
      <c r="H330" s="17">
        <f t="shared" si="346"/>
        <v>227.6</v>
      </c>
      <c r="I330" s="17">
        <f t="shared" si="347"/>
        <v>227.53333333333333</v>
      </c>
      <c r="J330" s="17">
        <f t="shared" si="348"/>
        <v>227.4</v>
      </c>
      <c r="K330" s="17">
        <f t="shared" si="349"/>
        <v>227.33333333333334</v>
      </c>
      <c r="L330" s="17">
        <f t="shared" si="350"/>
        <v>227.2</v>
      </c>
      <c r="M330" s="17">
        <f t="shared" si="351"/>
        <v>227</v>
      </c>
    </row>
    <row r="331" spans="1:13" x14ac:dyDescent="0.35">
      <c r="B331" s="2">
        <v>30</v>
      </c>
      <c r="C331" s="2">
        <f t="shared" si="341"/>
        <v>1009</v>
      </c>
      <c r="D331" s="2">
        <f t="shared" si="342"/>
        <v>979</v>
      </c>
      <c r="E331" s="3">
        <f t="shared" si="343"/>
        <v>6853</v>
      </c>
      <c r="F331" s="17">
        <f t="shared" si="344"/>
        <v>228.4</v>
      </c>
      <c r="G331" s="17">
        <f t="shared" si="345"/>
        <v>228.2</v>
      </c>
      <c r="H331" s="17">
        <f t="shared" si="346"/>
        <v>228.06666666666666</v>
      </c>
      <c r="I331" s="17">
        <f t="shared" si="347"/>
        <v>228</v>
      </c>
      <c r="J331" s="17">
        <f t="shared" si="348"/>
        <v>227.86666666666667</v>
      </c>
      <c r="K331" s="17">
        <f t="shared" si="349"/>
        <v>227.8</v>
      </c>
      <c r="L331" s="17">
        <f t="shared" si="350"/>
        <v>227.66666666666666</v>
      </c>
      <c r="M331" s="17">
        <f t="shared" si="351"/>
        <v>227.46666666666667</v>
      </c>
    </row>
    <row r="332" spans="1:13" x14ac:dyDescent="0.35">
      <c r="B332" s="2">
        <v>30</v>
      </c>
      <c r="C332" s="2">
        <f t="shared" si="341"/>
        <v>1013</v>
      </c>
      <c r="D332" s="2">
        <f t="shared" si="342"/>
        <v>983</v>
      </c>
      <c r="E332" s="3">
        <f t="shared" si="343"/>
        <v>6881</v>
      </c>
      <c r="F332" s="17">
        <f t="shared" si="344"/>
        <v>229.33333333333334</v>
      </c>
      <c r="G332" s="17">
        <f t="shared" si="345"/>
        <v>229.13333333333333</v>
      </c>
      <c r="H332" s="17">
        <f t="shared" si="346"/>
        <v>229</v>
      </c>
      <c r="I332" s="17">
        <f t="shared" si="347"/>
        <v>228.93333333333334</v>
      </c>
      <c r="J332" s="17">
        <f t="shared" si="348"/>
        <v>228.8</v>
      </c>
      <c r="K332" s="17">
        <f t="shared" si="349"/>
        <v>228.73333333333332</v>
      </c>
      <c r="L332" s="17">
        <f t="shared" si="350"/>
        <v>228.6</v>
      </c>
      <c r="M332" s="17">
        <f t="shared" si="351"/>
        <v>228.4</v>
      </c>
    </row>
    <row r="333" spans="1:13" x14ac:dyDescent="0.35">
      <c r="B333" s="2">
        <v>30</v>
      </c>
      <c r="C333" s="2">
        <f t="shared" si="341"/>
        <v>1019</v>
      </c>
      <c r="D333" s="2">
        <f t="shared" si="342"/>
        <v>989</v>
      </c>
      <c r="E333" s="3">
        <f t="shared" si="343"/>
        <v>6923</v>
      </c>
      <c r="F333" s="17">
        <f t="shared" si="344"/>
        <v>230.73333333333332</v>
      </c>
      <c r="G333" s="17">
        <f t="shared" si="345"/>
        <v>230.53333333333333</v>
      </c>
      <c r="H333" s="17">
        <f t="shared" si="346"/>
        <v>230.4</v>
      </c>
      <c r="I333" s="17">
        <f t="shared" si="347"/>
        <v>230.33333333333334</v>
      </c>
      <c r="J333" s="17">
        <f t="shared" si="348"/>
        <v>230.2</v>
      </c>
      <c r="K333" s="17">
        <f t="shared" si="349"/>
        <v>230.13333333333333</v>
      </c>
      <c r="L333" s="17">
        <f t="shared" si="350"/>
        <v>230</v>
      </c>
      <c r="M333" s="17">
        <f t="shared" si="351"/>
        <v>229.8</v>
      </c>
    </row>
    <row r="334" spans="1:13" ht="16.8" thickBot="1" x14ac:dyDescent="0.4">
      <c r="F334" s="17"/>
      <c r="G334" s="17"/>
      <c r="H334" s="17"/>
      <c r="I334" s="17"/>
      <c r="J334" s="17"/>
      <c r="K334" s="17"/>
      <c r="L334" s="17"/>
      <c r="M334" s="17"/>
    </row>
    <row r="335" spans="1:13" ht="16.8" thickBot="1" x14ac:dyDescent="0.4">
      <c r="A335" s="1">
        <f>A325+1</f>
        <v>34</v>
      </c>
      <c r="C335" s="18" t="s">
        <v>2</v>
      </c>
      <c r="E335" s="13">
        <f>E316</f>
        <v>6517</v>
      </c>
      <c r="F335" s="19">
        <v>1</v>
      </c>
      <c r="G335" s="20">
        <v>7</v>
      </c>
      <c r="H335" s="20">
        <v>11</v>
      </c>
      <c r="I335" s="20">
        <v>13</v>
      </c>
      <c r="J335" s="20">
        <v>17</v>
      </c>
      <c r="K335" s="20">
        <v>19</v>
      </c>
      <c r="L335" s="20">
        <v>23</v>
      </c>
      <c r="M335" s="21">
        <v>29</v>
      </c>
    </row>
    <row r="336" spans="1:13" x14ac:dyDescent="0.35">
      <c r="B336" s="2">
        <v>30</v>
      </c>
      <c r="C336" s="2">
        <f>D336+B336</f>
        <v>1021</v>
      </c>
      <c r="D336" s="2">
        <f>C326</f>
        <v>991</v>
      </c>
      <c r="E336" s="3">
        <f>D336*$E$5</f>
        <v>6937</v>
      </c>
      <c r="F336" s="17">
        <f>(E336-1)/30</f>
        <v>231.2</v>
      </c>
      <c r="G336" s="17">
        <f>($E336-7)/30</f>
        <v>231</v>
      </c>
      <c r="H336" s="17">
        <f>($E336-11)/30</f>
        <v>230.86666666666667</v>
      </c>
      <c r="I336" s="17">
        <f>($E336-13)/30</f>
        <v>230.8</v>
      </c>
      <c r="J336" s="17">
        <f>($E336-17)/30</f>
        <v>230.66666666666666</v>
      </c>
      <c r="K336" s="17">
        <f>($E336-19)/30</f>
        <v>230.6</v>
      </c>
      <c r="L336" s="17">
        <f>($E336-23)/30</f>
        <v>230.46666666666667</v>
      </c>
      <c r="M336" s="17">
        <f>($E336-29)/30</f>
        <v>230.26666666666668</v>
      </c>
    </row>
    <row r="337" spans="1:13" x14ac:dyDescent="0.35">
      <c r="B337" s="2">
        <v>30</v>
      </c>
      <c r="C337" s="2">
        <f t="shared" ref="C337:C343" si="352">D337+B337</f>
        <v>1027</v>
      </c>
      <c r="D337" s="2">
        <f t="shared" ref="D337:D343" si="353">C327</f>
        <v>997</v>
      </c>
      <c r="E337" s="3">
        <f t="shared" ref="E337:E343" si="354">D337*$E$5</f>
        <v>6979</v>
      </c>
      <c r="F337" s="17">
        <f t="shared" ref="F337:F343" si="355">(E337-1)/30</f>
        <v>232.6</v>
      </c>
      <c r="G337" s="17">
        <f t="shared" ref="G337:G343" si="356">($E337-7)/30</f>
        <v>232.4</v>
      </c>
      <c r="H337" s="17">
        <f t="shared" ref="H337:H343" si="357">($E337-11)/30</f>
        <v>232.26666666666668</v>
      </c>
      <c r="I337" s="17">
        <f t="shared" ref="I337:I343" si="358">($E337-13)/30</f>
        <v>232.2</v>
      </c>
      <c r="J337" s="17">
        <f t="shared" ref="J337:J343" si="359">($E337-17)/30</f>
        <v>232.06666666666666</v>
      </c>
      <c r="K337" s="17">
        <f t="shared" ref="K337:K343" si="360">($E337-19)/30</f>
        <v>232</v>
      </c>
      <c r="L337" s="17">
        <f t="shared" ref="L337:L343" si="361">($E337-23)/30</f>
        <v>231.86666666666667</v>
      </c>
      <c r="M337" s="17">
        <f t="shared" ref="M337:M343" si="362">($E337-29)/30</f>
        <v>231.66666666666666</v>
      </c>
    </row>
    <row r="338" spans="1:13" x14ac:dyDescent="0.35">
      <c r="B338" s="2">
        <v>30</v>
      </c>
      <c r="C338" s="2">
        <f t="shared" si="352"/>
        <v>1031</v>
      </c>
      <c r="D338" s="2">
        <f t="shared" si="353"/>
        <v>1001</v>
      </c>
      <c r="E338" s="3">
        <f t="shared" si="354"/>
        <v>7007</v>
      </c>
      <c r="F338" s="17">
        <f t="shared" si="355"/>
        <v>233.53333333333333</v>
      </c>
      <c r="G338" s="17">
        <f t="shared" si="356"/>
        <v>233.33333333333334</v>
      </c>
      <c r="H338" s="17">
        <f t="shared" si="357"/>
        <v>233.2</v>
      </c>
      <c r="I338" s="17">
        <f t="shared" si="358"/>
        <v>233.13333333333333</v>
      </c>
      <c r="J338" s="17">
        <f t="shared" si="359"/>
        <v>233</v>
      </c>
      <c r="K338" s="17">
        <f t="shared" si="360"/>
        <v>232.93333333333334</v>
      </c>
      <c r="L338" s="17">
        <f t="shared" si="361"/>
        <v>232.8</v>
      </c>
      <c r="M338" s="17">
        <f t="shared" si="362"/>
        <v>232.6</v>
      </c>
    </row>
    <row r="339" spans="1:13" x14ac:dyDescent="0.35">
      <c r="B339" s="2">
        <v>30</v>
      </c>
      <c r="C339" s="2">
        <f t="shared" si="352"/>
        <v>1033</v>
      </c>
      <c r="D339" s="2">
        <f t="shared" si="353"/>
        <v>1003</v>
      </c>
      <c r="E339" s="3">
        <f t="shared" si="354"/>
        <v>7021</v>
      </c>
      <c r="F339" s="17">
        <f t="shared" si="355"/>
        <v>234</v>
      </c>
      <c r="G339" s="17">
        <f t="shared" si="356"/>
        <v>233.8</v>
      </c>
      <c r="H339" s="17">
        <f t="shared" si="357"/>
        <v>233.66666666666666</v>
      </c>
      <c r="I339" s="17">
        <f t="shared" si="358"/>
        <v>233.6</v>
      </c>
      <c r="J339" s="17">
        <f t="shared" si="359"/>
        <v>233.46666666666667</v>
      </c>
      <c r="K339" s="17">
        <f t="shared" si="360"/>
        <v>233.4</v>
      </c>
      <c r="L339" s="17">
        <f t="shared" si="361"/>
        <v>233.26666666666668</v>
      </c>
      <c r="M339" s="17">
        <f t="shared" si="362"/>
        <v>233.06666666666666</v>
      </c>
    </row>
    <row r="340" spans="1:13" x14ac:dyDescent="0.35">
      <c r="B340" s="2">
        <v>30</v>
      </c>
      <c r="C340" s="2">
        <f t="shared" si="352"/>
        <v>1037</v>
      </c>
      <c r="D340" s="2">
        <f t="shared" si="353"/>
        <v>1007</v>
      </c>
      <c r="E340" s="3">
        <f t="shared" si="354"/>
        <v>7049</v>
      </c>
      <c r="F340" s="17">
        <f t="shared" si="355"/>
        <v>234.93333333333334</v>
      </c>
      <c r="G340" s="17">
        <f t="shared" si="356"/>
        <v>234.73333333333332</v>
      </c>
      <c r="H340" s="17">
        <f t="shared" si="357"/>
        <v>234.6</v>
      </c>
      <c r="I340" s="17">
        <f t="shared" si="358"/>
        <v>234.53333333333333</v>
      </c>
      <c r="J340" s="17">
        <f t="shared" si="359"/>
        <v>234.4</v>
      </c>
      <c r="K340" s="17">
        <f t="shared" si="360"/>
        <v>234.33333333333334</v>
      </c>
      <c r="L340" s="17">
        <f t="shared" si="361"/>
        <v>234.2</v>
      </c>
      <c r="M340" s="17">
        <f t="shared" si="362"/>
        <v>234</v>
      </c>
    </row>
    <row r="341" spans="1:13" x14ac:dyDescent="0.35">
      <c r="B341" s="2">
        <v>30</v>
      </c>
      <c r="C341" s="2">
        <f t="shared" si="352"/>
        <v>1039</v>
      </c>
      <c r="D341" s="2">
        <f t="shared" si="353"/>
        <v>1009</v>
      </c>
      <c r="E341" s="3">
        <f t="shared" si="354"/>
        <v>7063</v>
      </c>
      <c r="F341" s="17">
        <f t="shared" si="355"/>
        <v>235.4</v>
      </c>
      <c r="G341" s="17">
        <f t="shared" si="356"/>
        <v>235.2</v>
      </c>
      <c r="H341" s="17">
        <f t="shared" si="357"/>
        <v>235.06666666666666</v>
      </c>
      <c r="I341" s="17">
        <f t="shared" si="358"/>
        <v>235</v>
      </c>
      <c r="J341" s="17">
        <f t="shared" si="359"/>
        <v>234.86666666666667</v>
      </c>
      <c r="K341" s="17">
        <f t="shared" si="360"/>
        <v>234.8</v>
      </c>
      <c r="L341" s="17">
        <f t="shared" si="361"/>
        <v>234.66666666666666</v>
      </c>
      <c r="M341" s="17">
        <f t="shared" si="362"/>
        <v>234.46666666666667</v>
      </c>
    </row>
    <row r="342" spans="1:13" x14ac:dyDescent="0.35">
      <c r="B342" s="2">
        <v>30</v>
      </c>
      <c r="C342" s="2">
        <f t="shared" si="352"/>
        <v>1043</v>
      </c>
      <c r="D342" s="2">
        <f t="shared" si="353"/>
        <v>1013</v>
      </c>
      <c r="E342" s="3">
        <f t="shared" si="354"/>
        <v>7091</v>
      </c>
      <c r="F342" s="17">
        <f t="shared" si="355"/>
        <v>236.33333333333334</v>
      </c>
      <c r="G342" s="17">
        <f t="shared" si="356"/>
        <v>236.13333333333333</v>
      </c>
      <c r="H342" s="17">
        <f t="shared" si="357"/>
        <v>236</v>
      </c>
      <c r="I342" s="17">
        <f t="shared" si="358"/>
        <v>235.93333333333334</v>
      </c>
      <c r="J342" s="17">
        <f t="shared" si="359"/>
        <v>235.8</v>
      </c>
      <c r="K342" s="17">
        <f t="shared" si="360"/>
        <v>235.73333333333332</v>
      </c>
      <c r="L342" s="17">
        <f t="shared" si="361"/>
        <v>235.6</v>
      </c>
      <c r="M342" s="17">
        <f t="shared" si="362"/>
        <v>235.4</v>
      </c>
    </row>
    <row r="343" spans="1:13" x14ac:dyDescent="0.35">
      <c r="B343" s="2">
        <v>30</v>
      </c>
      <c r="C343" s="2">
        <f t="shared" si="352"/>
        <v>1049</v>
      </c>
      <c r="D343" s="2">
        <f t="shared" si="353"/>
        <v>1019</v>
      </c>
      <c r="E343" s="3">
        <f t="shared" si="354"/>
        <v>7133</v>
      </c>
      <c r="F343" s="17">
        <f t="shared" si="355"/>
        <v>237.73333333333332</v>
      </c>
      <c r="G343" s="17">
        <f t="shared" si="356"/>
        <v>237.53333333333333</v>
      </c>
      <c r="H343" s="17">
        <f t="shared" si="357"/>
        <v>237.4</v>
      </c>
      <c r="I343" s="17">
        <f t="shared" si="358"/>
        <v>237.33333333333334</v>
      </c>
      <c r="J343" s="17">
        <f t="shared" si="359"/>
        <v>237.2</v>
      </c>
      <c r="K343" s="17">
        <f t="shared" si="360"/>
        <v>237.13333333333333</v>
      </c>
      <c r="L343" s="17">
        <f t="shared" si="361"/>
        <v>237</v>
      </c>
      <c r="M343" s="17">
        <f t="shared" si="362"/>
        <v>236.8</v>
      </c>
    </row>
    <row r="344" spans="1:13" ht="16.8" thickBot="1" x14ac:dyDescent="0.4">
      <c r="F344" s="17"/>
      <c r="G344" s="17"/>
      <c r="H344" s="17"/>
      <c r="I344" s="17"/>
      <c r="J344" s="17"/>
      <c r="K344" s="17"/>
      <c r="L344" s="17"/>
      <c r="M344" s="17"/>
    </row>
    <row r="345" spans="1:13" ht="16.8" thickBot="1" x14ac:dyDescent="0.4">
      <c r="A345" s="1">
        <f>A335+1</f>
        <v>35</v>
      </c>
      <c r="C345" s="18" t="s">
        <v>2</v>
      </c>
      <c r="E345" s="13">
        <f>E326</f>
        <v>6727</v>
      </c>
      <c r="F345" s="19">
        <v>1</v>
      </c>
      <c r="G345" s="20">
        <v>7</v>
      </c>
      <c r="H345" s="20">
        <v>11</v>
      </c>
      <c r="I345" s="20">
        <v>13</v>
      </c>
      <c r="J345" s="20">
        <v>17</v>
      </c>
      <c r="K345" s="20">
        <v>19</v>
      </c>
      <c r="L345" s="20">
        <v>23</v>
      </c>
      <c r="M345" s="21">
        <v>29</v>
      </c>
    </row>
    <row r="346" spans="1:13" x14ac:dyDescent="0.35">
      <c r="B346" s="2">
        <v>30</v>
      </c>
      <c r="C346" s="2">
        <f>D346+B346</f>
        <v>1051</v>
      </c>
      <c r="D346" s="2">
        <f>C336</f>
        <v>1021</v>
      </c>
      <c r="E346" s="3">
        <f>D346*$E$5</f>
        <v>7147</v>
      </c>
      <c r="F346" s="17">
        <f>(E346-1)/30</f>
        <v>238.2</v>
      </c>
      <c r="G346" s="17">
        <f>($E346-7)/30</f>
        <v>238</v>
      </c>
      <c r="H346" s="17">
        <f>($E346-11)/30</f>
        <v>237.86666666666667</v>
      </c>
      <c r="I346" s="17">
        <f>($E346-13)/30</f>
        <v>237.8</v>
      </c>
      <c r="J346" s="17">
        <f>($E346-17)/30</f>
        <v>237.66666666666666</v>
      </c>
      <c r="K346" s="17">
        <f>($E346-19)/30</f>
        <v>237.6</v>
      </c>
      <c r="L346" s="17">
        <f>($E346-23)/30</f>
        <v>237.46666666666667</v>
      </c>
      <c r="M346" s="17">
        <f>($E346-29)/30</f>
        <v>237.26666666666668</v>
      </c>
    </row>
    <row r="347" spans="1:13" x14ac:dyDescent="0.35">
      <c r="B347" s="2">
        <v>30</v>
      </c>
      <c r="C347" s="2">
        <f t="shared" ref="C347:C353" si="363">D347+B347</f>
        <v>1057</v>
      </c>
      <c r="D347" s="2">
        <f t="shared" ref="D347:D353" si="364">C337</f>
        <v>1027</v>
      </c>
      <c r="E347" s="3">
        <f t="shared" ref="E347:E353" si="365">D347*$E$5</f>
        <v>7189</v>
      </c>
      <c r="F347" s="17">
        <f t="shared" ref="F347:F353" si="366">(E347-1)/30</f>
        <v>239.6</v>
      </c>
      <c r="G347" s="17">
        <f t="shared" ref="G347:G353" si="367">($E347-7)/30</f>
        <v>239.4</v>
      </c>
      <c r="H347" s="17">
        <f t="shared" ref="H347:H353" si="368">($E347-11)/30</f>
        <v>239.26666666666668</v>
      </c>
      <c r="I347" s="17">
        <f t="shared" ref="I347:I353" si="369">($E347-13)/30</f>
        <v>239.2</v>
      </c>
      <c r="J347" s="17">
        <f t="shared" ref="J347:J353" si="370">($E347-17)/30</f>
        <v>239.06666666666666</v>
      </c>
      <c r="K347" s="17">
        <f t="shared" ref="K347:K353" si="371">($E347-19)/30</f>
        <v>239</v>
      </c>
      <c r="L347" s="17">
        <f t="shared" ref="L347:L353" si="372">($E347-23)/30</f>
        <v>238.86666666666667</v>
      </c>
      <c r="M347" s="17">
        <f t="shared" ref="M347:M353" si="373">($E347-29)/30</f>
        <v>238.66666666666666</v>
      </c>
    </row>
    <row r="348" spans="1:13" x14ac:dyDescent="0.35">
      <c r="B348" s="2">
        <v>30</v>
      </c>
      <c r="C348" s="2">
        <f t="shared" si="363"/>
        <v>1061</v>
      </c>
      <c r="D348" s="2">
        <f t="shared" si="364"/>
        <v>1031</v>
      </c>
      <c r="E348" s="3">
        <f t="shared" si="365"/>
        <v>7217</v>
      </c>
      <c r="F348" s="17">
        <f t="shared" si="366"/>
        <v>240.53333333333333</v>
      </c>
      <c r="G348" s="17">
        <f t="shared" si="367"/>
        <v>240.33333333333334</v>
      </c>
      <c r="H348" s="17">
        <f t="shared" si="368"/>
        <v>240.2</v>
      </c>
      <c r="I348" s="17">
        <f t="shared" si="369"/>
        <v>240.13333333333333</v>
      </c>
      <c r="J348" s="17">
        <f t="shared" si="370"/>
        <v>240</v>
      </c>
      <c r="K348" s="17">
        <f t="shared" si="371"/>
        <v>239.93333333333334</v>
      </c>
      <c r="L348" s="17">
        <f t="shared" si="372"/>
        <v>239.8</v>
      </c>
      <c r="M348" s="17">
        <f t="shared" si="373"/>
        <v>239.6</v>
      </c>
    </row>
    <row r="349" spans="1:13" x14ac:dyDescent="0.35">
      <c r="B349" s="2">
        <v>30</v>
      </c>
      <c r="C349" s="2">
        <f t="shared" si="363"/>
        <v>1063</v>
      </c>
      <c r="D349" s="2">
        <f t="shared" si="364"/>
        <v>1033</v>
      </c>
      <c r="E349" s="3">
        <f t="shared" si="365"/>
        <v>7231</v>
      </c>
      <c r="F349" s="17">
        <f t="shared" si="366"/>
        <v>241</v>
      </c>
      <c r="G349" s="17">
        <f t="shared" si="367"/>
        <v>240.8</v>
      </c>
      <c r="H349" s="17">
        <f t="shared" si="368"/>
        <v>240.66666666666666</v>
      </c>
      <c r="I349" s="17">
        <f t="shared" si="369"/>
        <v>240.6</v>
      </c>
      <c r="J349" s="17">
        <f t="shared" si="370"/>
        <v>240.46666666666667</v>
      </c>
      <c r="K349" s="17">
        <f t="shared" si="371"/>
        <v>240.4</v>
      </c>
      <c r="L349" s="17">
        <f t="shared" si="372"/>
        <v>240.26666666666668</v>
      </c>
      <c r="M349" s="17">
        <f t="shared" si="373"/>
        <v>240.06666666666666</v>
      </c>
    </row>
    <row r="350" spans="1:13" x14ac:dyDescent="0.35">
      <c r="B350" s="2">
        <v>30</v>
      </c>
      <c r="C350" s="2">
        <f t="shared" si="363"/>
        <v>1067</v>
      </c>
      <c r="D350" s="2">
        <f t="shared" si="364"/>
        <v>1037</v>
      </c>
      <c r="E350" s="3">
        <f t="shared" si="365"/>
        <v>7259</v>
      </c>
      <c r="F350" s="17">
        <f t="shared" si="366"/>
        <v>241.93333333333334</v>
      </c>
      <c r="G350" s="17">
        <f t="shared" si="367"/>
        <v>241.73333333333332</v>
      </c>
      <c r="H350" s="17">
        <f t="shared" si="368"/>
        <v>241.6</v>
      </c>
      <c r="I350" s="17">
        <f t="shared" si="369"/>
        <v>241.53333333333333</v>
      </c>
      <c r="J350" s="17">
        <f t="shared" si="370"/>
        <v>241.4</v>
      </c>
      <c r="K350" s="17">
        <f t="shared" si="371"/>
        <v>241.33333333333334</v>
      </c>
      <c r="L350" s="17">
        <f t="shared" si="372"/>
        <v>241.2</v>
      </c>
      <c r="M350" s="17">
        <f t="shared" si="373"/>
        <v>241</v>
      </c>
    </row>
    <row r="351" spans="1:13" x14ac:dyDescent="0.35">
      <c r="B351" s="2">
        <v>30</v>
      </c>
      <c r="C351" s="2">
        <f t="shared" si="363"/>
        <v>1069</v>
      </c>
      <c r="D351" s="2">
        <f t="shared" si="364"/>
        <v>1039</v>
      </c>
      <c r="E351" s="3">
        <f t="shared" si="365"/>
        <v>7273</v>
      </c>
      <c r="F351" s="17">
        <f t="shared" si="366"/>
        <v>242.4</v>
      </c>
      <c r="G351" s="17">
        <f t="shared" si="367"/>
        <v>242.2</v>
      </c>
      <c r="H351" s="17">
        <f t="shared" si="368"/>
        <v>242.06666666666666</v>
      </c>
      <c r="I351" s="17">
        <f t="shared" si="369"/>
        <v>242</v>
      </c>
      <c r="J351" s="17">
        <f t="shared" si="370"/>
        <v>241.86666666666667</v>
      </c>
      <c r="K351" s="17">
        <f t="shared" si="371"/>
        <v>241.8</v>
      </c>
      <c r="L351" s="17">
        <f t="shared" si="372"/>
        <v>241.66666666666666</v>
      </c>
      <c r="M351" s="17">
        <f t="shared" si="373"/>
        <v>241.46666666666667</v>
      </c>
    </row>
    <row r="352" spans="1:13" x14ac:dyDescent="0.35">
      <c r="B352" s="2">
        <v>30</v>
      </c>
      <c r="C352" s="2">
        <f t="shared" si="363"/>
        <v>1073</v>
      </c>
      <c r="D352" s="2">
        <f t="shared" si="364"/>
        <v>1043</v>
      </c>
      <c r="E352" s="3">
        <f t="shared" si="365"/>
        <v>7301</v>
      </c>
      <c r="F352" s="17">
        <f t="shared" si="366"/>
        <v>243.33333333333334</v>
      </c>
      <c r="G352" s="17">
        <f t="shared" si="367"/>
        <v>243.13333333333333</v>
      </c>
      <c r="H352" s="17">
        <f t="shared" si="368"/>
        <v>243</v>
      </c>
      <c r="I352" s="17">
        <f t="shared" si="369"/>
        <v>242.93333333333334</v>
      </c>
      <c r="J352" s="17">
        <f t="shared" si="370"/>
        <v>242.8</v>
      </c>
      <c r="K352" s="17">
        <f t="shared" si="371"/>
        <v>242.73333333333332</v>
      </c>
      <c r="L352" s="17">
        <f t="shared" si="372"/>
        <v>242.6</v>
      </c>
      <c r="M352" s="17">
        <f t="shared" si="373"/>
        <v>242.4</v>
      </c>
    </row>
    <row r="353" spans="1:13" x14ac:dyDescent="0.35">
      <c r="B353" s="2">
        <v>30</v>
      </c>
      <c r="C353" s="2">
        <f t="shared" si="363"/>
        <v>1079</v>
      </c>
      <c r="D353" s="2">
        <f t="shared" si="364"/>
        <v>1049</v>
      </c>
      <c r="E353" s="3">
        <f t="shared" si="365"/>
        <v>7343</v>
      </c>
      <c r="F353" s="17">
        <f t="shared" si="366"/>
        <v>244.73333333333332</v>
      </c>
      <c r="G353" s="17">
        <f t="shared" si="367"/>
        <v>244.53333333333333</v>
      </c>
      <c r="H353" s="17">
        <f t="shared" si="368"/>
        <v>244.4</v>
      </c>
      <c r="I353" s="17">
        <f t="shared" si="369"/>
        <v>244.33333333333334</v>
      </c>
      <c r="J353" s="17">
        <f t="shared" si="370"/>
        <v>244.2</v>
      </c>
      <c r="K353" s="17">
        <f t="shared" si="371"/>
        <v>244.13333333333333</v>
      </c>
      <c r="L353" s="17">
        <f t="shared" si="372"/>
        <v>244</v>
      </c>
      <c r="M353" s="17">
        <f t="shared" si="373"/>
        <v>243.8</v>
      </c>
    </row>
    <row r="354" spans="1:13" ht="16.8" thickBot="1" x14ac:dyDescent="0.4">
      <c r="F354" s="17"/>
      <c r="G354" s="17"/>
      <c r="H354" s="17"/>
      <c r="I354" s="17"/>
      <c r="J354" s="17"/>
      <c r="K354" s="17"/>
      <c r="L354" s="17"/>
      <c r="M354" s="17"/>
    </row>
    <row r="355" spans="1:13" ht="16.8" thickBot="1" x14ac:dyDescent="0.4">
      <c r="A355" s="1">
        <f>A345+1</f>
        <v>36</v>
      </c>
      <c r="C355" s="18" t="s">
        <v>2</v>
      </c>
      <c r="E355" s="13">
        <f>E336</f>
        <v>6937</v>
      </c>
      <c r="F355" s="19">
        <v>1</v>
      </c>
      <c r="G355" s="20">
        <v>7</v>
      </c>
      <c r="H355" s="20">
        <v>11</v>
      </c>
      <c r="I355" s="20">
        <v>13</v>
      </c>
      <c r="J355" s="20">
        <v>17</v>
      </c>
      <c r="K355" s="20">
        <v>19</v>
      </c>
      <c r="L355" s="20">
        <v>23</v>
      </c>
      <c r="M355" s="21">
        <v>29</v>
      </c>
    </row>
    <row r="356" spans="1:13" x14ac:dyDescent="0.35">
      <c r="B356" s="2">
        <v>30</v>
      </c>
      <c r="C356" s="2">
        <f>D356+B356</f>
        <v>1081</v>
      </c>
      <c r="D356" s="2">
        <f>C346</f>
        <v>1051</v>
      </c>
      <c r="E356" s="3">
        <f>D356*$E$5</f>
        <v>7357</v>
      </c>
      <c r="F356" s="17">
        <f>(E356-1)/30</f>
        <v>245.2</v>
      </c>
      <c r="G356" s="17">
        <f>($E356-7)/30</f>
        <v>245</v>
      </c>
      <c r="H356" s="17">
        <f>($E356-11)/30</f>
        <v>244.86666666666667</v>
      </c>
      <c r="I356" s="17">
        <f>($E356-13)/30</f>
        <v>244.8</v>
      </c>
      <c r="J356" s="17">
        <f>($E356-17)/30</f>
        <v>244.66666666666666</v>
      </c>
      <c r="K356" s="17">
        <f>($E356-19)/30</f>
        <v>244.6</v>
      </c>
      <c r="L356" s="17">
        <f>($E356-23)/30</f>
        <v>244.46666666666667</v>
      </c>
      <c r="M356" s="17">
        <f>($E356-29)/30</f>
        <v>244.26666666666668</v>
      </c>
    </row>
    <row r="357" spans="1:13" x14ac:dyDescent="0.35">
      <c r="B357" s="2">
        <v>30</v>
      </c>
      <c r="C357" s="2">
        <f t="shared" ref="C357:C363" si="374">D357+B357</f>
        <v>1087</v>
      </c>
      <c r="D357" s="2">
        <f t="shared" ref="D357:D363" si="375">C347</f>
        <v>1057</v>
      </c>
      <c r="E357" s="3">
        <f t="shared" ref="E357:E363" si="376">D357*$E$5</f>
        <v>7399</v>
      </c>
      <c r="F357" s="17">
        <f t="shared" ref="F357:F363" si="377">(E357-1)/30</f>
        <v>246.6</v>
      </c>
      <c r="G357" s="17">
        <f t="shared" ref="G357:G363" si="378">($E357-7)/30</f>
        <v>246.4</v>
      </c>
      <c r="H357" s="17">
        <f t="shared" ref="H357:H363" si="379">($E357-11)/30</f>
        <v>246.26666666666668</v>
      </c>
      <c r="I357" s="17">
        <f t="shared" ref="I357:I363" si="380">($E357-13)/30</f>
        <v>246.2</v>
      </c>
      <c r="J357" s="17">
        <f t="shared" ref="J357:J363" si="381">($E357-17)/30</f>
        <v>246.06666666666666</v>
      </c>
      <c r="K357" s="17">
        <f t="shared" ref="K357:K363" si="382">($E357-19)/30</f>
        <v>246</v>
      </c>
      <c r="L357" s="17">
        <f t="shared" ref="L357:L363" si="383">($E357-23)/30</f>
        <v>245.86666666666667</v>
      </c>
      <c r="M357" s="17">
        <f t="shared" ref="M357:M363" si="384">($E357-29)/30</f>
        <v>245.66666666666666</v>
      </c>
    </row>
    <row r="358" spans="1:13" x14ac:dyDescent="0.35">
      <c r="B358" s="2">
        <v>30</v>
      </c>
      <c r="C358" s="2">
        <f t="shared" si="374"/>
        <v>1091</v>
      </c>
      <c r="D358" s="2">
        <f t="shared" si="375"/>
        <v>1061</v>
      </c>
      <c r="E358" s="3">
        <f t="shared" si="376"/>
        <v>7427</v>
      </c>
      <c r="F358" s="17">
        <f t="shared" si="377"/>
        <v>247.53333333333333</v>
      </c>
      <c r="G358" s="17">
        <f t="shared" si="378"/>
        <v>247.33333333333334</v>
      </c>
      <c r="H358" s="17">
        <f t="shared" si="379"/>
        <v>247.2</v>
      </c>
      <c r="I358" s="17">
        <f t="shared" si="380"/>
        <v>247.13333333333333</v>
      </c>
      <c r="J358" s="17">
        <f t="shared" si="381"/>
        <v>247</v>
      </c>
      <c r="K358" s="17">
        <f t="shared" si="382"/>
        <v>246.93333333333334</v>
      </c>
      <c r="L358" s="17">
        <f t="shared" si="383"/>
        <v>246.8</v>
      </c>
      <c r="M358" s="17">
        <f t="shared" si="384"/>
        <v>246.6</v>
      </c>
    </row>
    <row r="359" spans="1:13" x14ac:dyDescent="0.35">
      <c r="B359" s="2">
        <v>30</v>
      </c>
      <c r="C359" s="2">
        <f t="shared" si="374"/>
        <v>1093</v>
      </c>
      <c r="D359" s="2">
        <f t="shared" si="375"/>
        <v>1063</v>
      </c>
      <c r="E359" s="3">
        <f t="shared" si="376"/>
        <v>7441</v>
      </c>
      <c r="F359" s="17">
        <f t="shared" si="377"/>
        <v>248</v>
      </c>
      <c r="G359" s="17">
        <f t="shared" si="378"/>
        <v>247.8</v>
      </c>
      <c r="H359" s="17">
        <f t="shared" si="379"/>
        <v>247.66666666666666</v>
      </c>
      <c r="I359" s="17">
        <f t="shared" si="380"/>
        <v>247.6</v>
      </c>
      <c r="J359" s="17">
        <f t="shared" si="381"/>
        <v>247.46666666666667</v>
      </c>
      <c r="K359" s="17">
        <f t="shared" si="382"/>
        <v>247.4</v>
      </c>
      <c r="L359" s="17">
        <f t="shared" si="383"/>
        <v>247.26666666666668</v>
      </c>
      <c r="M359" s="17">
        <f t="shared" si="384"/>
        <v>247.06666666666666</v>
      </c>
    </row>
    <row r="360" spans="1:13" x14ac:dyDescent="0.35">
      <c r="B360" s="2">
        <v>30</v>
      </c>
      <c r="C360" s="2">
        <f t="shared" si="374"/>
        <v>1097</v>
      </c>
      <c r="D360" s="2">
        <f t="shared" si="375"/>
        <v>1067</v>
      </c>
      <c r="E360" s="3">
        <f t="shared" si="376"/>
        <v>7469</v>
      </c>
      <c r="F360" s="17">
        <f t="shared" si="377"/>
        <v>248.93333333333334</v>
      </c>
      <c r="G360" s="17">
        <f t="shared" si="378"/>
        <v>248.73333333333332</v>
      </c>
      <c r="H360" s="17">
        <f t="shared" si="379"/>
        <v>248.6</v>
      </c>
      <c r="I360" s="17">
        <f t="shared" si="380"/>
        <v>248.53333333333333</v>
      </c>
      <c r="J360" s="17">
        <f t="shared" si="381"/>
        <v>248.4</v>
      </c>
      <c r="K360" s="17">
        <f t="shared" si="382"/>
        <v>248.33333333333334</v>
      </c>
      <c r="L360" s="17">
        <f t="shared" si="383"/>
        <v>248.2</v>
      </c>
      <c r="M360" s="17">
        <f t="shared" si="384"/>
        <v>248</v>
      </c>
    </row>
    <row r="361" spans="1:13" x14ac:dyDescent="0.35">
      <c r="B361" s="2">
        <v>30</v>
      </c>
      <c r="C361" s="2">
        <f t="shared" si="374"/>
        <v>1099</v>
      </c>
      <c r="D361" s="2">
        <f t="shared" si="375"/>
        <v>1069</v>
      </c>
      <c r="E361" s="3">
        <f t="shared" si="376"/>
        <v>7483</v>
      </c>
      <c r="F361" s="17">
        <f t="shared" si="377"/>
        <v>249.4</v>
      </c>
      <c r="G361" s="17">
        <f t="shared" si="378"/>
        <v>249.2</v>
      </c>
      <c r="H361" s="17">
        <f t="shared" si="379"/>
        <v>249.06666666666666</v>
      </c>
      <c r="I361" s="17">
        <f t="shared" si="380"/>
        <v>249</v>
      </c>
      <c r="J361" s="17">
        <f t="shared" si="381"/>
        <v>248.86666666666667</v>
      </c>
      <c r="K361" s="17">
        <f t="shared" si="382"/>
        <v>248.8</v>
      </c>
      <c r="L361" s="17">
        <f t="shared" si="383"/>
        <v>248.66666666666666</v>
      </c>
      <c r="M361" s="17">
        <f t="shared" si="384"/>
        <v>248.46666666666667</v>
      </c>
    </row>
    <row r="362" spans="1:13" x14ac:dyDescent="0.35">
      <c r="B362" s="2">
        <v>30</v>
      </c>
      <c r="C362" s="2">
        <f t="shared" si="374"/>
        <v>1103</v>
      </c>
      <c r="D362" s="2">
        <f t="shared" si="375"/>
        <v>1073</v>
      </c>
      <c r="E362" s="3">
        <f t="shared" si="376"/>
        <v>7511</v>
      </c>
      <c r="F362" s="17">
        <f t="shared" si="377"/>
        <v>250.33333333333334</v>
      </c>
      <c r="G362" s="17">
        <f t="shared" si="378"/>
        <v>250.13333333333333</v>
      </c>
      <c r="H362" s="17">
        <f t="shared" si="379"/>
        <v>250</v>
      </c>
      <c r="I362" s="17">
        <f t="shared" si="380"/>
        <v>249.93333333333334</v>
      </c>
      <c r="J362" s="17">
        <f t="shared" si="381"/>
        <v>249.8</v>
      </c>
      <c r="K362" s="17">
        <f t="shared" si="382"/>
        <v>249.73333333333332</v>
      </c>
      <c r="L362" s="17">
        <f t="shared" si="383"/>
        <v>249.6</v>
      </c>
      <c r="M362" s="17">
        <f t="shared" si="384"/>
        <v>249.4</v>
      </c>
    </row>
    <row r="363" spans="1:13" x14ac:dyDescent="0.35">
      <c r="B363" s="2">
        <v>30</v>
      </c>
      <c r="C363" s="2">
        <f t="shared" si="374"/>
        <v>1109</v>
      </c>
      <c r="D363" s="2">
        <f t="shared" si="375"/>
        <v>1079</v>
      </c>
      <c r="E363" s="3">
        <f t="shared" si="376"/>
        <v>7553</v>
      </c>
      <c r="F363" s="17">
        <f t="shared" si="377"/>
        <v>251.73333333333332</v>
      </c>
      <c r="G363" s="17">
        <f t="shared" si="378"/>
        <v>251.53333333333333</v>
      </c>
      <c r="H363" s="17">
        <f t="shared" si="379"/>
        <v>251.4</v>
      </c>
      <c r="I363" s="17">
        <f t="shared" si="380"/>
        <v>251.33333333333334</v>
      </c>
      <c r="J363" s="17">
        <f t="shared" si="381"/>
        <v>251.2</v>
      </c>
      <c r="K363" s="17">
        <f t="shared" si="382"/>
        <v>251.13333333333333</v>
      </c>
      <c r="L363" s="17">
        <f t="shared" si="383"/>
        <v>251</v>
      </c>
      <c r="M363" s="17">
        <f t="shared" si="384"/>
        <v>250.8</v>
      </c>
    </row>
    <row r="364" spans="1:13" ht="16.8" thickBot="1" x14ac:dyDescent="0.4">
      <c r="F364" s="17"/>
      <c r="G364" s="17"/>
      <c r="H364" s="17"/>
      <c r="I364" s="17"/>
      <c r="J364" s="17"/>
      <c r="K364" s="17"/>
      <c r="L364" s="17"/>
      <c r="M364" s="17"/>
    </row>
    <row r="365" spans="1:13" ht="16.8" thickBot="1" x14ac:dyDescent="0.4">
      <c r="A365" s="1">
        <f>A355+1</f>
        <v>37</v>
      </c>
      <c r="C365" s="18" t="s">
        <v>2</v>
      </c>
      <c r="E365" s="13">
        <f>E346</f>
        <v>7147</v>
      </c>
      <c r="F365" s="19">
        <v>1</v>
      </c>
      <c r="G365" s="20">
        <v>7</v>
      </c>
      <c r="H365" s="20">
        <v>11</v>
      </c>
      <c r="I365" s="20">
        <v>13</v>
      </c>
      <c r="J365" s="20">
        <v>17</v>
      </c>
      <c r="K365" s="20">
        <v>19</v>
      </c>
      <c r="L365" s="20">
        <v>23</v>
      </c>
      <c r="M365" s="21">
        <v>29</v>
      </c>
    </row>
    <row r="366" spans="1:13" x14ac:dyDescent="0.35">
      <c r="B366" s="2">
        <v>30</v>
      </c>
      <c r="C366" s="2">
        <f>D366+B366</f>
        <v>1111</v>
      </c>
      <c r="D366" s="2">
        <f>C356</f>
        <v>1081</v>
      </c>
      <c r="E366" s="3">
        <f>D366*$E$5</f>
        <v>7567</v>
      </c>
      <c r="F366" s="17">
        <f>(E366-1)/30</f>
        <v>252.2</v>
      </c>
      <c r="G366" s="17">
        <f>($E366-7)/30</f>
        <v>252</v>
      </c>
      <c r="H366" s="17">
        <f>($E366-11)/30</f>
        <v>251.86666666666667</v>
      </c>
      <c r="I366" s="17">
        <f>($E366-13)/30</f>
        <v>251.8</v>
      </c>
      <c r="J366" s="17">
        <f>($E366-17)/30</f>
        <v>251.66666666666666</v>
      </c>
      <c r="K366" s="17">
        <f>($E366-19)/30</f>
        <v>251.6</v>
      </c>
      <c r="L366" s="17">
        <f>($E366-23)/30</f>
        <v>251.46666666666667</v>
      </c>
      <c r="M366" s="17">
        <f>($E366-29)/30</f>
        <v>251.26666666666668</v>
      </c>
    </row>
    <row r="367" spans="1:13" x14ac:dyDescent="0.35">
      <c r="B367" s="2">
        <v>30</v>
      </c>
      <c r="C367" s="2">
        <f t="shared" ref="C367:C373" si="385">D367+B367</f>
        <v>1117</v>
      </c>
      <c r="D367" s="2">
        <f t="shared" ref="D367:D373" si="386">C357</f>
        <v>1087</v>
      </c>
      <c r="E367" s="3">
        <f t="shared" ref="E367:E373" si="387">D367*$E$5</f>
        <v>7609</v>
      </c>
      <c r="F367" s="17">
        <f t="shared" ref="F367:F373" si="388">(E367-1)/30</f>
        <v>253.6</v>
      </c>
      <c r="G367" s="17">
        <f t="shared" ref="G367:G373" si="389">($E367-7)/30</f>
        <v>253.4</v>
      </c>
      <c r="H367" s="17">
        <f t="shared" ref="H367:H373" si="390">($E367-11)/30</f>
        <v>253.26666666666668</v>
      </c>
      <c r="I367" s="17">
        <f t="shared" ref="I367:I373" si="391">($E367-13)/30</f>
        <v>253.2</v>
      </c>
      <c r="J367" s="17">
        <f t="shared" ref="J367:J373" si="392">($E367-17)/30</f>
        <v>253.06666666666666</v>
      </c>
      <c r="K367" s="17">
        <f t="shared" ref="K367:K373" si="393">($E367-19)/30</f>
        <v>253</v>
      </c>
      <c r="L367" s="17">
        <f t="shared" ref="L367:L373" si="394">($E367-23)/30</f>
        <v>252.86666666666667</v>
      </c>
      <c r="M367" s="17">
        <f t="shared" ref="M367:M373" si="395">($E367-29)/30</f>
        <v>252.66666666666666</v>
      </c>
    </row>
    <row r="368" spans="1:13" x14ac:dyDescent="0.35">
      <c r="B368" s="2">
        <v>30</v>
      </c>
      <c r="C368" s="2">
        <f t="shared" si="385"/>
        <v>1121</v>
      </c>
      <c r="D368" s="2">
        <f t="shared" si="386"/>
        <v>1091</v>
      </c>
      <c r="E368" s="3">
        <f t="shared" si="387"/>
        <v>7637</v>
      </c>
      <c r="F368" s="17">
        <f t="shared" si="388"/>
        <v>254.53333333333333</v>
      </c>
      <c r="G368" s="17">
        <f t="shared" si="389"/>
        <v>254.33333333333334</v>
      </c>
      <c r="H368" s="17">
        <f t="shared" si="390"/>
        <v>254.2</v>
      </c>
      <c r="I368" s="17">
        <f t="shared" si="391"/>
        <v>254.13333333333333</v>
      </c>
      <c r="J368" s="17">
        <f t="shared" si="392"/>
        <v>254</v>
      </c>
      <c r="K368" s="17">
        <f t="shared" si="393"/>
        <v>253.93333333333334</v>
      </c>
      <c r="L368" s="17">
        <f t="shared" si="394"/>
        <v>253.8</v>
      </c>
      <c r="M368" s="17">
        <f t="shared" si="395"/>
        <v>253.6</v>
      </c>
    </row>
    <row r="369" spans="1:13" x14ac:dyDescent="0.35">
      <c r="B369" s="2">
        <v>30</v>
      </c>
      <c r="C369" s="2">
        <f t="shared" si="385"/>
        <v>1123</v>
      </c>
      <c r="D369" s="2">
        <f t="shared" si="386"/>
        <v>1093</v>
      </c>
      <c r="E369" s="3">
        <f t="shared" si="387"/>
        <v>7651</v>
      </c>
      <c r="F369" s="17">
        <f t="shared" si="388"/>
        <v>255</v>
      </c>
      <c r="G369" s="17">
        <f t="shared" si="389"/>
        <v>254.8</v>
      </c>
      <c r="H369" s="17">
        <f t="shared" si="390"/>
        <v>254.66666666666666</v>
      </c>
      <c r="I369" s="17">
        <f t="shared" si="391"/>
        <v>254.6</v>
      </c>
      <c r="J369" s="17">
        <f t="shared" si="392"/>
        <v>254.46666666666667</v>
      </c>
      <c r="K369" s="17">
        <f t="shared" si="393"/>
        <v>254.4</v>
      </c>
      <c r="L369" s="17">
        <f t="shared" si="394"/>
        <v>254.26666666666668</v>
      </c>
      <c r="M369" s="17">
        <f t="shared" si="395"/>
        <v>254.06666666666666</v>
      </c>
    </row>
    <row r="370" spans="1:13" x14ac:dyDescent="0.35">
      <c r="B370" s="2">
        <v>30</v>
      </c>
      <c r="C370" s="2">
        <f t="shared" si="385"/>
        <v>1127</v>
      </c>
      <c r="D370" s="2">
        <f t="shared" si="386"/>
        <v>1097</v>
      </c>
      <c r="E370" s="3">
        <f t="shared" si="387"/>
        <v>7679</v>
      </c>
      <c r="F370" s="17">
        <f t="shared" si="388"/>
        <v>255.93333333333334</v>
      </c>
      <c r="G370" s="17">
        <f t="shared" si="389"/>
        <v>255.73333333333332</v>
      </c>
      <c r="H370" s="17">
        <f t="shared" si="390"/>
        <v>255.6</v>
      </c>
      <c r="I370" s="17">
        <f t="shared" si="391"/>
        <v>255.53333333333333</v>
      </c>
      <c r="J370" s="17">
        <f t="shared" si="392"/>
        <v>255.4</v>
      </c>
      <c r="K370" s="17">
        <f t="shared" si="393"/>
        <v>255.33333333333334</v>
      </c>
      <c r="L370" s="17">
        <f t="shared" si="394"/>
        <v>255.2</v>
      </c>
      <c r="M370" s="17">
        <f t="shared" si="395"/>
        <v>255</v>
      </c>
    </row>
    <row r="371" spans="1:13" x14ac:dyDescent="0.35">
      <c r="B371" s="2">
        <v>30</v>
      </c>
      <c r="C371" s="2">
        <f t="shared" si="385"/>
        <v>1129</v>
      </c>
      <c r="D371" s="2">
        <f t="shared" si="386"/>
        <v>1099</v>
      </c>
      <c r="E371" s="3">
        <f t="shared" si="387"/>
        <v>7693</v>
      </c>
      <c r="F371" s="17">
        <f t="shared" si="388"/>
        <v>256.39999999999998</v>
      </c>
      <c r="G371" s="17">
        <f t="shared" si="389"/>
        <v>256.2</v>
      </c>
      <c r="H371" s="17">
        <f t="shared" si="390"/>
        <v>256.06666666666666</v>
      </c>
      <c r="I371" s="17">
        <f t="shared" si="391"/>
        <v>256</v>
      </c>
      <c r="J371" s="17">
        <f t="shared" si="392"/>
        <v>255.86666666666667</v>
      </c>
      <c r="K371" s="17">
        <f t="shared" si="393"/>
        <v>255.8</v>
      </c>
      <c r="L371" s="17">
        <f t="shared" si="394"/>
        <v>255.66666666666666</v>
      </c>
      <c r="M371" s="17">
        <f t="shared" si="395"/>
        <v>255.46666666666667</v>
      </c>
    </row>
    <row r="372" spans="1:13" x14ac:dyDescent="0.35">
      <c r="B372" s="2">
        <v>30</v>
      </c>
      <c r="C372" s="2">
        <f t="shared" si="385"/>
        <v>1133</v>
      </c>
      <c r="D372" s="2">
        <f t="shared" si="386"/>
        <v>1103</v>
      </c>
      <c r="E372" s="3">
        <f t="shared" si="387"/>
        <v>7721</v>
      </c>
      <c r="F372" s="17">
        <f t="shared" si="388"/>
        <v>257.33333333333331</v>
      </c>
      <c r="G372" s="17">
        <f t="shared" si="389"/>
        <v>257.13333333333333</v>
      </c>
      <c r="H372" s="17">
        <f t="shared" si="390"/>
        <v>257</v>
      </c>
      <c r="I372" s="17">
        <f t="shared" si="391"/>
        <v>256.93333333333334</v>
      </c>
      <c r="J372" s="17">
        <f t="shared" si="392"/>
        <v>256.8</v>
      </c>
      <c r="K372" s="17">
        <f t="shared" si="393"/>
        <v>256.73333333333335</v>
      </c>
      <c r="L372" s="17">
        <f t="shared" si="394"/>
        <v>256.60000000000002</v>
      </c>
      <c r="M372" s="17">
        <f t="shared" si="395"/>
        <v>256.39999999999998</v>
      </c>
    </row>
    <row r="373" spans="1:13" x14ac:dyDescent="0.35">
      <c r="B373" s="2">
        <v>30</v>
      </c>
      <c r="C373" s="2">
        <f t="shared" si="385"/>
        <v>1139</v>
      </c>
      <c r="D373" s="2">
        <f t="shared" si="386"/>
        <v>1109</v>
      </c>
      <c r="E373" s="3">
        <f t="shared" si="387"/>
        <v>7763</v>
      </c>
      <c r="F373" s="17">
        <f t="shared" si="388"/>
        <v>258.73333333333335</v>
      </c>
      <c r="G373" s="17">
        <f t="shared" si="389"/>
        <v>258.53333333333336</v>
      </c>
      <c r="H373" s="17">
        <f t="shared" si="390"/>
        <v>258.39999999999998</v>
      </c>
      <c r="I373" s="17">
        <f t="shared" si="391"/>
        <v>258.33333333333331</v>
      </c>
      <c r="J373" s="17">
        <f t="shared" si="392"/>
        <v>258.2</v>
      </c>
      <c r="K373" s="17">
        <f t="shared" si="393"/>
        <v>258.13333333333333</v>
      </c>
      <c r="L373" s="17">
        <f t="shared" si="394"/>
        <v>258</v>
      </c>
      <c r="M373" s="17">
        <f t="shared" si="395"/>
        <v>257.8</v>
      </c>
    </row>
    <row r="374" spans="1:13" ht="16.8" thickBot="1" x14ac:dyDescent="0.4">
      <c r="F374" s="17"/>
      <c r="G374" s="17"/>
      <c r="H374" s="17"/>
      <c r="I374" s="17"/>
      <c r="J374" s="17"/>
      <c r="K374" s="17"/>
      <c r="L374" s="17"/>
      <c r="M374" s="17"/>
    </row>
    <row r="375" spans="1:13" ht="16.8" thickBot="1" x14ac:dyDescent="0.4">
      <c r="A375" s="1">
        <f>A365+1</f>
        <v>38</v>
      </c>
      <c r="C375" s="18" t="s">
        <v>2</v>
      </c>
      <c r="E375" s="13">
        <f>E356</f>
        <v>7357</v>
      </c>
      <c r="F375" s="19">
        <v>1</v>
      </c>
      <c r="G375" s="20">
        <v>7</v>
      </c>
      <c r="H375" s="20">
        <v>11</v>
      </c>
      <c r="I375" s="20">
        <v>13</v>
      </c>
      <c r="J375" s="20">
        <v>17</v>
      </c>
      <c r="K375" s="20">
        <v>19</v>
      </c>
      <c r="L375" s="20">
        <v>23</v>
      </c>
      <c r="M375" s="21">
        <v>29</v>
      </c>
    </row>
    <row r="376" spans="1:13" x14ac:dyDescent="0.35">
      <c r="B376" s="2">
        <v>30</v>
      </c>
      <c r="C376" s="2">
        <f>D376+B376</f>
        <v>1141</v>
      </c>
      <c r="D376" s="2">
        <f>C366</f>
        <v>1111</v>
      </c>
      <c r="E376" s="3">
        <f>D376*$E$5</f>
        <v>7777</v>
      </c>
      <c r="F376" s="17">
        <f>(E376-1)/30</f>
        <v>259.2</v>
      </c>
      <c r="G376" s="17">
        <f>($E376-7)/30</f>
        <v>259</v>
      </c>
      <c r="H376" s="17">
        <f>($E376-11)/30</f>
        <v>258.86666666666667</v>
      </c>
      <c r="I376" s="17">
        <f>($E376-13)/30</f>
        <v>258.8</v>
      </c>
      <c r="J376" s="17">
        <f>($E376-17)/30</f>
        <v>258.66666666666669</v>
      </c>
      <c r="K376" s="17">
        <f>($E376-19)/30</f>
        <v>258.60000000000002</v>
      </c>
      <c r="L376" s="17">
        <f>($E376-23)/30</f>
        <v>258.46666666666664</v>
      </c>
      <c r="M376" s="17">
        <f>($E376-29)/30</f>
        <v>258.26666666666665</v>
      </c>
    </row>
    <row r="377" spans="1:13" x14ac:dyDescent="0.35">
      <c r="B377" s="2">
        <v>30</v>
      </c>
      <c r="C377" s="2">
        <f t="shared" ref="C377:C383" si="396">D377+B377</f>
        <v>1147</v>
      </c>
      <c r="D377" s="2">
        <f t="shared" ref="D377:D383" si="397">C367</f>
        <v>1117</v>
      </c>
      <c r="E377" s="3">
        <f t="shared" ref="E377:E383" si="398">D377*$E$5</f>
        <v>7819</v>
      </c>
      <c r="F377" s="17">
        <f t="shared" ref="F377:F383" si="399">(E377-1)/30</f>
        <v>260.60000000000002</v>
      </c>
      <c r="G377" s="17">
        <f t="shared" ref="G377:G383" si="400">($E377-7)/30</f>
        <v>260.39999999999998</v>
      </c>
      <c r="H377" s="17">
        <f t="shared" ref="H377:H383" si="401">($E377-11)/30</f>
        <v>260.26666666666665</v>
      </c>
      <c r="I377" s="17">
        <f t="shared" ref="I377:I383" si="402">($E377-13)/30</f>
        <v>260.2</v>
      </c>
      <c r="J377" s="17">
        <f t="shared" ref="J377:J383" si="403">($E377-17)/30</f>
        <v>260.06666666666666</v>
      </c>
      <c r="K377" s="17">
        <f t="shared" ref="K377:K383" si="404">($E377-19)/30</f>
        <v>260</v>
      </c>
      <c r="L377" s="17">
        <f t="shared" ref="L377:L383" si="405">($E377-23)/30</f>
        <v>259.86666666666667</v>
      </c>
      <c r="M377" s="17">
        <f t="shared" ref="M377:M383" si="406">($E377-29)/30</f>
        <v>259.66666666666669</v>
      </c>
    </row>
    <row r="378" spans="1:13" x14ac:dyDescent="0.35">
      <c r="B378" s="2">
        <v>30</v>
      </c>
      <c r="C378" s="2">
        <f t="shared" si="396"/>
        <v>1151</v>
      </c>
      <c r="D378" s="2">
        <f t="shared" si="397"/>
        <v>1121</v>
      </c>
      <c r="E378" s="3">
        <f t="shared" si="398"/>
        <v>7847</v>
      </c>
      <c r="F378" s="17">
        <f t="shared" si="399"/>
        <v>261.53333333333336</v>
      </c>
      <c r="G378" s="17">
        <f t="shared" si="400"/>
        <v>261.33333333333331</v>
      </c>
      <c r="H378" s="17">
        <f t="shared" si="401"/>
        <v>261.2</v>
      </c>
      <c r="I378" s="17">
        <f t="shared" si="402"/>
        <v>261.13333333333333</v>
      </c>
      <c r="J378" s="17">
        <f t="shared" si="403"/>
        <v>261</v>
      </c>
      <c r="K378" s="17">
        <f t="shared" si="404"/>
        <v>260.93333333333334</v>
      </c>
      <c r="L378" s="17">
        <f t="shared" si="405"/>
        <v>260.8</v>
      </c>
      <c r="M378" s="17">
        <f t="shared" si="406"/>
        <v>260.60000000000002</v>
      </c>
    </row>
    <row r="379" spans="1:13" x14ac:dyDescent="0.35">
      <c r="B379" s="2">
        <v>30</v>
      </c>
      <c r="C379" s="2">
        <f t="shared" si="396"/>
        <v>1153</v>
      </c>
      <c r="D379" s="2">
        <f t="shared" si="397"/>
        <v>1123</v>
      </c>
      <c r="E379" s="3">
        <f t="shared" si="398"/>
        <v>7861</v>
      </c>
      <c r="F379" s="17">
        <f t="shared" si="399"/>
        <v>262</v>
      </c>
      <c r="G379" s="17">
        <f t="shared" si="400"/>
        <v>261.8</v>
      </c>
      <c r="H379" s="17">
        <f t="shared" si="401"/>
        <v>261.66666666666669</v>
      </c>
      <c r="I379" s="17">
        <f t="shared" si="402"/>
        <v>261.60000000000002</v>
      </c>
      <c r="J379" s="17">
        <f t="shared" si="403"/>
        <v>261.46666666666664</v>
      </c>
      <c r="K379" s="17">
        <f t="shared" si="404"/>
        <v>261.39999999999998</v>
      </c>
      <c r="L379" s="17">
        <f t="shared" si="405"/>
        <v>261.26666666666665</v>
      </c>
      <c r="M379" s="17">
        <f t="shared" si="406"/>
        <v>261.06666666666666</v>
      </c>
    </row>
    <row r="380" spans="1:13" x14ac:dyDescent="0.35">
      <c r="B380" s="2">
        <v>30</v>
      </c>
      <c r="C380" s="2">
        <f t="shared" si="396"/>
        <v>1157</v>
      </c>
      <c r="D380" s="2">
        <f t="shared" si="397"/>
        <v>1127</v>
      </c>
      <c r="E380" s="3">
        <f t="shared" si="398"/>
        <v>7889</v>
      </c>
      <c r="F380" s="17">
        <f t="shared" si="399"/>
        <v>262.93333333333334</v>
      </c>
      <c r="G380" s="17">
        <f t="shared" si="400"/>
        <v>262.73333333333335</v>
      </c>
      <c r="H380" s="17">
        <f t="shared" si="401"/>
        <v>262.60000000000002</v>
      </c>
      <c r="I380" s="17">
        <f t="shared" si="402"/>
        <v>262.53333333333336</v>
      </c>
      <c r="J380" s="17">
        <f t="shared" si="403"/>
        <v>262.39999999999998</v>
      </c>
      <c r="K380" s="17">
        <f t="shared" si="404"/>
        <v>262.33333333333331</v>
      </c>
      <c r="L380" s="17">
        <f t="shared" si="405"/>
        <v>262.2</v>
      </c>
      <c r="M380" s="17">
        <f t="shared" si="406"/>
        <v>262</v>
      </c>
    </row>
    <row r="381" spans="1:13" x14ac:dyDescent="0.35">
      <c r="B381" s="2">
        <v>30</v>
      </c>
      <c r="C381" s="2">
        <f t="shared" si="396"/>
        <v>1159</v>
      </c>
      <c r="D381" s="2">
        <f t="shared" si="397"/>
        <v>1129</v>
      </c>
      <c r="E381" s="3">
        <f t="shared" si="398"/>
        <v>7903</v>
      </c>
      <c r="F381" s="17">
        <f t="shared" si="399"/>
        <v>263.39999999999998</v>
      </c>
      <c r="G381" s="17">
        <f t="shared" si="400"/>
        <v>263.2</v>
      </c>
      <c r="H381" s="17">
        <f t="shared" si="401"/>
        <v>263.06666666666666</v>
      </c>
      <c r="I381" s="17">
        <f t="shared" si="402"/>
        <v>263</v>
      </c>
      <c r="J381" s="17">
        <f t="shared" si="403"/>
        <v>262.86666666666667</v>
      </c>
      <c r="K381" s="17">
        <f t="shared" si="404"/>
        <v>262.8</v>
      </c>
      <c r="L381" s="17">
        <f t="shared" si="405"/>
        <v>262.66666666666669</v>
      </c>
      <c r="M381" s="17">
        <f t="shared" si="406"/>
        <v>262.46666666666664</v>
      </c>
    </row>
    <row r="382" spans="1:13" x14ac:dyDescent="0.35">
      <c r="B382" s="2">
        <v>30</v>
      </c>
      <c r="C382" s="2">
        <f t="shared" si="396"/>
        <v>1163</v>
      </c>
      <c r="D382" s="2">
        <f t="shared" si="397"/>
        <v>1133</v>
      </c>
      <c r="E382" s="3">
        <f t="shared" si="398"/>
        <v>7931</v>
      </c>
      <c r="F382" s="17">
        <f t="shared" si="399"/>
        <v>264.33333333333331</v>
      </c>
      <c r="G382" s="17">
        <f t="shared" si="400"/>
        <v>264.13333333333333</v>
      </c>
      <c r="H382" s="17">
        <f t="shared" si="401"/>
        <v>264</v>
      </c>
      <c r="I382" s="17">
        <f t="shared" si="402"/>
        <v>263.93333333333334</v>
      </c>
      <c r="J382" s="17">
        <f t="shared" si="403"/>
        <v>263.8</v>
      </c>
      <c r="K382" s="17">
        <f t="shared" si="404"/>
        <v>263.73333333333335</v>
      </c>
      <c r="L382" s="17">
        <f t="shared" si="405"/>
        <v>263.60000000000002</v>
      </c>
      <c r="M382" s="17">
        <f t="shared" si="406"/>
        <v>263.39999999999998</v>
      </c>
    </row>
    <row r="383" spans="1:13" x14ac:dyDescent="0.35">
      <c r="B383" s="2">
        <v>30</v>
      </c>
      <c r="C383" s="2">
        <f t="shared" si="396"/>
        <v>1169</v>
      </c>
      <c r="D383" s="2">
        <f t="shared" si="397"/>
        <v>1139</v>
      </c>
      <c r="E383" s="3">
        <f t="shared" si="398"/>
        <v>7973</v>
      </c>
      <c r="F383" s="17">
        <f t="shared" si="399"/>
        <v>265.73333333333335</v>
      </c>
      <c r="G383" s="17">
        <f t="shared" si="400"/>
        <v>265.53333333333336</v>
      </c>
      <c r="H383" s="17">
        <f t="shared" si="401"/>
        <v>265.39999999999998</v>
      </c>
      <c r="I383" s="17">
        <f t="shared" si="402"/>
        <v>265.33333333333331</v>
      </c>
      <c r="J383" s="17">
        <f t="shared" si="403"/>
        <v>265.2</v>
      </c>
      <c r="K383" s="17">
        <f t="shared" si="404"/>
        <v>265.13333333333333</v>
      </c>
      <c r="L383" s="17">
        <f t="shared" si="405"/>
        <v>265</v>
      </c>
      <c r="M383" s="17">
        <f t="shared" si="406"/>
        <v>264.8</v>
      </c>
    </row>
    <row r="384" spans="1:13" ht="16.8" thickBot="1" x14ac:dyDescent="0.4">
      <c r="F384" s="17"/>
      <c r="G384" s="17"/>
      <c r="H384" s="17"/>
      <c r="I384" s="17"/>
      <c r="J384" s="17"/>
      <c r="K384" s="17"/>
      <c r="L384" s="17"/>
      <c r="M384" s="17"/>
    </row>
    <row r="385" spans="1:13" ht="16.8" thickBot="1" x14ac:dyDescent="0.4">
      <c r="A385" s="1">
        <f>A375+1</f>
        <v>39</v>
      </c>
      <c r="C385" s="18" t="s">
        <v>2</v>
      </c>
      <c r="E385" s="13">
        <f>E366</f>
        <v>7567</v>
      </c>
      <c r="F385" s="19">
        <v>1</v>
      </c>
      <c r="G385" s="20">
        <v>7</v>
      </c>
      <c r="H385" s="20">
        <v>11</v>
      </c>
      <c r="I385" s="20">
        <v>13</v>
      </c>
      <c r="J385" s="20">
        <v>17</v>
      </c>
      <c r="K385" s="20">
        <v>19</v>
      </c>
      <c r="L385" s="20">
        <v>23</v>
      </c>
      <c r="M385" s="21">
        <v>29</v>
      </c>
    </row>
    <row r="386" spans="1:13" x14ac:dyDescent="0.35">
      <c r="B386" s="2">
        <v>30</v>
      </c>
      <c r="C386" s="2">
        <f>D386+B386</f>
        <v>1171</v>
      </c>
      <c r="D386" s="2">
        <f>C376</f>
        <v>1141</v>
      </c>
      <c r="E386" s="3">
        <f>D386*$E$5</f>
        <v>7987</v>
      </c>
      <c r="F386" s="17">
        <f>(E386-1)/30</f>
        <v>266.2</v>
      </c>
      <c r="G386" s="17">
        <f>($E386-7)/30</f>
        <v>266</v>
      </c>
      <c r="H386" s="17">
        <f>($E386-11)/30</f>
        <v>265.86666666666667</v>
      </c>
      <c r="I386" s="17">
        <f>($E386-13)/30</f>
        <v>265.8</v>
      </c>
      <c r="J386" s="17">
        <f>($E386-17)/30</f>
        <v>265.66666666666669</v>
      </c>
      <c r="K386" s="17">
        <f>($E386-19)/30</f>
        <v>265.60000000000002</v>
      </c>
      <c r="L386" s="17">
        <f>($E386-23)/30</f>
        <v>265.46666666666664</v>
      </c>
      <c r="M386" s="17">
        <f>($E386-29)/30</f>
        <v>265.26666666666665</v>
      </c>
    </row>
    <row r="387" spans="1:13" x14ac:dyDescent="0.35">
      <c r="B387" s="2">
        <v>30</v>
      </c>
      <c r="C387" s="2">
        <f t="shared" ref="C387:C393" si="407">D387+B387</f>
        <v>1177</v>
      </c>
      <c r="D387" s="2">
        <f t="shared" ref="D387:D393" si="408">C377</f>
        <v>1147</v>
      </c>
      <c r="E387" s="3">
        <f t="shared" ref="E387:E393" si="409">D387*$E$5</f>
        <v>8029</v>
      </c>
      <c r="F387" s="17">
        <f t="shared" ref="F387:F393" si="410">(E387-1)/30</f>
        <v>267.60000000000002</v>
      </c>
      <c r="G387" s="17">
        <f t="shared" ref="G387:G393" si="411">($E387-7)/30</f>
        <v>267.39999999999998</v>
      </c>
      <c r="H387" s="17">
        <f t="shared" ref="H387:H393" si="412">($E387-11)/30</f>
        <v>267.26666666666665</v>
      </c>
      <c r="I387" s="17">
        <f t="shared" ref="I387:I393" si="413">($E387-13)/30</f>
        <v>267.2</v>
      </c>
      <c r="J387" s="17">
        <f t="shared" ref="J387:J393" si="414">($E387-17)/30</f>
        <v>267.06666666666666</v>
      </c>
      <c r="K387" s="17">
        <f t="shared" ref="K387:K393" si="415">($E387-19)/30</f>
        <v>267</v>
      </c>
      <c r="L387" s="17">
        <f t="shared" ref="L387:L393" si="416">($E387-23)/30</f>
        <v>266.86666666666667</v>
      </c>
      <c r="M387" s="17">
        <f t="shared" ref="M387:M393" si="417">($E387-29)/30</f>
        <v>266.66666666666669</v>
      </c>
    </row>
    <row r="388" spans="1:13" x14ac:dyDescent="0.35">
      <c r="B388" s="2">
        <v>30</v>
      </c>
      <c r="C388" s="2">
        <f t="shared" si="407"/>
        <v>1181</v>
      </c>
      <c r="D388" s="2">
        <f t="shared" si="408"/>
        <v>1151</v>
      </c>
      <c r="E388" s="3">
        <f t="shared" si="409"/>
        <v>8057</v>
      </c>
      <c r="F388" s="17">
        <f t="shared" si="410"/>
        <v>268.53333333333336</v>
      </c>
      <c r="G388" s="17">
        <f t="shared" si="411"/>
        <v>268.33333333333331</v>
      </c>
      <c r="H388" s="17">
        <f t="shared" si="412"/>
        <v>268.2</v>
      </c>
      <c r="I388" s="17">
        <f t="shared" si="413"/>
        <v>268.13333333333333</v>
      </c>
      <c r="J388" s="17">
        <f t="shared" si="414"/>
        <v>268</v>
      </c>
      <c r="K388" s="17">
        <f t="shared" si="415"/>
        <v>267.93333333333334</v>
      </c>
      <c r="L388" s="17">
        <f t="shared" si="416"/>
        <v>267.8</v>
      </c>
      <c r="M388" s="17">
        <f t="shared" si="417"/>
        <v>267.60000000000002</v>
      </c>
    </row>
    <row r="389" spans="1:13" x14ac:dyDescent="0.35">
      <c r="B389" s="2">
        <v>30</v>
      </c>
      <c r="C389" s="2">
        <f t="shared" si="407"/>
        <v>1183</v>
      </c>
      <c r="D389" s="2">
        <f t="shared" si="408"/>
        <v>1153</v>
      </c>
      <c r="E389" s="3">
        <f t="shared" si="409"/>
        <v>8071</v>
      </c>
      <c r="F389" s="17">
        <f t="shared" si="410"/>
        <v>269</v>
      </c>
      <c r="G389" s="17">
        <f t="shared" si="411"/>
        <v>268.8</v>
      </c>
      <c r="H389" s="17">
        <f t="shared" si="412"/>
        <v>268.66666666666669</v>
      </c>
      <c r="I389" s="17">
        <f t="shared" si="413"/>
        <v>268.60000000000002</v>
      </c>
      <c r="J389" s="17">
        <f t="shared" si="414"/>
        <v>268.46666666666664</v>
      </c>
      <c r="K389" s="17">
        <f t="shared" si="415"/>
        <v>268.39999999999998</v>
      </c>
      <c r="L389" s="17">
        <f t="shared" si="416"/>
        <v>268.26666666666665</v>
      </c>
      <c r="M389" s="17">
        <f t="shared" si="417"/>
        <v>268.06666666666666</v>
      </c>
    </row>
    <row r="390" spans="1:13" x14ac:dyDescent="0.35">
      <c r="B390" s="2">
        <v>30</v>
      </c>
      <c r="C390" s="2">
        <f t="shared" si="407"/>
        <v>1187</v>
      </c>
      <c r="D390" s="2">
        <f t="shared" si="408"/>
        <v>1157</v>
      </c>
      <c r="E390" s="3">
        <f t="shared" si="409"/>
        <v>8099</v>
      </c>
      <c r="F390" s="17">
        <f t="shared" si="410"/>
        <v>269.93333333333334</v>
      </c>
      <c r="G390" s="17">
        <f t="shared" si="411"/>
        <v>269.73333333333335</v>
      </c>
      <c r="H390" s="17">
        <f t="shared" si="412"/>
        <v>269.60000000000002</v>
      </c>
      <c r="I390" s="17">
        <f t="shared" si="413"/>
        <v>269.53333333333336</v>
      </c>
      <c r="J390" s="17">
        <f t="shared" si="414"/>
        <v>269.39999999999998</v>
      </c>
      <c r="K390" s="17">
        <f t="shared" si="415"/>
        <v>269.33333333333331</v>
      </c>
      <c r="L390" s="17">
        <f t="shared" si="416"/>
        <v>269.2</v>
      </c>
      <c r="M390" s="17">
        <f t="shared" si="417"/>
        <v>269</v>
      </c>
    </row>
    <row r="391" spans="1:13" x14ac:dyDescent="0.35">
      <c r="B391" s="2">
        <v>30</v>
      </c>
      <c r="C391" s="2">
        <f t="shared" si="407"/>
        <v>1189</v>
      </c>
      <c r="D391" s="2">
        <f t="shared" si="408"/>
        <v>1159</v>
      </c>
      <c r="E391" s="3">
        <f t="shared" si="409"/>
        <v>8113</v>
      </c>
      <c r="F391" s="17">
        <f t="shared" si="410"/>
        <v>270.39999999999998</v>
      </c>
      <c r="G391" s="17">
        <f t="shared" si="411"/>
        <v>270.2</v>
      </c>
      <c r="H391" s="17">
        <f t="shared" si="412"/>
        <v>270.06666666666666</v>
      </c>
      <c r="I391" s="17">
        <f t="shared" si="413"/>
        <v>270</v>
      </c>
      <c r="J391" s="17">
        <f t="shared" si="414"/>
        <v>269.86666666666667</v>
      </c>
      <c r="K391" s="17">
        <f t="shared" si="415"/>
        <v>269.8</v>
      </c>
      <c r="L391" s="17">
        <f t="shared" si="416"/>
        <v>269.66666666666669</v>
      </c>
      <c r="M391" s="17">
        <f t="shared" si="417"/>
        <v>269.46666666666664</v>
      </c>
    </row>
    <row r="392" spans="1:13" x14ac:dyDescent="0.35">
      <c r="B392" s="2">
        <v>30</v>
      </c>
      <c r="C392" s="2">
        <f t="shared" si="407"/>
        <v>1193</v>
      </c>
      <c r="D392" s="2">
        <f t="shared" si="408"/>
        <v>1163</v>
      </c>
      <c r="E392" s="3">
        <f t="shared" si="409"/>
        <v>8141</v>
      </c>
      <c r="F392" s="17">
        <f t="shared" si="410"/>
        <v>271.33333333333331</v>
      </c>
      <c r="G392" s="17">
        <f t="shared" si="411"/>
        <v>271.13333333333333</v>
      </c>
      <c r="H392" s="17">
        <f t="shared" si="412"/>
        <v>271</v>
      </c>
      <c r="I392" s="17">
        <f t="shared" si="413"/>
        <v>270.93333333333334</v>
      </c>
      <c r="J392" s="17">
        <f t="shared" si="414"/>
        <v>270.8</v>
      </c>
      <c r="K392" s="17">
        <f t="shared" si="415"/>
        <v>270.73333333333335</v>
      </c>
      <c r="L392" s="17">
        <f t="shared" si="416"/>
        <v>270.60000000000002</v>
      </c>
      <c r="M392" s="17">
        <f t="shared" si="417"/>
        <v>270.39999999999998</v>
      </c>
    </row>
    <row r="393" spans="1:13" x14ac:dyDescent="0.35">
      <c r="B393" s="2">
        <v>30</v>
      </c>
      <c r="C393" s="2">
        <f t="shared" si="407"/>
        <v>1199</v>
      </c>
      <c r="D393" s="2">
        <f t="shared" si="408"/>
        <v>1169</v>
      </c>
      <c r="E393" s="3">
        <f t="shared" si="409"/>
        <v>8183</v>
      </c>
      <c r="F393" s="17">
        <f t="shared" si="410"/>
        <v>272.73333333333335</v>
      </c>
      <c r="G393" s="17">
        <f t="shared" si="411"/>
        <v>272.53333333333336</v>
      </c>
      <c r="H393" s="17">
        <f t="shared" si="412"/>
        <v>272.39999999999998</v>
      </c>
      <c r="I393" s="17">
        <f t="shared" si="413"/>
        <v>272.33333333333331</v>
      </c>
      <c r="J393" s="17">
        <f t="shared" si="414"/>
        <v>272.2</v>
      </c>
      <c r="K393" s="17">
        <f t="shared" si="415"/>
        <v>272.13333333333333</v>
      </c>
      <c r="L393" s="17">
        <f t="shared" si="416"/>
        <v>272</v>
      </c>
      <c r="M393" s="17">
        <f t="shared" si="417"/>
        <v>271.8</v>
      </c>
    </row>
    <row r="394" spans="1:13" ht="16.8" thickBot="1" x14ac:dyDescent="0.4">
      <c r="F394" s="17"/>
      <c r="G394" s="17"/>
      <c r="H394" s="17"/>
      <c r="I394" s="17"/>
      <c r="J394" s="17"/>
      <c r="K394" s="17"/>
      <c r="L394" s="17"/>
      <c r="M394" s="17"/>
    </row>
    <row r="395" spans="1:13" ht="16.8" thickBot="1" x14ac:dyDescent="0.4">
      <c r="A395" s="1">
        <f>A385+1</f>
        <v>40</v>
      </c>
      <c r="C395" s="18" t="s">
        <v>2</v>
      </c>
      <c r="E395" s="13">
        <f>E376</f>
        <v>7777</v>
      </c>
      <c r="F395" s="19">
        <v>1</v>
      </c>
      <c r="G395" s="20">
        <v>7</v>
      </c>
      <c r="H395" s="20">
        <v>11</v>
      </c>
      <c r="I395" s="20">
        <v>13</v>
      </c>
      <c r="J395" s="20">
        <v>17</v>
      </c>
      <c r="K395" s="20">
        <v>19</v>
      </c>
      <c r="L395" s="20">
        <v>23</v>
      </c>
      <c r="M395" s="21">
        <v>29</v>
      </c>
    </row>
    <row r="396" spans="1:13" x14ac:dyDescent="0.35">
      <c r="B396" s="2">
        <v>30</v>
      </c>
      <c r="C396" s="2">
        <f>D396+B396</f>
        <v>1201</v>
      </c>
      <c r="D396" s="2">
        <f>C386</f>
        <v>1171</v>
      </c>
      <c r="E396" s="3">
        <f>D396*$E$5</f>
        <v>8197</v>
      </c>
      <c r="F396" s="17">
        <f>(E396-1)/30</f>
        <v>273.2</v>
      </c>
      <c r="G396" s="17">
        <f>($E396-7)/30</f>
        <v>273</v>
      </c>
      <c r="H396" s="17">
        <f>($E396-11)/30</f>
        <v>272.86666666666667</v>
      </c>
      <c r="I396" s="17">
        <f>($E396-13)/30</f>
        <v>272.8</v>
      </c>
      <c r="J396" s="17">
        <f>($E396-17)/30</f>
        <v>272.66666666666669</v>
      </c>
      <c r="K396" s="17">
        <f>($E396-19)/30</f>
        <v>272.60000000000002</v>
      </c>
      <c r="L396" s="17">
        <f>($E396-23)/30</f>
        <v>272.46666666666664</v>
      </c>
      <c r="M396" s="17">
        <f>($E396-29)/30</f>
        <v>272.26666666666665</v>
      </c>
    </row>
    <row r="397" spans="1:13" x14ac:dyDescent="0.35">
      <c r="B397" s="2">
        <v>30</v>
      </c>
      <c r="C397" s="2">
        <f t="shared" ref="C397:C403" si="418">D397+B397</f>
        <v>1207</v>
      </c>
      <c r="D397" s="2">
        <f t="shared" ref="D397:D403" si="419">C387</f>
        <v>1177</v>
      </c>
      <c r="E397" s="3">
        <f t="shared" ref="E397:E403" si="420">D397*$E$5</f>
        <v>8239</v>
      </c>
      <c r="F397" s="17">
        <f t="shared" ref="F397:F403" si="421">(E397-1)/30</f>
        <v>274.60000000000002</v>
      </c>
      <c r="G397" s="17">
        <f t="shared" ref="G397:G403" si="422">($E397-7)/30</f>
        <v>274.39999999999998</v>
      </c>
      <c r="H397" s="17">
        <f t="shared" ref="H397:H403" si="423">($E397-11)/30</f>
        <v>274.26666666666665</v>
      </c>
      <c r="I397" s="17">
        <f t="shared" ref="I397:I403" si="424">($E397-13)/30</f>
        <v>274.2</v>
      </c>
      <c r="J397" s="17">
        <f t="shared" ref="J397:J403" si="425">($E397-17)/30</f>
        <v>274.06666666666666</v>
      </c>
      <c r="K397" s="17">
        <f t="shared" ref="K397:K403" si="426">($E397-19)/30</f>
        <v>274</v>
      </c>
      <c r="L397" s="17">
        <f t="shared" ref="L397:L403" si="427">($E397-23)/30</f>
        <v>273.86666666666667</v>
      </c>
      <c r="M397" s="17">
        <f t="shared" ref="M397:M403" si="428">($E397-29)/30</f>
        <v>273.66666666666669</v>
      </c>
    </row>
    <row r="398" spans="1:13" x14ac:dyDescent="0.35">
      <c r="B398" s="2">
        <v>30</v>
      </c>
      <c r="C398" s="2">
        <f t="shared" si="418"/>
        <v>1211</v>
      </c>
      <c r="D398" s="2">
        <f t="shared" si="419"/>
        <v>1181</v>
      </c>
      <c r="E398" s="3">
        <f t="shared" si="420"/>
        <v>8267</v>
      </c>
      <c r="F398" s="17">
        <f t="shared" si="421"/>
        <v>275.53333333333336</v>
      </c>
      <c r="G398" s="17">
        <f t="shared" si="422"/>
        <v>275.33333333333331</v>
      </c>
      <c r="H398" s="17">
        <f t="shared" si="423"/>
        <v>275.2</v>
      </c>
      <c r="I398" s="17">
        <f t="shared" si="424"/>
        <v>275.13333333333333</v>
      </c>
      <c r="J398" s="17">
        <f t="shared" si="425"/>
        <v>275</v>
      </c>
      <c r="K398" s="17">
        <f t="shared" si="426"/>
        <v>274.93333333333334</v>
      </c>
      <c r="L398" s="17">
        <f t="shared" si="427"/>
        <v>274.8</v>
      </c>
      <c r="M398" s="17">
        <f t="shared" si="428"/>
        <v>274.60000000000002</v>
      </c>
    </row>
    <row r="399" spans="1:13" x14ac:dyDescent="0.35">
      <c r="B399" s="2">
        <v>30</v>
      </c>
      <c r="C399" s="2">
        <f t="shared" si="418"/>
        <v>1213</v>
      </c>
      <c r="D399" s="2">
        <f t="shared" si="419"/>
        <v>1183</v>
      </c>
      <c r="E399" s="3">
        <f t="shared" si="420"/>
        <v>8281</v>
      </c>
      <c r="F399" s="17">
        <f t="shared" si="421"/>
        <v>276</v>
      </c>
      <c r="G399" s="17">
        <f t="shared" si="422"/>
        <v>275.8</v>
      </c>
      <c r="H399" s="17">
        <f t="shared" si="423"/>
        <v>275.66666666666669</v>
      </c>
      <c r="I399" s="17">
        <f t="shared" si="424"/>
        <v>275.60000000000002</v>
      </c>
      <c r="J399" s="17">
        <f t="shared" si="425"/>
        <v>275.46666666666664</v>
      </c>
      <c r="K399" s="17">
        <f t="shared" si="426"/>
        <v>275.39999999999998</v>
      </c>
      <c r="L399" s="17">
        <f t="shared" si="427"/>
        <v>275.26666666666665</v>
      </c>
      <c r="M399" s="17">
        <f t="shared" si="428"/>
        <v>275.06666666666666</v>
      </c>
    </row>
    <row r="400" spans="1:13" x14ac:dyDescent="0.35">
      <c r="B400" s="2">
        <v>30</v>
      </c>
      <c r="C400" s="2">
        <f t="shared" si="418"/>
        <v>1217</v>
      </c>
      <c r="D400" s="2">
        <f t="shared" si="419"/>
        <v>1187</v>
      </c>
      <c r="E400" s="3">
        <f t="shared" si="420"/>
        <v>8309</v>
      </c>
      <c r="F400" s="17">
        <f t="shared" si="421"/>
        <v>276.93333333333334</v>
      </c>
      <c r="G400" s="17">
        <f t="shared" si="422"/>
        <v>276.73333333333335</v>
      </c>
      <c r="H400" s="17">
        <f t="shared" si="423"/>
        <v>276.60000000000002</v>
      </c>
      <c r="I400" s="17">
        <f t="shared" si="424"/>
        <v>276.53333333333336</v>
      </c>
      <c r="J400" s="17">
        <f t="shared" si="425"/>
        <v>276.39999999999998</v>
      </c>
      <c r="K400" s="17">
        <f t="shared" si="426"/>
        <v>276.33333333333331</v>
      </c>
      <c r="L400" s="17">
        <f t="shared" si="427"/>
        <v>276.2</v>
      </c>
      <c r="M400" s="17">
        <f t="shared" si="428"/>
        <v>276</v>
      </c>
    </row>
    <row r="401" spans="1:13" x14ac:dyDescent="0.35">
      <c r="B401" s="2">
        <v>30</v>
      </c>
      <c r="C401" s="2">
        <f t="shared" si="418"/>
        <v>1219</v>
      </c>
      <c r="D401" s="2">
        <f t="shared" si="419"/>
        <v>1189</v>
      </c>
      <c r="E401" s="3">
        <f t="shared" si="420"/>
        <v>8323</v>
      </c>
      <c r="F401" s="17">
        <f t="shared" si="421"/>
        <v>277.39999999999998</v>
      </c>
      <c r="G401" s="17">
        <f t="shared" si="422"/>
        <v>277.2</v>
      </c>
      <c r="H401" s="17">
        <f t="shared" si="423"/>
        <v>277.06666666666666</v>
      </c>
      <c r="I401" s="17">
        <f t="shared" si="424"/>
        <v>277</v>
      </c>
      <c r="J401" s="17">
        <f t="shared" si="425"/>
        <v>276.86666666666667</v>
      </c>
      <c r="K401" s="17">
        <f t="shared" si="426"/>
        <v>276.8</v>
      </c>
      <c r="L401" s="17">
        <f t="shared" si="427"/>
        <v>276.66666666666669</v>
      </c>
      <c r="M401" s="17">
        <f t="shared" si="428"/>
        <v>276.46666666666664</v>
      </c>
    </row>
    <row r="402" spans="1:13" x14ac:dyDescent="0.35">
      <c r="B402" s="2">
        <v>30</v>
      </c>
      <c r="C402" s="2">
        <f t="shared" si="418"/>
        <v>1223</v>
      </c>
      <c r="D402" s="2">
        <f t="shared" si="419"/>
        <v>1193</v>
      </c>
      <c r="E402" s="3">
        <f t="shared" si="420"/>
        <v>8351</v>
      </c>
      <c r="F402" s="17">
        <f t="shared" si="421"/>
        <v>278.33333333333331</v>
      </c>
      <c r="G402" s="17">
        <f t="shared" si="422"/>
        <v>278.13333333333333</v>
      </c>
      <c r="H402" s="17">
        <f t="shared" si="423"/>
        <v>278</v>
      </c>
      <c r="I402" s="17">
        <f t="shared" si="424"/>
        <v>277.93333333333334</v>
      </c>
      <c r="J402" s="17">
        <f t="shared" si="425"/>
        <v>277.8</v>
      </c>
      <c r="K402" s="17">
        <f t="shared" si="426"/>
        <v>277.73333333333335</v>
      </c>
      <c r="L402" s="17">
        <f t="shared" si="427"/>
        <v>277.60000000000002</v>
      </c>
      <c r="M402" s="17">
        <f t="shared" si="428"/>
        <v>277.39999999999998</v>
      </c>
    </row>
    <row r="403" spans="1:13" x14ac:dyDescent="0.35">
      <c r="B403" s="2">
        <v>30</v>
      </c>
      <c r="C403" s="2">
        <f t="shared" si="418"/>
        <v>1229</v>
      </c>
      <c r="D403" s="2">
        <f t="shared" si="419"/>
        <v>1199</v>
      </c>
      <c r="E403" s="3">
        <f t="shared" si="420"/>
        <v>8393</v>
      </c>
      <c r="F403" s="17">
        <f t="shared" si="421"/>
        <v>279.73333333333335</v>
      </c>
      <c r="G403" s="17">
        <f t="shared" si="422"/>
        <v>279.53333333333336</v>
      </c>
      <c r="H403" s="17">
        <f t="shared" si="423"/>
        <v>279.39999999999998</v>
      </c>
      <c r="I403" s="17">
        <f t="shared" si="424"/>
        <v>279.33333333333331</v>
      </c>
      <c r="J403" s="17">
        <f t="shared" si="425"/>
        <v>279.2</v>
      </c>
      <c r="K403" s="17">
        <f t="shared" si="426"/>
        <v>279.13333333333333</v>
      </c>
      <c r="L403" s="17">
        <f t="shared" si="427"/>
        <v>279</v>
      </c>
      <c r="M403" s="17">
        <f t="shared" si="428"/>
        <v>278.8</v>
      </c>
    </row>
    <row r="404" spans="1:13" ht="16.8" thickBot="1" x14ac:dyDescent="0.4">
      <c r="F404" s="17"/>
      <c r="G404" s="17"/>
      <c r="H404" s="17"/>
      <c r="I404" s="17"/>
      <c r="J404" s="17"/>
      <c r="K404" s="17"/>
      <c r="L404" s="17"/>
      <c r="M404" s="17"/>
    </row>
    <row r="405" spans="1:13" ht="16.8" thickBot="1" x14ac:dyDescent="0.4">
      <c r="A405" s="1">
        <f>A395+1</f>
        <v>41</v>
      </c>
      <c r="C405" s="18" t="s">
        <v>2</v>
      </c>
      <c r="E405" s="13">
        <f>E386</f>
        <v>7987</v>
      </c>
      <c r="F405" s="19">
        <v>1</v>
      </c>
      <c r="G405" s="20">
        <v>7</v>
      </c>
      <c r="H405" s="20">
        <v>11</v>
      </c>
      <c r="I405" s="20">
        <v>13</v>
      </c>
      <c r="J405" s="20">
        <v>17</v>
      </c>
      <c r="K405" s="20">
        <v>19</v>
      </c>
      <c r="L405" s="20">
        <v>23</v>
      </c>
      <c r="M405" s="21">
        <v>29</v>
      </c>
    </row>
    <row r="406" spans="1:13" x14ac:dyDescent="0.35">
      <c r="B406" s="2">
        <v>30</v>
      </c>
      <c r="C406" s="2">
        <f>D406+B406</f>
        <v>1231</v>
      </c>
      <c r="D406" s="2">
        <f>C396</f>
        <v>1201</v>
      </c>
      <c r="E406" s="3">
        <f>D406*$E$5</f>
        <v>8407</v>
      </c>
      <c r="F406" s="17">
        <f>(E406-1)/30</f>
        <v>280.2</v>
      </c>
      <c r="G406" s="17">
        <f>($E406-7)/30</f>
        <v>280</v>
      </c>
      <c r="H406" s="17">
        <f>($E406-11)/30</f>
        <v>279.86666666666667</v>
      </c>
      <c r="I406" s="17">
        <f>($E406-13)/30</f>
        <v>279.8</v>
      </c>
      <c r="J406" s="17">
        <f>($E406-17)/30</f>
        <v>279.66666666666669</v>
      </c>
      <c r="K406" s="17">
        <f>($E406-19)/30</f>
        <v>279.60000000000002</v>
      </c>
      <c r="L406" s="17">
        <f>($E406-23)/30</f>
        <v>279.46666666666664</v>
      </c>
      <c r="M406" s="17">
        <f>($E406-29)/30</f>
        <v>279.26666666666665</v>
      </c>
    </row>
    <row r="407" spans="1:13" x14ac:dyDescent="0.35">
      <c r="B407" s="2">
        <v>30</v>
      </c>
      <c r="C407" s="2">
        <f t="shared" ref="C407:C413" si="429">D407+B407</f>
        <v>1237</v>
      </c>
      <c r="D407" s="2">
        <f t="shared" ref="D407:D413" si="430">C397</f>
        <v>1207</v>
      </c>
      <c r="E407" s="3">
        <f t="shared" ref="E407:E413" si="431">D407*$E$5</f>
        <v>8449</v>
      </c>
      <c r="F407" s="17">
        <f t="shared" ref="F407:F413" si="432">(E407-1)/30</f>
        <v>281.60000000000002</v>
      </c>
      <c r="G407" s="17">
        <f t="shared" ref="G407:G413" si="433">($E407-7)/30</f>
        <v>281.39999999999998</v>
      </c>
      <c r="H407" s="17">
        <f t="shared" ref="H407:H413" si="434">($E407-11)/30</f>
        <v>281.26666666666665</v>
      </c>
      <c r="I407" s="17">
        <f t="shared" ref="I407:I413" si="435">($E407-13)/30</f>
        <v>281.2</v>
      </c>
      <c r="J407" s="17">
        <f t="shared" ref="J407:J413" si="436">($E407-17)/30</f>
        <v>281.06666666666666</v>
      </c>
      <c r="K407" s="17">
        <f t="shared" ref="K407:K413" si="437">($E407-19)/30</f>
        <v>281</v>
      </c>
      <c r="L407" s="17">
        <f t="shared" ref="L407:L413" si="438">($E407-23)/30</f>
        <v>280.86666666666667</v>
      </c>
      <c r="M407" s="17">
        <f t="shared" ref="M407:M413" si="439">($E407-29)/30</f>
        <v>280.66666666666669</v>
      </c>
    </row>
    <row r="408" spans="1:13" x14ac:dyDescent="0.35">
      <c r="B408" s="2">
        <v>30</v>
      </c>
      <c r="C408" s="2">
        <f t="shared" si="429"/>
        <v>1241</v>
      </c>
      <c r="D408" s="2">
        <f t="shared" si="430"/>
        <v>1211</v>
      </c>
      <c r="E408" s="3">
        <f t="shared" si="431"/>
        <v>8477</v>
      </c>
      <c r="F408" s="17">
        <f t="shared" si="432"/>
        <v>282.53333333333336</v>
      </c>
      <c r="G408" s="17">
        <f t="shared" si="433"/>
        <v>282.33333333333331</v>
      </c>
      <c r="H408" s="17">
        <f t="shared" si="434"/>
        <v>282.2</v>
      </c>
      <c r="I408" s="17">
        <f t="shared" si="435"/>
        <v>282.13333333333333</v>
      </c>
      <c r="J408" s="17">
        <f t="shared" si="436"/>
        <v>282</v>
      </c>
      <c r="K408" s="17">
        <f t="shared" si="437"/>
        <v>281.93333333333334</v>
      </c>
      <c r="L408" s="17">
        <f t="shared" si="438"/>
        <v>281.8</v>
      </c>
      <c r="M408" s="17">
        <f t="shared" si="439"/>
        <v>281.60000000000002</v>
      </c>
    </row>
    <row r="409" spans="1:13" x14ac:dyDescent="0.35">
      <c r="B409" s="2">
        <v>30</v>
      </c>
      <c r="C409" s="2">
        <f t="shared" si="429"/>
        <v>1243</v>
      </c>
      <c r="D409" s="2">
        <f t="shared" si="430"/>
        <v>1213</v>
      </c>
      <c r="E409" s="3">
        <f t="shared" si="431"/>
        <v>8491</v>
      </c>
      <c r="F409" s="17">
        <f t="shared" si="432"/>
        <v>283</v>
      </c>
      <c r="G409" s="17">
        <f t="shared" si="433"/>
        <v>282.8</v>
      </c>
      <c r="H409" s="17">
        <f t="shared" si="434"/>
        <v>282.66666666666669</v>
      </c>
      <c r="I409" s="17">
        <f t="shared" si="435"/>
        <v>282.60000000000002</v>
      </c>
      <c r="J409" s="17">
        <f t="shared" si="436"/>
        <v>282.46666666666664</v>
      </c>
      <c r="K409" s="17">
        <f t="shared" si="437"/>
        <v>282.39999999999998</v>
      </c>
      <c r="L409" s="17">
        <f t="shared" si="438"/>
        <v>282.26666666666665</v>
      </c>
      <c r="M409" s="17">
        <f t="shared" si="439"/>
        <v>282.06666666666666</v>
      </c>
    </row>
    <row r="410" spans="1:13" x14ac:dyDescent="0.35">
      <c r="B410" s="2">
        <v>30</v>
      </c>
      <c r="C410" s="2">
        <f t="shared" si="429"/>
        <v>1247</v>
      </c>
      <c r="D410" s="2">
        <f t="shared" si="430"/>
        <v>1217</v>
      </c>
      <c r="E410" s="3">
        <f t="shared" si="431"/>
        <v>8519</v>
      </c>
      <c r="F410" s="17">
        <f t="shared" si="432"/>
        <v>283.93333333333334</v>
      </c>
      <c r="G410" s="17">
        <f t="shared" si="433"/>
        <v>283.73333333333335</v>
      </c>
      <c r="H410" s="17">
        <f t="shared" si="434"/>
        <v>283.60000000000002</v>
      </c>
      <c r="I410" s="17">
        <f t="shared" si="435"/>
        <v>283.53333333333336</v>
      </c>
      <c r="J410" s="17">
        <f t="shared" si="436"/>
        <v>283.39999999999998</v>
      </c>
      <c r="K410" s="17">
        <f t="shared" si="437"/>
        <v>283.33333333333331</v>
      </c>
      <c r="L410" s="17">
        <f t="shared" si="438"/>
        <v>283.2</v>
      </c>
      <c r="M410" s="17">
        <f t="shared" si="439"/>
        <v>283</v>
      </c>
    </row>
    <row r="411" spans="1:13" x14ac:dyDescent="0.35">
      <c r="B411" s="2">
        <v>30</v>
      </c>
      <c r="C411" s="2">
        <f t="shared" si="429"/>
        <v>1249</v>
      </c>
      <c r="D411" s="2">
        <f t="shared" si="430"/>
        <v>1219</v>
      </c>
      <c r="E411" s="3">
        <f t="shared" si="431"/>
        <v>8533</v>
      </c>
      <c r="F411" s="17">
        <f t="shared" si="432"/>
        <v>284.39999999999998</v>
      </c>
      <c r="G411" s="17">
        <f t="shared" si="433"/>
        <v>284.2</v>
      </c>
      <c r="H411" s="17">
        <f t="shared" si="434"/>
        <v>284.06666666666666</v>
      </c>
      <c r="I411" s="17">
        <f t="shared" si="435"/>
        <v>284</v>
      </c>
      <c r="J411" s="17">
        <f t="shared" si="436"/>
        <v>283.86666666666667</v>
      </c>
      <c r="K411" s="17">
        <f t="shared" si="437"/>
        <v>283.8</v>
      </c>
      <c r="L411" s="17">
        <f t="shared" si="438"/>
        <v>283.66666666666669</v>
      </c>
      <c r="M411" s="17">
        <f t="shared" si="439"/>
        <v>283.46666666666664</v>
      </c>
    </row>
    <row r="412" spans="1:13" x14ac:dyDescent="0.35">
      <c r="B412" s="2">
        <v>30</v>
      </c>
      <c r="C412" s="2">
        <f t="shared" si="429"/>
        <v>1253</v>
      </c>
      <c r="D412" s="2">
        <f t="shared" si="430"/>
        <v>1223</v>
      </c>
      <c r="E412" s="3">
        <f t="shared" si="431"/>
        <v>8561</v>
      </c>
      <c r="F412" s="17">
        <f t="shared" si="432"/>
        <v>285.33333333333331</v>
      </c>
      <c r="G412" s="17">
        <f t="shared" si="433"/>
        <v>285.13333333333333</v>
      </c>
      <c r="H412" s="17">
        <f t="shared" si="434"/>
        <v>285</v>
      </c>
      <c r="I412" s="17">
        <f t="shared" si="435"/>
        <v>284.93333333333334</v>
      </c>
      <c r="J412" s="17">
        <f t="shared" si="436"/>
        <v>284.8</v>
      </c>
      <c r="K412" s="17">
        <f t="shared" si="437"/>
        <v>284.73333333333335</v>
      </c>
      <c r="L412" s="17">
        <f t="shared" si="438"/>
        <v>284.60000000000002</v>
      </c>
      <c r="M412" s="17">
        <f t="shared" si="439"/>
        <v>284.39999999999998</v>
      </c>
    </row>
    <row r="413" spans="1:13" x14ac:dyDescent="0.35">
      <c r="B413" s="2">
        <v>30</v>
      </c>
      <c r="C413" s="2">
        <f t="shared" si="429"/>
        <v>1259</v>
      </c>
      <c r="D413" s="2">
        <f t="shared" si="430"/>
        <v>1229</v>
      </c>
      <c r="E413" s="3">
        <f t="shared" si="431"/>
        <v>8603</v>
      </c>
      <c r="F413" s="17">
        <f t="shared" si="432"/>
        <v>286.73333333333335</v>
      </c>
      <c r="G413" s="17">
        <f t="shared" si="433"/>
        <v>286.53333333333336</v>
      </c>
      <c r="H413" s="17">
        <f t="shared" si="434"/>
        <v>286.39999999999998</v>
      </c>
      <c r="I413" s="17">
        <f t="shared" si="435"/>
        <v>286.33333333333331</v>
      </c>
      <c r="J413" s="17">
        <f t="shared" si="436"/>
        <v>286.2</v>
      </c>
      <c r="K413" s="17">
        <f t="shared" si="437"/>
        <v>286.13333333333333</v>
      </c>
      <c r="L413" s="17">
        <f t="shared" si="438"/>
        <v>286</v>
      </c>
      <c r="M413" s="17">
        <f t="shared" si="439"/>
        <v>285.8</v>
      </c>
    </row>
    <row r="414" spans="1:13" ht="16.8" thickBot="1" x14ac:dyDescent="0.4">
      <c r="F414" s="17"/>
      <c r="G414" s="17"/>
      <c r="H414" s="17"/>
      <c r="I414" s="17"/>
      <c r="J414" s="17"/>
      <c r="K414" s="17"/>
      <c r="L414" s="17"/>
      <c r="M414" s="17"/>
    </row>
    <row r="415" spans="1:13" ht="16.8" thickBot="1" x14ac:dyDescent="0.4">
      <c r="A415" s="1">
        <f>A405+1</f>
        <v>42</v>
      </c>
      <c r="C415" s="18" t="s">
        <v>2</v>
      </c>
      <c r="E415" s="13">
        <f>E396</f>
        <v>8197</v>
      </c>
      <c r="F415" s="19">
        <v>1</v>
      </c>
      <c r="G415" s="20">
        <v>7</v>
      </c>
      <c r="H415" s="20">
        <v>11</v>
      </c>
      <c r="I415" s="20">
        <v>13</v>
      </c>
      <c r="J415" s="20">
        <v>17</v>
      </c>
      <c r="K415" s="20">
        <v>19</v>
      </c>
      <c r="L415" s="20">
        <v>23</v>
      </c>
      <c r="M415" s="21">
        <v>29</v>
      </c>
    </row>
    <row r="416" spans="1:13" x14ac:dyDescent="0.35">
      <c r="B416" s="2">
        <v>30</v>
      </c>
      <c r="C416" s="2">
        <f>D416+B416</f>
        <v>1261</v>
      </c>
      <c r="D416" s="2">
        <f>C406</f>
        <v>1231</v>
      </c>
      <c r="E416" s="3">
        <f>D416*$E$5</f>
        <v>8617</v>
      </c>
      <c r="F416" s="17">
        <f>(E416-1)/30</f>
        <v>287.2</v>
      </c>
      <c r="G416" s="17">
        <f>($E416-7)/30</f>
        <v>287</v>
      </c>
      <c r="H416" s="17">
        <f>($E416-11)/30</f>
        <v>286.86666666666667</v>
      </c>
      <c r="I416" s="17">
        <f>($E416-13)/30</f>
        <v>286.8</v>
      </c>
      <c r="J416" s="17">
        <f>($E416-17)/30</f>
        <v>286.66666666666669</v>
      </c>
      <c r="K416" s="17">
        <f>($E416-19)/30</f>
        <v>286.60000000000002</v>
      </c>
      <c r="L416" s="17">
        <f>($E416-23)/30</f>
        <v>286.46666666666664</v>
      </c>
      <c r="M416" s="17">
        <f>($E416-29)/30</f>
        <v>286.26666666666665</v>
      </c>
    </row>
    <row r="417" spans="1:13" x14ac:dyDescent="0.35">
      <c r="B417" s="2">
        <v>30</v>
      </c>
      <c r="C417" s="2">
        <f t="shared" ref="C417:C423" si="440">D417+B417</f>
        <v>1267</v>
      </c>
      <c r="D417" s="2">
        <f t="shared" ref="D417:D423" si="441">C407</f>
        <v>1237</v>
      </c>
      <c r="E417" s="3">
        <f t="shared" ref="E417:E423" si="442">D417*$E$5</f>
        <v>8659</v>
      </c>
      <c r="F417" s="17">
        <f t="shared" ref="F417:F423" si="443">(E417-1)/30</f>
        <v>288.60000000000002</v>
      </c>
      <c r="G417" s="17">
        <f t="shared" ref="G417:G423" si="444">($E417-7)/30</f>
        <v>288.39999999999998</v>
      </c>
      <c r="H417" s="17">
        <f t="shared" ref="H417:H423" si="445">($E417-11)/30</f>
        <v>288.26666666666665</v>
      </c>
      <c r="I417" s="17">
        <f t="shared" ref="I417:I423" si="446">($E417-13)/30</f>
        <v>288.2</v>
      </c>
      <c r="J417" s="17">
        <f t="shared" ref="J417:J423" si="447">($E417-17)/30</f>
        <v>288.06666666666666</v>
      </c>
      <c r="K417" s="17">
        <f t="shared" ref="K417:K423" si="448">($E417-19)/30</f>
        <v>288</v>
      </c>
      <c r="L417" s="17">
        <f t="shared" ref="L417:L423" si="449">($E417-23)/30</f>
        <v>287.86666666666667</v>
      </c>
      <c r="M417" s="17">
        <f t="shared" ref="M417:M423" si="450">($E417-29)/30</f>
        <v>287.66666666666669</v>
      </c>
    </row>
    <row r="418" spans="1:13" x14ac:dyDescent="0.35">
      <c r="B418" s="2">
        <v>30</v>
      </c>
      <c r="C418" s="2">
        <f t="shared" si="440"/>
        <v>1271</v>
      </c>
      <c r="D418" s="2">
        <f t="shared" si="441"/>
        <v>1241</v>
      </c>
      <c r="E418" s="3">
        <f t="shared" si="442"/>
        <v>8687</v>
      </c>
      <c r="F418" s="17">
        <f t="shared" si="443"/>
        <v>289.53333333333336</v>
      </c>
      <c r="G418" s="17">
        <f t="shared" si="444"/>
        <v>289.33333333333331</v>
      </c>
      <c r="H418" s="17">
        <f t="shared" si="445"/>
        <v>289.2</v>
      </c>
      <c r="I418" s="17">
        <f t="shared" si="446"/>
        <v>289.13333333333333</v>
      </c>
      <c r="J418" s="17">
        <f t="shared" si="447"/>
        <v>289</v>
      </c>
      <c r="K418" s="17">
        <f t="shared" si="448"/>
        <v>288.93333333333334</v>
      </c>
      <c r="L418" s="17">
        <f t="shared" si="449"/>
        <v>288.8</v>
      </c>
      <c r="M418" s="17">
        <f t="shared" si="450"/>
        <v>288.60000000000002</v>
      </c>
    </row>
    <row r="419" spans="1:13" x14ac:dyDescent="0.35">
      <c r="B419" s="2">
        <v>30</v>
      </c>
      <c r="C419" s="2">
        <f t="shared" si="440"/>
        <v>1273</v>
      </c>
      <c r="D419" s="2">
        <f t="shared" si="441"/>
        <v>1243</v>
      </c>
      <c r="E419" s="3">
        <f t="shared" si="442"/>
        <v>8701</v>
      </c>
      <c r="F419" s="17">
        <f t="shared" si="443"/>
        <v>290</v>
      </c>
      <c r="G419" s="17">
        <f t="shared" si="444"/>
        <v>289.8</v>
      </c>
      <c r="H419" s="17">
        <f t="shared" si="445"/>
        <v>289.66666666666669</v>
      </c>
      <c r="I419" s="17">
        <f t="shared" si="446"/>
        <v>289.60000000000002</v>
      </c>
      <c r="J419" s="17">
        <f t="shared" si="447"/>
        <v>289.46666666666664</v>
      </c>
      <c r="K419" s="17">
        <f t="shared" si="448"/>
        <v>289.39999999999998</v>
      </c>
      <c r="L419" s="17">
        <f t="shared" si="449"/>
        <v>289.26666666666665</v>
      </c>
      <c r="M419" s="17">
        <f t="shared" si="450"/>
        <v>289.06666666666666</v>
      </c>
    </row>
    <row r="420" spans="1:13" x14ac:dyDescent="0.35">
      <c r="B420" s="2">
        <v>30</v>
      </c>
      <c r="C420" s="2">
        <f t="shared" si="440"/>
        <v>1277</v>
      </c>
      <c r="D420" s="2">
        <f t="shared" si="441"/>
        <v>1247</v>
      </c>
      <c r="E420" s="3">
        <f t="shared" si="442"/>
        <v>8729</v>
      </c>
      <c r="F420" s="17">
        <f t="shared" si="443"/>
        <v>290.93333333333334</v>
      </c>
      <c r="G420" s="17">
        <f t="shared" si="444"/>
        <v>290.73333333333335</v>
      </c>
      <c r="H420" s="17">
        <f t="shared" si="445"/>
        <v>290.60000000000002</v>
      </c>
      <c r="I420" s="17">
        <f t="shared" si="446"/>
        <v>290.53333333333336</v>
      </c>
      <c r="J420" s="17">
        <f t="shared" si="447"/>
        <v>290.39999999999998</v>
      </c>
      <c r="K420" s="17">
        <f t="shared" si="448"/>
        <v>290.33333333333331</v>
      </c>
      <c r="L420" s="17">
        <f t="shared" si="449"/>
        <v>290.2</v>
      </c>
      <c r="M420" s="17">
        <f t="shared" si="450"/>
        <v>290</v>
      </c>
    </row>
    <row r="421" spans="1:13" x14ac:dyDescent="0.35">
      <c r="B421" s="2">
        <v>30</v>
      </c>
      <c r="C421" s="2">
        <f t="shared" si="440"/>
        <v>1279</v>
      </c>
      <c r="D421" s="2">
        <f t="shared" si="441"/>
        <v>1249</v>
      </c>
      <c r="E421" s="3">
        <f t="shared" si="442"/>
        <v>8743</v>
      </c>
      <c r="F421" s="17">
        <f t="shared" si="443"/>
        <v>291.39999999999998</v>
      </c>
      <c r="G421" s="17">
        <f t="shared" si="444"/>
        <v>291.2</v>
      </c>
      <c r="H421" s="17">
        <f t="shared" si="445"/>
        <v>291.06666666666666</v>
      </c>
      <c r="I421" s="17">
        <f t="shared" si="446"/>
        <v>291</v>
      </c>
      <c r="J421" s="17">
        <f t="shared" si="447"/>
        <v>290.86666666666667</v>
      </c>
      <c r="K421" s="17">
        <f t="shared" si="448"/>
        <v>290.8</v>
      </c>
      <c r="L421" s="17">
        <f t="shared" si="449"/>
        <v>290.66666666666669</v>
      </c>
      <c r="M421" s="17">
        <f t="shared" si="450"/>
        <v>290.46666666666664</v>
      </c>
    </row>
    <row r="422" spans="1:13" x14ac:dyDescent="0.35">
      <c r="B422" s="2">
        <v>30</v>
      </c>
      <c r="C422" s="2">
        <f t="shared" si="440"/>
        <v>1283</v>
      </c>
      <c r="D422" s="2">
        <f t="shared" si="441"/>
        <v>1253</v>
      </c>
      <c r="E422" s="3">
        <f t="shared" si="442"/>
        <v>8771</v>
      </c>
      <c r="F422" s="17">
        <f t="shared" si="443"/>
        <v>292.33333333333331</v>
      </c>
      <c r="G422" s="17">
        <f t="shared" si="444"/>
        <v>292.13333333333333</v>
      </c>
      <c r="H422" s="17">
        <f t="shared" si="445"/>
        <v>292</v>
      </c>
      <c r="I422" s="17">
        <f t="shared" si="446"/>
        <v>291.93333333333334</v>
      </c>
      <c r="J422" s="17">
        <f t="shared" si="447"/>
        <v>291.8</v>
      </c>
      <c r="K422" s="17">
        <f t="shared" si="448"/>
        <v>291.73333333333335</v>
      </c>
      <c r="L422" s="17">
        <f t="shared" si="449"/>
        <v>291.60000000000002</v>
      </c>
      <c r="M422" s="17">
        <f t="shared" si="450"/>
        <v>291.39999999999998</v>
      </c>
    </row>
    <row r="423" spans="1:13" x14ac:dyDescent="0.35">
      <c r="B423" s="2">
        <v>30</v>
      </c>
      <c r="C423" s="2">
        <f t="shared" si="440"/>
        <v>1289</v>
      </c>
      <c r="D423" s="2">
        <f t="shared" si="441"/>
        <v>1259</v>
      </c>
      <c r="E423" s="3">
        <f t="shared" si="442"/>
        <v>8813</v>
      </c>
      <c r="F423" s="17">
        <f t="shared" si="443"/>
        <v>293.73333333333335</v>
      </c>
      <c r="G423" s="17">
        <f t="shared" si="444"/>
        <v>293.53333333333336</v>
      </c>
      <c r="H423" s="17">
        <f t="shared" si="445"/>
        <v>293.39999999999998</v>
      </c>
      <c r="I423" s="17">
        <f t="shared" si="446"/>
        <v>293.33333333333331</v>
      </c>
      <c r="J423" s="17">
        <f t="shared" si="447"/>
        <v>293.2</v>
      </c>
      <c r="K423" s="17">
        <f t="shared" si="448"/>
        <v>293.13333333333333</v>
      </c>
      <c r="L423" s="17">
        <f t="shared" si="449"/>
        <v>293</v>
      </c>
      <c r="M423" s="17">
        <f t="shared" si="450"/>
        <v>292.8</v>
      </c>
    </row>
    <row r="424" spans="1:13" ht="16.8" thickBot="1" x14ac:dyDescent="0.4">
      <c r="F424" s="17"/>
      <c r="G424" s="17"/>
      <c r="H424" s="17"/>
      <c r="I424" s="17"/>
      <c r="J424" s="17"/>
      <c r="K424" s="17"/>
      <c r="L424" s="17"/>
      <c r="M424" s="17"/>
    </row>
    <row r="425" spans="1:13" ht="16.8" thickBot="1" x14ac:dyDescent="0.4">
      <c r="A425" s="1">
        <f>A415+1</f>
        <v>43</v>
      </c>
      <c r="C425" s="18" t="s">
        <v>2</v>
      </c>
      <c r="E425" s="13">
        <f>E406</f>
        <v>8407</v>
      </c>
      <c r="F425" s="19">
        <v>1</v>
      </c>
      <c r="G425" s="20">
        <v>7</v>
      </c>
      <c r="H425" s="20">
        <v>11</v>
      </c>
      <c r="I425" s="20">
        <v>13</v>
      </c>
      <c r="J425" s="20">
        <v>17</v>
      </c>
      <c r="K425" s="20">
        <v>19</v>
      </c>
      <c r="L425" s="20">
        <v>23</v>
      </c>
      <c r="M425" s="21">
        <v>29</v>
      </c>
    </row>
    <row r="426" spans="1:13" x14ac:dyDescent="0.35">
      <c r="B426" s="2">
        <v>30</v>
      </c>
      <c r="C426" s="2">
        <f>D426+B426</f>
        <v>1291</v>
      </c>
      <c r="D426" s="2">
        <f>C416</f>
        <v>1261</v>
      </c>
      <c r="E426" s="3">
        <f>D426*$E$5</f>
        <v>8827</v>
      </c>
      <c r="F426" s="17">
        <f>(E426-1)/30</f>
        <v>294.2</v>
      </c>
      <c r="G426" s="17">
        <f>($E426-7)/30</f>
        <v>294</v>
      </c>
      <c r="H426" s="17">
        <f>($E426-11)/30</f>
        <v>293.86666666666667</v>
      </c>
      <c r="I426" s="17">
        <f>($E426-13)/30</f>
        <v>293.8</v>
      </c>
      <c r="J426" s="17">
        <f>($E426-17)/30</f>
        <v>293.66666666666669</v>
      </c>
      <c r="K426" s="17">
        <f>($E426-19)/30</f>
        <v>293.60000000000002</v>
      </c>
      <c r="L426" s="17">
        <f>($E426-23)/30</f>
        <v>293.46666666666664</v>
      </c>
      <c r="M426" s="17">
        <f>($E426-29)/30</f>
        <v>293.26666666666665</v>
      </c>
    </row>
    <row r="427" spans="1:13" x14ac:dyDescent="0.35">
      <c r="B427" s="2">
        <v>30</v>
      </c>
      <c r="C427" s="2">
        <f t="shared" ref="C427:C433" si="451">D427+B427</f>
        <v>1297</v>
      </c>
      <c r="D427" s="2">
        <f t="shared" ref="D427:D433" si="452">C417</f>
        <v>1267</v>
      </c>
      <c r="E427" s="3">
        <f t="shared" ref="E427:E433" si="453">D427*$E$5</f>
        <v>8869</v>
      </c>
      <c r="F427" s="17">
        <f t="shared" ref="F427:F433" si="454">(E427-1)/30</f>
        <v>295.60000000000002</v>
      </c>
      <c r="G427" s="17">
        <f t="shared" ref="G427:G433" si="455">($E427-7)/30</f>
        <v>295.39999999999998</v>
      </c>
      <c r="H427" s="17">
        <f t="shared" ref="H427:H433" si="456">($E427-11)/30</f>
        <v>295.26666666666665</v>
      </c>
      <c r="I427" s="17">
        <f t="shared" ref="I427:I433" si="457">($E427-13)/30</f>
        <v>295.2</v>
      </c>
      <c r="J427" s="17">
        <f t="shared" ref="J427:J433" si="458">($E427-17)/30</f>
        <v>295.06666666666666</v>
      </c>
      <c r="K427" s="17">
        <f t="shared" ref="K427:K433" si="459">($E427-19)/30</f>
        <v>295</v>
      </c>
      <c r="L427" s="17">
        <f t="shared" ref="L427:L433" si="460">($E427-23)/30</f>
        <v>294.86666666666667</v>
      </c>
      <c r="M427" s="17">
        <f t="shared" ref="M427:M433" si="461">($E427-29)/30</f>
        <v>294.66666666666669</v>
      </c>
    </row>
    <row r="428" spans="1:13" x14ac:dyDescent="0.35">
      <c r="B428" s="2">
        <v>30</v>
      </c>
      <c r="C428" s="2">
        <f t="shared" si="451"/>
        <v>1301</v>
      </c>
      <c r="D428" s="2">
        <f t="shared" si="452"/>
        <v>1271</v>
      </c>
      <c r="E428" s="3">
        <f t="shared" si="453"/>
        <v>8897</v>
      </c>
      <c r="F428" s="17">
        <f t="shared" si="454"/>
        <v>296.53333333333336</v>
      </c>
      <c r="G428" s="17">
        <f t="shared" si="455"/>
        <v>296.33333333333331</v>
      </c>
      <c r="H428" s="17">
        <f t="shared" si="456"/>
        <v>296.2</v>
      </c>
      <c r="I428" s="17">
        <f t="shared" si="457"/>
        <v>296.13333333333333</v>
      </c>
      <c r="J428" s="17">
        <f t="shared" si="458"/>
        <v>296</v>
      </c>
      <c r="K428" s="17">
        <f t="shared" si="459"/>
        <v>295.93333333333334</v>
      </c>
      <c r="L428" s="17">
        <f t="shared" si="460"/>
        <v>295.8</v>
      </c>
      <c r="M428" s="17">
        <f t="shared" si="461"/>
        <v>295.60000000000002</v>
      </c>
    </row>
    <row r="429" spans="1:13" x14ac:dyDescent="0.35">
      <c r="B429" s="2">
        <v>30</v>
      </c>
      <c r="C429" s="2">
        <f t="shared" si="451"/>
        <v>1303</v>
      </c>
      <c r="D429" s="2">
        <f t="shared" si="452"/>
        <v>1273</v>
      </c>
      <c r="E429" s="3">
        <f t="shared" si="453"/>
        <v>8911</v>
      </c>
      <c r="F429" s="17">
        <f t="shared" si="454"/>
        <v>297</v>
      </c>
      <c r="G429" s="17">
        <f t="shared" si="455"/>
        <v>296.8</v>
      </c>
      <c r="H429" s="17">
        <f t="shared" si="456"/>
        <v>296.66666666666669</v>
      </c>
      <c r="I429" s="17">
        <f t="shared" si="457"/>
        <v>296.60000000000002</v>
      </c>
      <c r="J429" s="17">
        <f t="shared" si="458"/>
        <v>296.46666666666664</v>
      </c>
      <c r="K429" s="17">
        <f t="shared" si="459"/>
        <v>296.39999999999998</v>
      </c>
      <c r="L429" s="17">
        <f t="shared" si="460"/>
        <v>296.26666666666665</v>
      </c>
      <c r="M429" s="17">
        <f t="shared" si="461"/>
        <v>296.06666666666666</v>
      </c>
    </row>
    <row r="430" spans="1:13" x14ac:dyDescent="0.35">
      <c r="B430" s="2">
        <v>30</v>
      </c>
      <c r="C430" s="2">
        <f t="shared" si="451"/>
        <v>1307</v>
      </c>
      <c r="D430" s="2">
        <f t="shared" si="452"/>
        <v>1277</v>
      </c>
      <c r="E430" s="3">
        <f t="shared" si="453"/>
        <v>8939</v>
      </c>
      <c r="F430" s="17">
        <f t="shared" si="454"/>
        <v>297.93333333333334</v>
      </c>
      <c r="G430" s="17">
        <f t="shared" si="455"/>
        <v>297.73333333333335</v>
      </c>
      <c r="H430" s="17">
        <f t="shared" si="456"/>
        <v>297.60000000000002</v>
      </c>
      <c r="I430" s="17">
        <f t="shared" si="457"/>
        <v>297.53333333333336</v>
      </c>
      <c r="J430" s="17">
        <f t="shared" si="458"/>
        <v>297.39999999999998</v>
      </c>
      <c r="K430" s="17">
        <f t="shared" si="459"/>
        <v>297.33333333333331</v>
      </c>
      <c r="L430" s="17">
        <f t="shared" si="460"/>
        <v>297.2</v>
      </c>
      <c r="M430" s="17">
        <f t="shared" si="461"/>
        <v>297</v>
      </c>
    </row>
    <row r="431" spans="1:13" x14ac:dyDescent="0.35">
      <c r="B431" s="2">
        <v>30</v>
      </c>
      <c r="C431" s="2">
        <f t="shared" si="451"/>
        <v>1309</v>
      </c>
      <c r="D431" s="2">
        <f t="shared" si="452"/>
        <v>1279</v>
      </c>
      <c r="E431" s="3">
        <f t="shared" si="453"/>
        <v>8953</v>
      </c>
      <c r="F431" s="17">
        <f t="shared" si="454"/>
        <v>298.39999999999998</v>
      </c>
      <c r="G431" s="17">
        <f t="shared" si="455"/>
        <v>298.2</v>
      </c>
      <c r="H431" s="17">
        <f t="shared" si="456"/>
        <v>298.06666666666666</v>
      </c>
      <c r="I431" s="17">
        <f t="shared" si="457"/>
        <v>298</v>
      </c>
      <c r="J431" s="17">
        <f t="shared" si="458"/>
        <v>297.86666666666667</v>
      </c>
      <c r="K431" s="17">
        <f t="shared" si="459"/>
        <v>297.8</v>
      </c>
      <c r="L431" s="17">
        <f t="shared" si="460"/>
        <v>297.66666666666669</v>
      </c>
      <c r="M431" s="17">
        <f t="shared" si="461"/>
        <v>297.46666666666664</v>
      </c>
    </row>
    <row r="432" spans="1:13" x14ac:dyDescent="0.35">
      <c r="B432" s="2">
        <v>30</v>
      </c>
      <c r="C432" s="2">
        <f t="shared" si="451"/>
        <v>1313</v>
      </c>
      <c r="D432" s="2">
        <f t="shared" si="452"/>
        <v>1283</v>
      </c>
      <c r="E432" s="3">
        <f t="shared" si="453"/>
        <v>8981</v>
      </c>
      <c r="F432" s="17">
        <f t="shared" si="454"/>
        <v>299.33333333333331</v>
      </c>
      <c r="G432" s="17">
        <f t="shared" si="455"/>
        <v>299.13333333333333</v>
      </c>
      <c r="H432" s="17">
        <f t="shared" si="456"/>
        <v>299</v>
      </c>
      <c r="I432" s="17">
        <f t="shared" si="457"/>
        <v>298.93333333333334</v>
      </c>
      <c r="J432" s="17">
        <f t="shared" si="458"/>
        <v>298.8</v>
      </c>
      <c r="K432" s="17">
        <f t="shared" si="459"/>
        <v>298.73333333333335</v>
      </c>
      <c r="L432" s="17">
        <f t="shared" si="460"/>
        <v>298.60000000000002</v>
      </c>
      <c r="M432" s="17">
        <f t="shared" si="461"/>
        <v>298.39999999999998</v>
      </c>
    </row>
    <row r="433" spans="1:13" x14ac:dyDescent="0.35">
      <c r="B433" s="2">
        <v>30</v>
      </c>
      <c r="C433" s="2">
        <f t="shared" si="451"/>
        <v>1319</v>
      </c>
      <c r="D433" s="2">
        <f t="shared" si="452"/>
        <v>1289</v>
      </c>
      <c r="E433" s="3">
        <f t="shared" si="453"/>
        <v>9023</v>
      </c>
      <c r="F433" s="17">
        <f t="shared" si="454"/>
        <v>300.73333333333335</v>
      </c>
      <c r="G433" s="17">
        <f t="shared" si="455"/>
        <v>300.53333333333336</v>
      </c>
      <c r="H433" s="17">
        <f t="shared" si="456"/>
        <v>300.39999999999998</v>
      </c>
      <c r="I433" s="17">
        <f t="shared" si="457"/>
        <v>300.33333333333331</v>
      </c>
      <c r="J433" s="17">
        <f t="shared" si="458"/>
        <v>300.2</v>
      </c>
      <c r="K433" s="17">
        <f t="shared" si="459"/>
        <v>300.13333333333333</v>
      </c>
      <c r="L433" s="17">
        <f t="shared" si="460"/>
        <v>300</v>
      </c>
      <c r="M433" s="17">
        <f t="shared" si="461"/>
        <v>299.8</v>
      </c>
    </row>
    <row r="434" spans="1:13" ht="16.8" thickBot="1" x14ac:dyDescent="0.4">
      <c r="F434" s="17"/>
      <c r="G434" s="17"/>
      <c r="H434" s="17"/>
      <c r="I434" s="17"/>
      <c r="J434" s="17"/>
      <c r="K434" s="17"/>
      <c r="L434" s="17"/>
      <c r="M434" s="17"/>
    </row>
    <row r="435" spans="1:13" ht="16.8" thickBot="1" x14ac:dyDescent="0.4">
      <c r="A435" s="1">
        <f>A425+1</f>
        <v>44</v>
      </c>
      <c r="C435" s="18" t="s">
        <v>2</v>
      </c>
      <c r="E435" s="13">
        <f>E416</f>
        <v>8617</v>
      </c>
      <c r="F435" s="19">
        <v>1</v>
      </c>
      <c r="G435" s="20">
        <v>7</v>
      </c>
      <c r="H435" s="20">
        <v>11</v>
      </c>
      <c r="I435" s="20">
        <v>13</v>
      </c>
      <c r="J435" s="20">
        <v>17</v>
      </c>
      <c r="K435" s="20">
        <v>19</v>
      </c>
      <c r="L435" s="20">
        <v>23</v>
      </c>
      <c r="M435" s="21">
        <v>29</v>
      </c>
    </row>
    <row r="436" spans="1:13" x14ac:dyDescent="0.35">
      <c r="B436" s="2">
        <v>30</v>
      </c>
      <c r="C436" s="2">
        <f>D436+B436</f>
        <v>1321</v>
      </c>
      <c r="D436" s="2">
        <f>C426</f>
        <v>1291</v>
      </c>
      <c r="E436" s="3">
        <f>D436*$E$5</f>
        <v>9037</v>
      </c>
      <c r="F436" s="17">
        <f>(E436-1)/30</f>
        <v>301.2</v>
      </c>
      <c r="G436" s="17">
        <f>($E436-7)/30</f>
        <v>301</v>
      </c>
      <c r="H436" s="17">
        <f>($E436-11)/30</f>
        <v>300.86666666666667</v>
      </c>
      <c r="I436" s="17">
        <f>($E436-13)/30</f>
        <v>300.8</v>
      </c>
      <c r="J436" s="17">
        <f>($E436-17)/30</f>
        <v>300.66666666666669</v>
      </c>
      <c r="K436" s="17">
        <f>($E436-19)/30</f>
        <v>300.60000000000002</v>
      </c>
      <c r="L436" s="17">
        <f>($E436-23)/30</f>
        <v>300.46666666666664</v>
      </c>
      <c r="M436" s="17">
        <f>($E436-29)/30</f>
        <v>300.26666666666665</v>
      </c>
    </row>
    <row r="437" spans="1:13" x14ac:dyDescent="0.35">
      <c r="B437" s="2">
        <v>30</v>
      </c>
      <c r="C437" s="2">
        <f t="shared" ref="C437:C443" si="462">D437+B437</f>
        <v>1327</v>
      </c>
      <c r="D437" s="2">
        <f t="shared" ref="D437:D443" si="463">C427</f>
        <v>1297</v>
      </c>
      <c r="E437" s="3">
        <f t="shared" ref="E437:E443" si="464">D437*$E$5</f>
        <v>9079</v>
      </c>
      <c r="F437" s="17">
        <f t="shared" ref="F437:F443" si="465">(E437-1)/30</f>
        <v>302.60000000000002</v>
      </c>
      <c r="G437" s="17">
        <f t="shared" ref="G437:G443" si="466">($E437-7)/30</f>
        <v>302.39999999999998</v>
      </c>
      <c r="H437" s="17">
        <f t="shared" ref="H437:H443" si="467">($E437-11)/30</f>
        <v>302.26666666666665</v>
      </c>
      <c r="I437" s="17">
        <f t="shared" ref="I437:I443" si="468">($E437-13)/30</f>
        <v>302.2</v>
      </c>
      <c r="J437" s="17">
        <f t="shared" ref="J437:J443" si="469">($E437-17)/30</f>
        <v>302.06666666666666</v>
      </c>
      <c r="K437" s="17">
        <f t="shared" ref="K437:K443" si="470">($E437-19)/30</f>
        <v>302</v>
      </c>
      <c r="L437" s="17">
        <f t="shared" ref="L437:L443" si="471">($E437-23)/30</f>
        <v>301.86666666666667</v>
      </c>
      <c r="M437" s="17">
        <f t="shared" ref="M437:M443" si="472">($E437-29)/30</f>
        <v>301.66666666666669</v>
      </c>
    </row>
    <row r="438" spans="1:13" x14ac:dyDescent="0.35">
      <c r="B438" s="2">
        <v>30</v>
      </c>
      <c r="C438" s="2">
        <f t="shared" si="462"/>
        <v>1331</v>
      </c>
      <c r="D438" s="2">
        <f t="shared" si="463"/>
        <v>1301</v>
      </c>
      <c r="E438" s="3">
        <f t="shared" si="464"/>
        <v>9107</v>
      </c>
      <c r="F438" s="17">
        <f t="shared" si="465"/>
        <v>303.53333333333336</v>
      </c>
      <c r="G438" s="17">
        <f t="shared" si="466"/>
        <v>303.33333333333331</v>
      </c>
      <c r="H438" s="17">
        <f t="shared" si="467"/>
        <v>303.2</v>
      </c>
      <c r="I438" s="17">
        <f t="shared" si="468"/>
        <v>303.13333333333333</v>
      </c>
      <c r="J438" s="17">
        <f t="shared" si="469"/>
        <v>303</v>
      </c>
      <c r="K438" s="17">
        <f t="shared" si="470"/>
        <v>302.93333333333334</v>
      </c>
      <c r="L438" s="17">
        <f t="shared" si="471"/>
        <v>302.8</v>
      </c>
      <c r="M438" s="17">
        <f t="shared" si="472"/>
        <v>302.60000000000002</v>
      </c>
    </row>
    <row r="439" spans="1:13" x14ac:dyDescent="0.35">
      <c r="B439" s="2">
        <v>30</v>
      </c>
      <c r="C439" s="2">
        <f t="shared" si="462"/>
        <v>1333</v>
      </c>
      <c r="D439" s="2">
        <f t="shared" si="463"/>
        <v>1303</v>
      </c>
      <c r="E439" s="3">
        <f t="shared" si="464"/>
        <v>9121</v>
      </c>
      <c r="F439" s="17">
        <f t="shared" si="465"/>
        <v>304</v>
      </c>
      <c r="G439" s="17">
        <f t="shared" si="466"/>
        <v>303.8</v>
      </c>
      <c r="H439" s="17">
        <f t="shared" si="467"/>
        <v>303.66666666666669</v>
      </c>
      <c r="I439" s="17">
        <f t="shared" si="468"/>
        <v>303.60000000000002</v>
      </c>
      <c r="J439" s="17">
        <f t="shared" si="469"/>
        <v>303.46666666666664</v>
      </c>
      <c r="K439" s="17">
        <f t="shared" si="470"/>
        <v>303.39999999999998</v>
      </c>
      <c r="L439" s="17">
        <f t="shared" si="471"/>
        <v>303.26666666666665</v>
      </c>
      <c r="M439" s="17">
        <f t="shared" si="472"/>
        <v>303.06666666666666</v>
      </c>
    </row>
    <row r="440" spans="1:13" x14ac:dyDescent="0.35">
      <c r="B440" s="2">
        <v>30</v>
      </c>
      <c r="C440" s="2">
        <f t="shared" si="462"/>
        <v>1337</v>
      </c>
      <c r="D440" s="2">
        <f t="shared" si="463"/>
        <v>1307</v>
      </c>
      <c r="E440" s="3">
        <f t="shared" si="464"/>
        <v>9149</v>
      </c>
      <c r="F440" s="17">
        <f t="shared" si="465"/>
        <v>304.93333333333334</v>
      </c>
      <c r="G440" s="17">
        <f t="shared" si="466"/>
        <v>304.73333333333335</v>
      </c>
      <c r="H440" s="17">
        <f t="shared" si="467"/>
        <v>304.60000000000002</v>
      </c>
      <c r="I440" s="17">
        <f t="shared" si="468"/>
        <v>304.53333333333336</v>
      </c>
      <c r="J440" s="17">
        <f t="shared" si="469"/>
        <v>304.39999999999998</v>
      </c>
      <c r="K440" s="17">
        <f t="shared" si="470"/>
        <v>304.33333333333331</v>
      </c>
      <c r="L440" s="17">
        <f t="shared" si="471"/>
        <v>304.2</v>
      </c>
      <c r="M440" s="17">
        <f t="shared" si="472"/>
        <v>304</v>
      </c>
    </row>
    <row r="441" spans="1:13" x14ac:dyDescent="0.35">
      <c r="B441" s="2">
        <v>30</v>
      </c>
      <c r="C441" s="2">
        <f t="shared" si="462"/>
        <v>1339</v>
      </c>
      <c r="D441" s="2">
        <f t="shared" si="463"/>
        <v>1309</v>
      </c>
      <c r="E441" s="3">
        <f t="shared" si="464"/>
        <v>9163</v>
      </c>
      <c r="F441" s="17">
        <f t="shared" si="465"/>
        <v>305.39999999999998</v>
      </c>
      <c r="G441" s="17">
        <f t="shared" si="466"/>
        <v>305.2</v>
      </c>
      <c r="H441" s="17">
        <f t="shared" si="467"/>
        <v>305.06666666666666</v>
      </c>
      <c r="I441" s="17">
        <f t="shared" si="468"/>
        <v>305</v>
      </c>
      <c r="J441" s="17">
        <f t="shared" si="469"/>
        <v>304.86666666666667</v>
      </c>
      <c r="K441" s="17">
        <f t="shared" si="470"/>
        <v>304.8</v>
      </c>
      <c r="L441" s="17">
        <f t="shared" si="471"/>
        <v>304.66666666666669</v>
      </c>
      <c r="M441" s="17">
        <f t="shared" si="472"/>
        <v>304.46666666666664</v>
      </c>
    </row>
    <row r="442" spans="1:13" x14ac:dyDescent="0.35">
      <c r="B442" s="2">
        <v>30</v>
      </c>
      <c r="C442" s="2">
        <f t="shared" si="462"/>
        <v>1343</v>
      </c>
      <c r="D442" s="2">
        <f t="shared" si="463"/>
        <v>1313</v>
      </c>
      <c r="E442" s="3">
        <f t="shared" si="464"/>
        <v>9191</v>
      </c>
      <c r="F442" s="17">
        <f t="shared" si="465"/>
        <v>306.33333333333331</v>
      </c>
      <c r="G442" s="17">
        <f t="shared" si="466"/>
        <v>306.13333333333333</v>
      </c>
      <c r="H442" s="17">
        <f t="shared" si="467"/>
        <v>306</v>
      </c>
      <c r="I442" s="17">
        <f t="shared" si="468"/>
        <v>305.93333333333334</v>
      </c>
      <c r="J442" s="17">
        <f t="shared" si="469"/>
        <v>305.8</v>
      </c>
      <c r="K442" s="17">
        <f t="shared" si="470"/>
        <v>305.73333333333335</v>
      </c>
      <c r="L442" s="17">
        <f t="shared" si="471"/>
        <v>305.60000000000002</v>
      </c>
      <c r="M442" s="17">
        <f t="shared" si="472"/>
        <v>305.39999999999998</v>
      </c>
    </row>
    <row r="443" spans="1:13" x14ac:dyDescent="0.35">
      <c r="B443" s="2">
        <v>30</v>
      </c>
      <c r="C443" s="2">
        <f t="shared" si="462"/>
        <v>1349</v>
      </c>
      <c r="D443" s="2">
        <f t="shared" si="463"/>
        <v>1319</v>
      </c>
      <c r="E443" s="3">
        <f t="shared" si="464"/>
        <v>9233</v>
      </c>
      <c r="F443" s="17">
        <f t="shared" si="465"/>
        <v>307.73333333333335</v>
      </c>
      <c r="G443" s="17">
        <f t="shared" si="466"/>
        <v>307.53333333333336</v>
      </c>
      <c r="H443" s="17">
        <f t="shared" si="467"/>
        <v>307.39999999999998</v>
      </c>
      <c r="I443" s="17">
        <f t="shared" si="468"/>
        <v>307.33333333333331</v>
      </c>
      <c r="J443" s="17">
        <f t="shared" si="469"/>
        <v>307.2</v>
      </c>
      <c r="K443" s="17">
        <f t="shared" si="470"/>
        <v>307.13333333333333</v>
      </c>
      <c r="L443" s="17">
        <f t="shared" si="471"/>
        <v>307</v>
      </c>
      <c r="M443" s="17">
        <f t="shared" si="472"/>
        <v>306.8</v>
      </c>
    </row>
    <row r="444" spans="1:13" ht="16.8" thickBot="1" x14ac:dyDescent="0.4">
      <c r="F444" s="17"/>
      <c r="G444" s="17"/>
      <c r="H444" s="17"/>
      <c r="I444" s="17"/>
      <c r="J444" s="17"/>
      <c r="K444" s="17"/>
      <c r="L444" s="17"/>
      <c r="M444" s="17"/>
    </row>
    <row r="445" spans="1:13" ht="16.8" thickBot="1" x14ac:dyDescent="0.4">
      <c r="A445" s="1">
        <f>A435+1</f>
        <v>45</v>
      </c>
      <c r="C445" s="18" t="s">
        <v>2</v>
      </c>
      <c r="E445" s="13">
        <f>E426</f>
        <v>8827</v>
      </c>
      <c r="F445" s="19">
        <v>1</v>
      </c>
      <c r="G445" s="20">
        <v>7</v>
      </c>
      <c r="H445" s="20">
        <v>11</v>
      </c>
      <c r="I445" s="20">
        <v>13</v>
      </c>
      <c r="J445" s="20">
        <v>17</v>
      </c>
      <c r="K445" s="20">
        <v>19</v>
      </c>
      <c r="L445" s="20">
        <v>23</v>
      </c>
      <c r="M445" s="21">
        <v>29</v>
      </c>
    </row>
    <row r="446" spans="1:13" x14ac:dyDescent="0.35">
      <c r="B446" s="2">
        <v>30</v>
      </c>
      <c r="C446" s="2">
        <f>D446+B446</f>
        <v>1351</v>
      </c>
      <c r="D446" s="2">
        <f>C436</f>
        <v>1321</v>
      </c>
      <c r="E446" s="3">
        <f>D446*$E$5</f>
        <v>9247</v>
      </c>
      <c r="F446" s="17">
        <f>(E446-1)/30</f>
        <v>308.2</v>
      </c>
      <c r="G446" s="17">
        <f>($E446-7)/30</f>
        <v>308</v>
      </c>
      <c r="H446" s="17">
        <f>($E446-11)/30</f>
        <v>307.86666666666667</v>
      </c>
      <c r="I446" s="17">
        <f>($E446-13)/30</f>
        <v>307.8</v>
      </c>
      <c r="J446" s="17">
        <f>($E446-17)/30</f>
        <v>307.66666666666669</v>
      </c>
      <c r="K446" s="17">
        <f>($E446-19)/30</f>
        <v>307.60000000000002</v>
      </c>
      <c r="L446" s="17">
        <f>($E446-23)/30</f>
        <v>307.46666666666664</v>
      </c>
      <c r="M446" s="17">
        <f>($E446-29)/30</f>
        <v>307.26666666666665</v>
      </c>
    </row>
    <row r="447" spans="1:13" x14ac:dyDescent="0.35">
      <c r="B447" s="2">
        <v>30</v>
      </c>
      <c r="C447" s="2">
        <f t="shared" ref="C447:C453" si="473">D447+B447</f>
        <v>1357</v>
      </c>
      <c r="D447" s="2">
        <f t="shared" ref="D447:D453" si="474">C437</f>
        <v>1327</v>
      </c>
      <c r="E447" s="3">
        <f t="shared" ref="E447:E453" si="475">D447*$E$5</f>
        <v>9289</v>
      </c>
      <c r="F447" s="17">
        <f t="shared" ref="F447:F453" si="476">(E447-1)/30</f>
        <v>309.60000000000002</v>
      </c>
      <c r="G447" s="17">
        <f t="shared" ref="G447:G453" si="477">($E447-7)/30</f>
        <v>309.39999999999998</v>
      </c>
      <c r="H447" s="17">
        <f t="shared" ref="H447:H453" si="478">($E447-11)/30</f>
        <v>309.26666666666665</v>
      </c>
      <c r="I447" s="17">
        <f t="shared" ref="I447:I453" si="479">($E447-13)/30</f>
        <v>309.2</v>
      </c>
      <c r="J447" s="17">
        <f t="shared" ref="J447:J453" si="480">($E447-17)/30</f>
        <v>309.06666666666666</v>
      </c>
      <c r="K447" s="17">
        <f t="shared" ref="K447:K453" si="481">($E447-19)/30</f>
        <v>309</v>
      </c>
      <c r="L447" s="17">
        <f t="shared" ref="L447:L453" si="482">($E447-23)/30</f>
        <v>308.86666666666667</v>
      </c>
      <c r="M447" s="17">
        <f t="shared" ref="M447:M453" si="483">($E447-29)/30</f>
        <v>308.66666666666669</v>
      </c>
    </row>
    <row r="448" spans="1:13" x14ac:dyDescent="0.35">
      <c r="B448" s="2">
        <v>30</v>
      </c>
      <c r="C448" s="2">
        <f t="shared" si="473"/>
        <v>1361</v>
      </c>
      <c r="D448" s="2">
        <f t="shared" si="474"/>
        <v>1331</v>
      </c>
      <c r="E448" s="3">
        <f t="shared" si="475"/>
        <v>9317</v>
      </c>
      <c r="F448" s="17">
        <f t="shared" si="476"/>
        <v>310.53333333333336</v>
      </c>
      <c r="G448" s="17">
        <f t="shared" si="477"/>
        <v>310.33333333333331</v>
      </c>
      <c r="H448" s="17">
        <f t="shared" si="478"/>
        <v>310.2</v>
      </c>
      <c r="I448" s="17">
        <f t="shared" si="479"/>
        <v>310.13333333333333</v>
      </c>
      <c r="J448" s="17">
        <f t="shared" si="480"/>
        <v>310</v>
      </c>
      <c r="K448" s="17">
        <f t="shared" si="481"/>
        <v>309.93333333333334</v>
      </c>
      <c r="L448" s="17">
        <f t="shared" si="482"/>
        <v>309.8</v>
      </c>
      <c r="M448" s="17">
        <f t="shared" si="483"/>
        <v>309.60000000000002</v>
      </c>
    </row>
    <row r="449" spans="1:13" x14ac:dyDescent="0.35">
      <c r="B449" s="2">
        <v>30</v>
      </c>
      <c r="C449" s="2">
        <f t="shared" si="473"/>
        <v>1363</v>
      </c>
      <c r="D449" s="2">
        <f t="shared" si="474"/>
        <v>1333</v>
      </c>
      <c r="E449" s="3">
        <f t="shared" si="475"/>
        <v>9331</v>
      </c>
      <c r="F449" s="17">
        <f t="shared" si="476"/>
        <v>311</v>
      </c>
      <c r="G449" s="17">
        <f t="shared" si="477"/>
        <v>310.8</v>
      </c>
      <c r="H449" s="17">
        <f t="shared" si="478"/>
        <v>310.66666666666669</v>
      </c>
      <c r="I449" s="17">
        <f t="shared" si="479"/>
        <v>310.60000000000002</v>
      </c>
      <c r="J449" s="17">
        <f t="shared" si="480"/>
        <v>310.46666666666664</v>
      </c>
      <c r="K449" s="17">
        <f t="shared" si="481"/>
        <v>310.39999999999998</v>
      </c>
      <c r="L449" s="17">
        <f t="shared" si="482"/>
        <v>310.26666666666665</v>
      </c>
      <c r="M449" s="17">
        <f t="shared" si="483"/>
        <v>310.06666666666666</v>
      </c>
    </row>
    <row r="450" spans="1:13" x14ac:dyDescent="0.35">
      <c r="B450" s="2">
        <v>30</v>
      </c>
      <c r="C450" s="2">
        <f t="shared" si="473"/>
        <v>1367</v>
      </c>
      <c r="D450" s="2">
        <f t="shared" si="474"/>
        <v>1337</v>
      </c>
      <c r="E450" s="3">
        <f t="shared" si="475"/>
        <v>9359</v>
      </c>
      <c r="F450" s="17">
        <f t="shared" si="476"/>
        <v>311.93333333333334</v>
      </c>
      <c r="G450" s="17">
        <f t="shared" si="477"/>
        <v>311.73333333333335</v>
      </c>
      <c r="H450" s="17">
        <f t="shared" si="478"/>
        <v>311.60000000000002</v>
      </c>
      <c r="I450" s="17">
        <f t="shared" si="479"/>
        <v>311.53333333333336</v>
      </c>
      <c r="J450" s="17">
        <f t="shared" si="480"/>
        <v>311.39999999999998</v>
      </c>
      <c r="K450" s="17">
        <f t="shared" si="481"/>
        <v>311.33333333333331</v>
      </c>
      <c r="L450" s="17">
        <f t="shared" si="482"/>
        <v>311.2</v>
      </c>
      <c r="M450" s="17">
        <f t="shared" si="483"/>
        <v>311</v>
      </c>
    </row>
    <row r="451" spans="1:13" x14ac:dyDescent="0.35">
      <c r="B451" s="2">
        <v>30</v>
      </c>
      <c r="C451" s="2">
        <f t="shared" si="473"/>
        <v>1369</v>
      </c>
      <c r="D451" s="2">
        <f t="shared" si="474"/>
        <v>1339</v>
      </c>
      <c r="E451" s="3">
        <f t="shared" si="475"/>
        <v>9373</v>
      </c>
      <c r="F451" s="17">
        <f t="shared" si="476"/>
        <v>312.39999999999998</v>
      </c>
      <c r="G451" s="17">
        <f t="shared" si="477"/>
        <v>312.2</v>
      </c>
      <c r="H451" s="17">
        <f t="shared" si="478"/>
        <v>312.06666666666666</v>
      </c>
      <c r="I451" s="17">
        <f t="shared" si="479"/>
        <v>312</v>
      </c>
      <c r="J451" s="17">
        <f t="shared" si="480"/>
        <v>311.86666666666667</v>
      </c>
      <c r="K451" s="17">
        <f t="shared" si="481"/>
        <v>311.8</v>
      </c>
      <c r="L451" s="17">
        <f t="shared" si="482"/>
        <v>311.66666666666669</v>
      </c>
      <c r="M451" s="17">
        <f t="shared" si="483"/>
        <v>311.46666666666664</v>
      </c>
    </row>
    <row r="452" spans="1:13" x14ac:dyDescent="0.35">
      <c r="B452" s="2">
        <v>30</v>
      </c>
      <c r="C452" s="2">
        <f t="shared" si="473"/>
        <v>1373</v>
      </c>
      <c r="D452" s="2">
        <f t="shared" si="474"/>
        <v>1343</v>
      </c>
      <c r="E452" s="3">
        <f t="shared" si="475"/>
        <v>9401</v>
      </c>
      <c r="F452" s="17">
        <f t="shared" si="476"/>
        <v>313.33333333333331</v>
      </c>
      <c r="G452" s="17">
        <f t="shared" si="477"/>
        <v>313.13333333333333</v>
      </c>
      <c r="H452" s="17">
        <f t="shared" si="478"/>
        <v>313</v>
      </c>
      <c r="I452" s="17">
        <f t="shared" si="479"/>
        <v>312.93333333333334</v>
      </c>
      <c r="J452" s="17">
        <f t="shared" si="480"/>
        <v>312.8</v>
      </c>
      <c r="K452" s="17">
        <f t="shared" si="481"/>
        <v>312.73333333333335</v>
      </c>
      <c r="L452" s="17">
        <f t="shared" si="482"/>
        <v>312.60000000000002</v>
      </c>
      <c r="M452" s="17">
        <f t="shared" si="483"/>
        <v>312.39999999999998</v>
      </c>
    </row>
    <row r="453" spans="1:13" x14ac:dyDescent="0.35">
      <c r="B453" s="2">
        <v>30</v>
      </c>
      <c r="C453" s="2">
        <f t="shared" si="473"/>
        <v>1379</v>
      </c>
      <c r="D453" s="2">
        <f t="shared" si="474"/>
        <v>1349</v>
      </c>
      <c r="E453" s="3">
        <f t="shared" si="475"/>
        <v>9443</v>
      </c>
      <c r="F453" s="17">
        <f t="shared" si="476"/>
        <v>314.73333333333335</v>
      </c>
      <c r="G453" s="17">
        <f t="shared" si="477"/>
        <v>314.53333333333336</v>
      </c>
      <c r="H453" s="17">
        <f t="shared" si="478"/>
        <v>314.39999999999998</v>
      </c>
      <c r="I453" s="17">
        <f t="shared" si="479"/>
        <v>314.33333333333331</v>
      </c>
      <c r="J453" s="17">
        <f t="shared" si="480"/>
        <v>314.2</v>
      </c>
      <c r="K453" s="17">
        <f t="shared" si="481"/>
        <v>314.13333333333333</v>
      </c>
      <c r="L453" s="17">
        <f t="shared" si="482"/>
        <v>314</v>
      </c>
      <c r="M453" s="17">
        <f t="shared" si="483"/>
        <v>313.8</v>
      </c>
    </row>
    <row r="454" spans="1:13" ht="16.8" thickBot="1" x14ac:dyDescent="0.4">
      <c r="F454" s="17"/>
      <c r="G454" s="17"/>
      <c r="H454" s="17"/>
      <c r="I454" s="17"/>
      <c r="J454" s="17"/>
      <c r="K454" s="17"/>
      <c r="L454" s="17"/>
      <c r="M454" s="17"/>
    </row>
    <row r="455" spans="1:13" ht="16.8" thickBot="1" x14ac:dyDescent="0.4">
      <c r="A455" s="1">
        <f>A445+1</f>
        <v>46</v>
      </c>
      <c r="C455" s="18" t="s">
        <v>2</v>
      </c>
      <c r="E455" s="13">
        <f>E436</f>
        <v>9037</v>
      </c>
      <c r="F455" s="19">
        <v>1</v>
      </c>
      <c r="G455" s="20">
        <v>7</v>
      </c>
      <c r="H455" s="20">
        <v>11</v>
      </c>
      <c r="I455" s="20">
        <v>13</v>
      </c>
      <c r="J455" s="20">
        <v>17</v>
      </c>
      <c r="K455" s="20">
        <v>19</v>
      </c>
      <c r="L455" s="20">
        <v>23</v>
      </c>
      <c r="M455" s="21">
        <v>29</v>
      </c>
    </row>
    <row r="456" spans="1:13" x14ac:dyDescent="0.35">
      <c r="B456" s="2">
        <v>30</v>
      </c>
      <c r="C456" s="2">
        <f>D456+B456</f>
        <v>1381</v>
      </c>
      <c r="D456" s="2">
        <f>C446</f>
        <v>1351</v>
      </c>
      <c r="E456" s="3">
        <f>D456*$E$5</f>
        <v>9457</v>
      </c>
      <c r="F456" s="17">
        <f>(E456-1)/30</f>
        <v>315.2</v>
      </c>
      <c r="G456" s="17">
        <f>($E456-7)/30</f>
        <v>315</v>
      </c>
      <c r="H456" s="17">
        <f>($E456-11)/30</f>
        <v>314.86666666666667</v>
      </c>
      <c r="I456" s="17">
        <f>($E456-13)/30</f>
        <v>314.8</v>
      </c>
      <c r="J456" s="17">
        <f>($E456-17)/30</f>
        <v>314.66666666666669</v>
      </c>
      <c r="K456" s="17">
        <f>($E456-19)/30</f>
        <v>314.60000000000002</v>
      </c>
      <c r="L456" s="17">
        <f>($E456-23)/30</f>
        <v>314.46666666666664</v>
      </c>
      <c r="M456" s="17">
        <f>($E456-29)/30</f>
        <v>314.26666666666665</v>
      </c>
    </row>
    <row r="457" spans="1:13" x14ac:dyDescent="0.35">
      <c r="B457" s="2">
        <v>30</v>
      </c>
      <c r="C457" s="2">
        <f t="shared" ref="C457:C463" si="484">D457+B457</f>
        <v>1387</v>
      </c>
      <c r="D457" s="2">
        <f t="shared" ref="D457:D463" si="485">C447</f>
        <v>1357</v>
      </c>
      <c r="E457" s="3">
        <f t="shared" ref="E457:E463" si="486">D457*$E$5</f>
        <v>9499</v>
      </c>
      <c r="F457" s="17">
        <f t="shared" ref="F457:F463" si="487">(E457-1)/30</f>
        <v>316.60000000000002</v>
      </c>
      <c r="G457" s="17">
        <f t="shared" ref="G457:G463" si="488">($E457-7)/30</f>
        <v>316.39999999999998</v>
      </c>
      <c r="H457" s="17">
        <f t="shared" ref="H457:H463" si="489">($E457-11)/30</f>
        <v>316.26666666666665</v>
      </c>
      <c r="I457" s="17">
        <f t="shared" ref="I457:I463" si="490">($E457-13)/30</f>
        <v>316.2</v>
      </c>
      <c r="J457" s="17">
        <f t="shared" ref="J457:J463" si="491">($E457-17)/30</f>
        <v>316.06666666666666</v>
      </c>
      <c r="K457" s="17">
        <f t="shared" ref="K457:K463" si="492">($E457-19)/30</f>
        <v>316</v>
      </c>
      <c r="L457" s="17">
        <f t="shared" ref="L457:L463" si="493">($E457-23)/30</f>
        <v>315.86666666666667</v>
      </c>
      <c r="M457" s="17">
        <f t="shared" ref="M457:M463" si="494">($E457-29)/30</f>
        <v>315.66666666666669</v>
      </c>
    </row>
    <row r="458" spans="1:13" x14ac:dyDescent="0.35">
      <c r="B458" s="2">
        <v>30</v>
      </c>
      <c r="C458" s="2">
        <f t="shared" si="484"/>
        <v>1391</v>
      </c>
      <c r="D458" s="2">
        <f t="shared" si="485"/>
        <v>1361</v>
      </c>
      <c r="E458" s="3">
        <f t="shared" si="486"/>
        <v>9527</v>
      </c>
      <c r="F458" s="17">
        <f t="shared" si="487"/>
        <v>317.53333333333336</v>
      </c>
      <c r="G458" s="17">
        <f t="shared" si="488"/>
        <v>317.33333333333331</v>
      </c>
      <c r="H458" s="17">
        <f t="shared" si="489"/>
        <v>317.2</v>
      </c>
      <c r="I458" s="17">
        <f t="shared" si="490"/>
        <v>317.13333333333333</v>
      </c>
      <c r="J458" s="17">
        <f t="shared" si="491"/>
        <v>317</v>
      </c>
      <c r="K458" s="17">
        <f t="shared" si="492"/>
        <v>316.93333333333334</v>
      </c>
      <c r="L458" s="17">
        <f t="shared" si="493"/>
        <v>316.8</v>
      </c>
      <c r="M458" s="17">
        <f t="shared" si="494"/>
        <v>316.60000000000002</v>
      </c>
    </row>
    <row r="459" spans="1:13" x14ac:dyDescent="0.35">
      <c r="B459" s="2">
        <v>30</v>
      </c>
      <c r="C459" s="2">
        <f t="shared" si="484"/>
        <v>1393</v>
      </c>
      <c r="D459" s="2">
        <f t="shared" si="485"/>
        <v>1363</v>
      </c>
      <c r="E459" s="3">
        <f t="shared" si="486"/>
        <v>9541</v>
      </c>
      <c r="F459" s="17">
        <f t="shared" si="487"/>
        <v>318</v>
      </c>
      <c r="G459" s="17">
        <f t="shared" si="488"/>
        <v>317.8</v>
      </c>
      <c r="H459" s="17">
        <f t="shared" si="489"/>
        <v>317.66666666666669</v>
      </c>
      <c r="I459" s="17">
        <f t="shared" si="490"/>
        <v>317.60000000000002</v>
      </c>
      <c r="J459" s="17">
        <f t="shared" si="491"/>
        <v>317.46666666666664</v>
      </c>
      <c r="K459" s="17">
        <f t="shared" si="492"/>
        <v>317.39999999999998</v>
      </c>
      <c r="L459" s="17">
        <f t="shared" si="493"/>
        <v>317.26666666666665</v>
      </c>
      <c r="M459" s="17">
        <f t="shared" si="494"/>
        <v>317.06666666666666</v>
      </c>
    </row>
    <row r="460" spans="1:13" x14ac:dyDescent="0.35">
      <c r="B460" s="2">
        <v>30</v>
      </c>
      <c r="C460" s="2">
        <f t="shared" si="484"/>
        <v>1397</v>
      </c>
      <c r="D460" s="2">
        <f t="shared" si="485"/>
        <v>1367</v>
      </c>
      <c r="E460" s="3">
        <f t="shared" si="486"/>
        <v>9569</v>
      </c>
      <c r="F460" s="17">
        <f t="shared" si="487"/>
        <v>318.93333333333334</v>
      </c>
      <c r="G460" s="17">
        <f t="shared" si="488"/>
        <v>318.73333333333335</v>
      </c>
      <c r="H460" s="17">
        <f t="shared" si="489"/>
        <v>318.60000000000002</v>
      </c>
      <c r="I460" s="17">
        <f t="shared" si="490"/>
        <v>318.53333333333336</v>
      </c>
      <c r="J460" s="17">
        <f t="shared" si="491"/>
        <v>318.39999999999998</v>
      </c>
      <c r="K460" s="17">
        <f t="shared" si="492"/>
        <v>318.33333333333331</v>
      </c>
      <c r="L460" s="17">
        <f t="shared" si="493"/>
        <v>318.2</v>
      </c>
      <c r="M460" s="17">
        <f t="shared" si="494"/>
        <v>318</v>
      </c>
    </row>
    <row r="461" spans="1:13" x14ac:dyDescent="0.35">
      <c r="B461" s="2">
        <v>30</v>
      </c>
      <c r="C461" s="2">
        <f t="shared" si="484"/>
        <v>1399</v>
      </c>
      <c r="D461" s="2">
        <f t="shared" si="485"/>
        <v>1369</v>
      </c>
      <c r="E461" s="3">
        <f t="shared" si="486"/>
        <v>9583</v>
      </c>
      <c r="F461" s="17">
        <f t="shared" si="487"/>
        <v>319.39999999999998</v>
      </c>
      <c r="G461" s="17">
        <f t="shared" si="488"/>
        <v>319.2</v>
      </c>
      <c r="H461" s="17">
        <f t="shared" si="489"/>
        <v>319.06666666666666</v>
      </c>
      <c r="I461" s="17">
        <f t="shared" si="490"/>
        <v>319</v>
      </c>
      <c r="J461" s="17">
        <f t="shared" si="491"/>
        <v>318.86666666666667</v>
      </c>
      <c r="K461" s="17">
        <f t="shared" si="492"/>
        <v>318.8</v>
      </c>
      <c r="L461" s="17">
        <f t="shared" si="493"/>
        <v>318.66666666666669</v>
      </c>
      <c r="M461" s="17">
        <f t="shared" si="494"/>
        <v>318.46666666666664</v>
      </c>
    </row>
    <row r="462" spans="1:13" x14ac:dyDescent="0.35">
      <c r="B462" s="2">
        <v>30</v>
      </c>
      <c r="C462" s="2">
        <f t="shared" si="484"/>
        <v>1403</v>
      </c>
      <c r="D462" s="2">
        <f t="shared" si="485"/>
        <v>1373</v>
      </c>
      <c r="E462" s="3">
        <f t="shared" si="486"/>
        <v>9611</v>
      </c>
      <c r="F462" s="17">
        <f t="shared" si="487"/>
        <v>320.33333333333331</v>
      </c>
      <c r="G462" s="17">
        <f t="shared" si="488"/>
        <v>320.13333333333333</v>
      </c>
      <c r="H462" s="17">
        <f t="shared" si="489"/>
        <v>320</v>
      </c>
      <c r="I462" s="17">
        <f t="shared" si="490"/>
        <v>319.93333333333334</v>
      </c>
      <c r="J462" s="17">
        <f t="shared" si="491"/>
        <v>319.8</v>
      </c>
      <c r="K462" s="17">
        <f t="shared" si="492"/>
        <v>319.73333333333335</v>
      </c>
      <c r="L462" s="17">
        <f t="shared" si="493"/>
        <v>319.60000000000002</v>
      </c>
      <c r="M462" s="17">
        <f t="shared" si="494"/>
        <v>319.39999999999998</v>
      </c>
    </row>
    <row r="463" spans="1:13" x14ac:dyDescent="0.35">
      <c r="B463" s="2">
        <v>30</v>
      </c>
      <c r="C463" s="2">
        <f t="shared" si="484"/>
        <v>1409</v>
      </c>
      <c r="D463" s="2">
        <f t="shared" si="485"/>
        <v>1379</v>
      </c>
      <c r="E463" s="3">
        <f t="shared" si="486"/>
        <v>9653</v>
      </c>
      <c r="F463" s="17">
        <f t="shared" si="487"/>
        <v>321.73333333333335</v>
      </c>
      <c r="G463" s="17">
        <f t="shared" si="488"/>
        <v>321.53333333333336</v>
      </c>
      <c r="H463" s="17">
        <f t="shared" si="489"/>
        <v>321.39999999999998</v>
      </c>
      <c r="I463" s="17">
        <f t="shared" si="490"/>
        <v>321.33333333333331</v>
      </c>
      <c r="J463" s="17">
        <f t="shared" si="491"/>
        <v>321.2</v>
      </c>
      <c r="K463" s="17">
        <f t="shared" si="492"/>
        <v>321.13333333333333</v>
      </c>
      <c r="L463" s="17">
        <f t="shared" si="493"/>
        <v>321</v>
      </c>
      <c r="M463" s="17">
        <f t="shared" si="494"/>
        <v>320.8</v>
      </c>
    </row>
    <row r="464" spans="1:13" ht="16.8" thickBot="1" x14ac:dyDescent="0.4">
      <c r="F464" s="17"/>
      <c r="G464" s="17"/>
      <c r="H464" s="17"/>
      <c r="I464" s="17"/>
      <c r="J464" s="17"/>
      <c r="K464" s="17"/>
      <c r="L464" s="17"/>
      <c r="M464" s="17"/>
    </row>
    <row r="465" spans="1:13" ht="16.8" thickBot="1" x14ac:dyDescent="0.4">
      <c r="A465" s="1">
        <f>A455+1</f>
        <v>47</v>
      </c>
      <c r="C465" s="18" t="s">
        <v>2</v>
      </c>
      <c r="E465" s="13">
        <f>E446</f>
        <v>9247</v>
      </c>
      <c r="F465" s="19">
        <v>1</v>
      </c>
      <c r="G465" s="20">
        <v>7</v>
      </c>
      <c r="H465" s="20">
        <v>11</v>
      </c>
      <c r="I465" s="20">
        <v>13</v>
      </c>
      <c r="J465" s="20">
        <v>17</v>
      </c>
      <c r="K465" s="20">
        <v>19</v>
      </c>
      <c r="L465" s="20">
        <v>23</v>
      </c>
      <c r="M465" s="21">
        <v>29</v>
      </c>
    </row>
    <row r="466" spans="1:13" x14ac:dyDescent="0.35">
      <c r="B466" s="2">
        <v>30</v>
      </c>
      <c r="C466" s="2">
        <f>D466+B466</f>
        <v>1411</v>
      </c>
      <c r="D466" s="2">
        <f>C456</f>
        <v>1381</v>
      </c>
      <c r="E466" s="3">
        <f>D466*$E$5</f>
        <v>9667</v>
      </c>
      <c r="F466" s="17">
        <f>(E466-1)/30</f>
        <v>322.2</v>
      </c>
      <c r="G466" s="17">
        <f>($E466-7)/30</f>
        <v>322</v>
      </c>
      <c r="H466" s="17">
        <f>($E466-11)/30</f>
        <v>321.86666666666667</v>
      </c>
      <c r="I466" s="17">
        <f>($E466-13)/30</f>
        <v>321.8</v>
      </c>
      <c r="J466" s="17">
        <f>($E466-17)/30</f>
        <v>321.66666666666669</v>
      </c>
      <c r="K466" s="17">
        <f>($E466-19)/30</f>
        <v>321.60000000000002</v>
      </c>
      <c r="L466" s="17">
        <f>($E466-23)/30</f>
        <v>321.46666666666664</v>
      </c>
      <c r="M466" s="17">
        <f>($E466-29)/30</f>
        <v>321.26666666666665</v>
      </c>
    </row>
    <row r="467" spans="1:13" x14ac:dyDescent="0.35">
      <c r="B467" s="2">
        <v>30</v>
      </c>
      <c r="C467" s="2">
        <f t="shared" ref="C467:C473" si="495">D467+B467</f>
        <v>1417</v>
      </c>
      <c r="D467" s="2">
        <f t="shared" ref="D467:D473" si="496">C457</f>
        <v>1387</v>
      </c>
      <c r="E467" s="3">
        <f t="shared" ref="E467:E473" si="497">D467*$E$5</f>
        <v>9709</v>
      </c>
      <c r="F467" s="17">
        <f t="shared" ref="F467:F473" si="498">(E467-1)/30</f>
        <v>323.60000000000002</v>
      </c>
      <c r="G467" s="17">
        <f t="shared" ref="G467:G473" si="499">($E467-7)/30</f>
        <v>323.39999999999998</v>
      </c>
      <c r="H467" s="17">
        <f t="shared" ref="H467:H473" si="500">($E467-11)/30</f>
        <v>323.26666666666665</v>
      </c>
      <c r="I467" s="17">
        <f t="shared" ref="I467:I473" si="501">($E467-13)/30</f>
        <v>323.2</v>
      </c>
      <c r="J467" s="17">
        <f t="shared" ref="J467:J473" si="502">($E467-17)/30</f>
        <v>323.06666666666666</v>
      </c>
      <c r="K467" s="17">
        <f t="shared" ref="K467:K473" si="503">($E467-19)/30</f>
        <v>323</v>
      </c>
      <c r="L467" s="17">
        <f t="shared" ref="L467:L473" si="504">($E467-23)/30</f>
        <v>322.86666666666667</v>
      </c>
      <c r="M467" s="17">
        <f t="shared" ref="M467:M473" si="505">($E467-29)/30</f>
        <v>322.66666666666669</v>
      </c>
    </row>
    <row r="468" spans="1:13" x14ac:dyDescent="0.35">
      <c r="B468" s="2">
        <v>30</v>
      </c>
      <c r="C468" s="2">
        <f t="shared" si="495"/>
        <v>1421</v>
      </c>
      <c r="D468" s="2">
        <f t="shared" si="496"/>
        <v>1391</v>
      </c>
      <c r="E468" s="3">
        <f t="shared" si="497"/>
        <v>9737</v>
      </c>
      <c r="F468" s="17">
        <f t="shared" si="498"/>
        <v>324.53333333333336</v>
      </c>
      <c r="G468" s="17">
        <f t="shared" si="499"/>
        <v>324.33333333333331</v>
      </c>
      <c r="H468" s="17">
        <f t="shared" si="500"/>
        <v>324.2</v>
      </c>
      <c r="I468" s="17">
        <f t="shared" si="501"/>
        <v>324.13333333333333</v>
      </c>
      <c r="J468" s="17">
        <f t="shared" si="502"/>
        <v>324</v>
      </c>
      <c r="K468" s="17">
        <f t="shared" si="503"/>
        <v>323.93333333333334</v>
      </c>
      <c r="L468" s="17">
        <f t="shared" si="504"/>
        <v>323.8</v>
      </c>
      <c r="M468" s="17">
        <f t="shared" si="505"/>
        <v>323.60000000000002</v>
      </c>
    </row>
    <row r="469" spans="1:13" x14ac:dyDescent="0.35">
      <c r="B469" s="2">
        <v>30</v>
      </c>
      <c r="C469" s="2">
        <f t="shared" si="495"/>
        <v>1423</v>
      </c>
      <c r="D469" s="2">
        <f t="shared" si="496"/>
        <v>1393</v>
      </c>
      <c r="E469" s="3">
        <f t="shared" si="497"/>
        <v>9751</v>
      </c>
      <c r="F469" s="17">
        <f t="shared" si="498"/>
        <v>325</v>
      </c>
      <c r="G469" s="17">
        <f t="shared" si="499"/>
        <v>324.8</v>
      </c>
      <c r="H469" s="17">
        <f t="shared" si="500"/>
        <v>324.66666666666669</v>
      </c>
      <c r="I469" s="17">
        <f t="shared" si="501"/>
        <v>324.60000000000002</v>
      </c>
      <c r="J469" s="17">
        <f t="shared" si="502"/>
        <v>324.46666666666664</v>
      </c>
      <c r="K469" s="17">
        <f t="shared" si="503"/>
        <v>324.39999999999998</v>
      </c>
      <c r="L469" s="17">
        <f t="shared" si="504"/>
        <v>324.26666666666665</v>
      </c>
      <c r="M469" s="17">
        <f t="shared" si="505"/>
        <v>324.06666666666666</v>
      </c>
    </row>
    <row r="470" spans="1:13" x14ac:dyDescent="0.35">
      <c r="B470" s="2">
        <v>30</v>
      </c>
      <c r="C470" s="2">
        <f t="shared" si="495"/>
        <v>1427</v>
      </c>
      <c r="D470" s="2">
        <f t="shared" si="496"/>
        <v>1397</v>
      </c>
      <c r="E470" s="3">
        <f t="shared" si="497"/>
        <v>9779</v>
      </c>
      <c r="F470" s="17">
        <f t="shared" si="498"/>
        <v>325.93333333333334</v>
      </c>
      <c r="G470" s="17">
        <f t="shared" si="499"/>
        <v>325.73333333333335</v>
      </c>
      <c r="H470" s="17">
        <f t="shared" si="500"/>
        <v>325.60000000000002</v>
      </c>
      <c r="I470" s="17">
        <f t="shared" si="501"/>
        <v>325.53333333333336</v>
      </c>
      <c r="J470" s="17">
        <f t="shared" si="502"/>
        <v>325.39999999999998</v>
      </c>
      <c r="K470" s="17">
        <f t="shared" si="503"/>
        <v>325.33333333333331</v>
      </c>
      <c r="L470" s="17">
        <f t="shared" si="504"/>
        <v>325.2</v>
      </c>
      <c r="M470" s="17">
        <f t="shared" si="505"/>
        <v>325</v>
      </c>
    </row>
    <row r="471" spans="1:13" x14ac:dyDescent="0.35">
      <c r="B471" s="2">
        <v>30</v>
      </c>
      <c r="C471" s="2">
        <f t="shared" si="495"/>
        <v>1429</v>
      </c>
      <c r="D471" s="2">
        <f t="shared" si="496"/>
        <v>1399</v>
      </c>
      <c r="E471" s="3">
        <f t="shared" si="497"/>
        <v>9793</v>
      </c>
      <c r="F471" s="17">
        <f t="shared" si="498"/>
        <v>326.39999999999998</v>
      </c>
      <c r="G471" s="17">
        <f t="shared" si="499"/>
        <v>326.2</v>
      </c>
      <c r="H471" s="17">
        <f t="shared" si="500"/>
        <v>326.06666666666666</v>
      </c>
      <c r="I471" s="17">
        <f t="shared" si="501"/>
        <v>326</v>
      </c>
      <c r="J471" s="17">
        <f t="shared" si="502"/>
        <v>325.86666666666667</v>
      </c>
      <c r="K471" s="17">
        <f t="shared" si="503"/>
        <v>325.8</v>
      </c>
      <c r="L471" s="17">
        <f t="shared" si="504"/>
        <v>325.66666666666669</v>
      </c>
      <c r="M471" s="17">
        <f t="shared" si="505"/>
        <v>325.46666666666664</v>
      </c>
    </row>
    <row r="472" spans="1:13" x14ac:dyDescent="0.35">
      <c r="B472" s="2">
        <v>30</v>
      </c>
      <c r="C472" s="2">
        <f t="shared" si="495"/>
        <v>1433</v>
      </c>
      <c r="D472" s="2">
        <f t="shared" si="496"/>
        <v>1403</v>
      </c>
      <c r="E472" s="3">
        <f t="shared" si="497"/>
        <v>9821</v>
      </c>
      <c r="F472" s="17">
        <f t="shared" si="498"/>
        <v>327.33333333333331</v>
      </c>
      <c r="G472" s="17">
        <f t="shared" si="499"/>
        <v>327.13333333333333</v>
      </c>
      <c r="H472" s="17">
        <f t="shared" si="500"/>
        <v>327</v>
      </c>
      <c r="I472" s="17">
        <f t="shared" si="501"/>
        <v>326.93333333333334</v>
      </c>
      <c r="J472" s="17">
        <f t="shared" si="502"/>
        <v>326.8</v>
      </c>
      <c r="K472" s="17">
        <f t="shared" si="503"/>
        <v>326.73333333333335</v>
      </c>
      <c r="L472" s="17">
        <f t="shared" si="504"/>
        <v>326.60000000000002</v>
      </c>
      <c r="M472" s="17">
        <f t="shared" si="505"/>
        <v>326.39999999999998</v>
      </c>
    </row>
    <row r="473" spans="1:13" x14ac:dyDescent="0.35">
      <c r="B473" s="2">
        <v>30</v>
      </c>
      <c r="C473" s="2">
        <f t="shared" si="495"/>
        <v>1439</v>
      </c>
      <c r="D473" s="2">
        <f t="shared" si="496"/>
        <v>1409</v>
      </c>
      <c r="E473" s="3">
        <f t="shared" si="497"/>
        <v>9863</v>
      </c>
      <c r="F473" s="17">
        <f t="shared" si="498"/>
        <v>328.73333333333335</v>
      </c>
      <c r="G473" s="17">
        <f t="shared" si="499"/>
        <v>328.53333333333336</v>
      </c>
      <c r="H473" s="17">
        <f t="shared" si="500"/>
        <v>328.4</v>
      </c>
      <c r="I473" s="17">
        <f t="shared" si="501"/>
        <v>328.33333333333331</v>
      </c>
      <c r="J473" s="17">
        <f t="shared" si="502"/>
        <v>328.2</v>
      </c>
      <c r="K473" s="17">
        <f t="shared" si="503"/>
        <v>328.13333333333333</v>
      </c>
      <c r="L473" s="17">
        <f t="shared" si="504"/>
        <v>328</v>
      </c>
      <c r="M473" s="17">
        <f t="shared" si="505"/>
        <v>327.8</v>
      </c>
    </row>
    <row r="474" spans="1:13" ht="16.8" thickBot="1" x14ac:dyDescent="0.4">
      <c r="F474" s="17"/>
      <c r="G474" s="17"/>
      <c r="H474" s="17"/>
      <c r="I474" s="17"/>
      <c r="J474" s="17"/>
      <c r="K474" s="17"/>
      <c r="L474" s="17"/>
      <c r="M474" s="17"/>
    </row>
    <row r="475" spans="1:13" ht="16.8" thickBot="1" x14ac:dyDescent="0.4">
      <c r="A475" s="1">
        <f>A465+1</f>
        <v>48</v>
      </c>
      <c r="C475" s="18" t="s">
        <v>2</v>
      </c>
      <c r="E475" s="13">
        <f>E456</f>
        <v>9457</v>
      </c>
      <c r="F475" s="19">
        <v>1</v>
      </c>
      <c r="G475" s="20">
        <v>7</v>
      </c>
      <c r="H475" s="20">
        <v>11</v>
      </c>
      <c r="I475" s="20">
        <v>13</v>
      </c>
      <c r="J475" s="20">
        <v>17</v>
      </c>
      <c r="K475" s="20">
        <v>19</v>
      </c>
      <c r="L475" s="20">
        <v>23</v>
      </c>
      <c r="M475" s="21">
        <v>29</v>
      </c>
    </row>
    <row r="476" spans="1:13" x14ac:dyDescent="0.35">
      <c r="B476" s="2">
        <v>30</v>
      </c>
      <c r="C476" s="2">
        <f>D476+B476</f>
        <v>1441</v>
      </c>
      <c r="D476" s="2">
        <f>C466</f>
        <v>1411</v>
      </c>
      <c r="E476" s="3">
        <f>D476*$E$5</f>
        <v>9877</v>
      </c>
      <c r="F476" s="17">
        <f>(E476-1)/30</f>
        <v>329.2</v>
      </c>
      <c r="G476" s="17">
        <f>($E476-7)/30</f>
        <v>329</v>
      </c>
      <c r="H476" s="17">
        <f>($E476-11)/30</f>
        <v>328.86666666666667</v>
      </c>
      <c r="I476" s="17">
        <f>($E476-13)/30</f>
        <v>328.8</v>
      </c>
      <c r="J476" s="17">
        <f>($E476-17)/30</f>
        <v>328.66666666666669</v>
      </c>
      <c r="K476" s="17">
        <f>($E476-19)/30</f>
        <v>328.6</v>
      </c>
      <c r="L476" s="17">
        <f>($E476-23)/30</f>
        <v>328.46666666666664</v>
      </c>
      <c r="M476" s="17">
        <f>($E476-29)/30</f>
        <v>328.26666666666665</v>
      </c>
    </row>
    <row r="477" spans="1:13" x14ac:dyDescent="0.35">
      <c r="B477" s="2">
        <v>30</v>
      </c>
      <c r="C477" s="2">
        <f t="shared" ref="C477:C483" si="506">D477+B477</f>
        <v>1447</v>
      </c>
      <c r="D477" s="2">
        <f t="shared" ref="D477:D483" si="507">C467</f>
        <v>1417</v>
      </c>
      <c r="E477" s="3">
        <f t="shared" ref="E477:E483" si="508">D477*$E$5</f>
        <v>9919</v>
      </c>
      <c r="F477" s="17">
        <f t="shared" ref="F477:F483" si="509">(E477-1)/30</f>
        <v>330.6</v>
      </c>
      <c r="G477" s="17">
        <f t="shared" ref="G477:G483" si="510">($E477-7)/30</f>
        <v>330.4</v>
      </c>
      <c r="H477" s="17">
        <f t="shared" ref="H477:H483" si="511">($E477-11)/30</f>
        <v>330.26666666666665</v>
      </c>
      <c r="I477" s="17">
        <f t="shared" ref="I477:I483" si="512">($E477-13)/30</f>
        <v>330.2</v>
      </c>
      <c r="J477" s="17">
        <f t="shared" ref="J477:J483" si="513">($E477-17)/30</f>
        <v>330.06666666666666</v>
      </c>
      <c r="K477" s="17">
        <f t="shared" ref="K477:K483" si="514">($E477-19)/30</f>
        <v>330</v>
      </c>
      <c r="L477" s="17">
        <f t="shared" ref="L477:L483" si="515">($E477-23)/30</f>
        <v>329.86666666666667</v>
      </c>
      <c r="M477" s="17">
        <f t="shared" ref="M477:M483" si="516">($E477-29)/30</f>
        <v>329.66666666666669</v>
      </c>
    </row>
    <row r="478" spans="1:13" x14ac:dyDescent="0.35">
      <c r="B478" s="2">
        <v>30</v>
      </c>
      <c r="C478" s="2">
        <f t="shared" si="506"/>
        <v>1451</v>
      </c>
      <c r="D478" s="2">
        <f t="shared" si="507"/>
        <v>1421</v>
      </c>
      <c r="E478" s="3">
        <f t="shared" si="508"/>
        <v>9947</v>
      </c>
      <c r="F478" s="17">
        <f t="shared" si="509"/>
        <v>331.53333333333336</v>
      </c>
      <c r="G478" s="17">
        <f t="shared" si="510"/>
        <v>331.33333333333331</v>
      </c>
      <c r="H478" s="17">
        <f t="shared" si="511"/>
        <v>331.2</v>
      </c>
      <c r="I478" s="17">
        <f t="shared" si="512"/>
        <v>331.13333333333333</v>
      </c>
      <c r="J478" s="17">
        <f t="shared" si="513"/>
        <v>331</v>
      </c>
      <c r="K478" s="17">
        <f t="shared" si="514"/>
        <v>330.93333333333334</v>
      </c>
      <c r="L478" s="17">
        <f t="shared" si="515"/>
        <v>330.8</v>
      </c>
      <c r="M478" s="17">
        <f t="shared" si="516"/>
        <v>330.6</v>
      </c>
    </row>
    <row r="479" spans="1:13" x14ac:dyDescent="0.35">
      <c r="B479" s="2">
        <v>30</v>
      </c>
      <c r="C479" s="2">
        <f t="shared" si="506"/>
        <v>1453</v>
      </c>
      <c r="D479" s="2">
        <f t="shared" si="507"/>
        <v>1423</v>
      </c>
      <c r="E479" s="3">
        <f t="shared" si="508"/>
        <v>9961</v>
      </c>
      <c r="F479" s="17">
        <f t="shared" si="509"/>
        <v>332</v>
      </c>
      <c r="G479" s="17">
        <f t="shared" si="510"/>
        <v>331.8</v>
      </c>
      <c r="H479" s="17">
        <f t="shared" si="511"/>
        <v>331.66666666666669</v>
      </c>
      <c r="I479" s="17">
        <f t="shared" si="512"/>
        <v>331.6</v>
      </c>
      <c r="J479" s="17">
        <f t="shared" si="513"/>
        <v>331.46666666666664</v>
      </c>
      <c r="K479" s="17">
        <f t="shared" si="514"/>
        <v>331.4</v>
      </c>
      <c r="L479" s="17">
        <f t="shared" si="515"/>
        <v>331.26666666666665</v>
      </c>
      <c r="M479" s="17">
        <f t="shared" si="516"/>
        <v>331.06666666666666</v>
      </c>
    </row>
    <row r="480" spans="1:13" x14ac:dyDescent="0.35">
      <c r="B480" s="2">
        <v>30</v>
      </c>
      <c r="C480" s="2">
        <f t="shared" si="506"/>
        <v>1457</v>
      </c>
      <c r="D480" s="2">
        <f t="shared" si="507"/>
        <v>1427</v>
      </c>
      <c r="E480" s="3">
        <f t="shared" si="508"/>
        <v>9989</v>
      </c>
      <c r="F480" s="17">
        <f t="shared" si="509"/>
        <v>332.93333333333334</v>
      </c>
      <c r="G480" s="17">
        <f t="shared" si="510"/>
        <v>332.73333333333335</v>
      </c>
      <c r="H480" s="17">
        <f t="shared" si="511"/>
        <v>332.6</v>
      </c>
      <c r="I480" s="17">
        <f t="shared" si="512"/>
        <v>332.53333333333336</v>
      </c>
      <c r="J480" s="17">
        <f t="shared" si="513"/>
        <v>332.4</v>
      </c>
      <c r="K480" s="17">
        <f t="shared" si="514"/>
        <v>332.33333333333331</v>
      </c>
      <c r="L480" s="17">
        <f t="shared" si="515"/>
        <v>332.2</v>
      </c>
      <c r="M480" s="17">
        <f t="shared" si="516"/>
        <v>332</v>
      </c>
    </row>
    <row r="481" spans="1:13" x14ac:dyDescent="0.35">
      <c r="B481" s="2">
        <v>30</v>
      </c>
      <c r="C481" s="2">
        <f t="shared" si="506"/>
        <v>1459</v>
      </c>
      <c r="D481" s="2">
        <f t="shared" si="507"/>
        <v>1429</v>
      </c>
      <c r="E481" s="3">
        <f t="shared" si="508"/>
        <v>10003</v>
      </c>
      <c r="F481" s="17">
        <f t="shared" si="509"/>
        <v>333.4</v>
      </c>
      <c r="G481" s="17">
        <f t="shared" si="510"/>
        <v>333.2</v>
      </c>
      <c r="H481" s="17">
        <f t="shared" si="511"/>
        <v>333.06666666666666</v>
      </c>
      <c r="I481" s="17">
        <f t="shared" si="512"/>
        <v>333</v>
      </c>
      <c r="J481" s="17">
        <f t="shared" si="513"/>
        <v>332.86666666666667</v>
      </c>
      <c r="K481" s="17">
        <f t="shared" si="514"/>
        <v>332.8</v>
      </c>
      <c r="L481" s="17">
        <f t="shared" si="515"/>
        <v>332.66666666666669</v>
      </c>
      <c r="M481" s="17">
        <f t="shared" si="516"/>
        <v>332.46666666666664</v>
      </c>
    </row>
    <row r="482" spans="1:13" x14ac:dyDescent="0.35">
      <c r="B482" s="2">
        <v>30</v>
      </c>
      <c r="C482" s="2">
        <f t="shared" si="506"/>
        <v>1463</v>
      </c>
      <c r="D482" s="2">
        <f t="shared" si="507"/>
        <v>1433</v>
      </c>
      <c r="E482" s="3">
        <f t="shared" si="508"/>
        <v>10031</v>
      </c>
      <c r="F482" s="17">
        <f t="shared" si="509"/>
        <v>334.33333333333331</v>
      </c>
      <c r="G482" s="17">
        <f t="shared" si="510"/>
        <v>334.13333333333333</v>
      </c>
      <c r="H482" s="17">
        <f t="shared" si="511"/>
        <v>334</v>
      </c>
      <c r="I482" s="17">
        <f t="shared" si="512"/>
        <v>333.93333333333334</v>
      </c>
      <c r="J482" s="17">
        <f t="shared" si="513"/>
        <v>333.8</v>
      </c>
      <c r="K482" s="17">
        <f t="shared" si="514"/>
        <v>333.73333333333335</v>
      </c>
      <c r="L482" s="17">
        <f t="shared" si="515"/>
        <v>333.6</v>
      </c>
      <c r="M482" s="17">
        <f t="shared" si="516"/>
        <v>333.4</v>
      </c>
    </row>
    <row r="483" spans="1:13" x14ac:dyDescent="0.35">
      <c r="B483" s="2">
        <v>30</v>
      </c>
      <c r="C483" s="2">
        <f t="shared" si="506"/>
        <v>1469</v>
      </c>
      <c r="D483" s="2">
        <f t="shared" si="507"/>
        <v>1439</v>
      </c>
      <c r="E483" s="3">
        <f t="shared" si="508"/>
        <v>10073</v>
      </c>
      <c r="F483" s="17">
        <f t="shared" si="509"/>
        <v>335.73333333333335</v>
      </c>
      <c r="G483" s="17">
        <f t="shared" si="510"/>
        <v>335.53333333333336</v>
      </c>
      <c r="H483" s="17">
        <f t="shared" si="511"/>
        <v>335.4</v>
      </c>
      <c r="I483" s="17">
        <f t="shared" si="512"/>
        <v>335.33333333333331</v>
      </c>
      <c r="J483" s="17">
        <f t="shared" si="513"/>
        <v>335.2</v>
      </c>
      <c r="K483" s="17">
        <f t="shared" si="514"/>
        <v>335.13333333333333</v>
      </c>
      <c r="L483" s="17">
        <f t="shared" si="515"/>
        <v>335</v>
      </c>
      <c r="M483" s="17">
        <f t="shared" si="516"/>
        <v>334.8</v>
      </c>
    </row>
    <row r="484" spans="1:13" ht="16.8" thickBot="1" x14ac:dyDescent="0.4">
      <c r="F484" s="17"/>
      <c r="G484" s="17"/>
      <c r="H484" s="17"/>
      <c r="I484" s="17"/>
      <c r="J484" s="17"/>
      <c r="K484" s="17"/>
      <c r="L484" s="17"/>
      <c r="M484" s="17"/>
    </row>
    <row r="485" spans="1:13" ht="16.8" thickBot="1" x14ac:dyDescent="0.4">
      <c r="A485" s="1">
        <f>A475+1</f>
        <v>49</v>
      </c>
      <c r="C485" s="18" t="s">
        <v>2</v>
      </c>
      <c r="E485" s="13">
        <f>E466</f>
        <v>9667</v>
      </c>
      <c r="F485" s="19">
        <v>1</v>
      </c>
      <c r="G485" s="20">
        <v>7</v>
      </c>
      <c r="H485" s="20">
        <v>11</v>
      </c>
      <c r="I485" s="20">
        <v>13</v>
      </c>
      <c r="J485" s="20">
        <v>17</v>
      </c>
      <c r="K485" s="20">
        <v>19</v>
      </c>
      <c r="L485" s="20">
        <v>23</v>
      </c>
      <c r="M485" s="21">
        <v>29</v>
      </c>
    </row>
    <row r="486" spans="1:13" x14ac:dyDescent="0.35">
      <c r="B486" s="2">
        <v>30</v>
      </c>
      <c r="C486" s="2">
        <f>D486+B486</f>
        <v>1471</v>
      </c>
      <c r="D486" s="2">
        <f>C476</f>
        <v>1441</v>
      </c>
      <c r="E486" s="3">
        <f>D486*$E$5</f>
        <v>10087</v>
      </c>
      <c r="F486" s="17">
        <f>(E486-1)/30</f>
        <v>336.2</v>
      </c>
      <c r="G486" s="17">
        <f>($E486-7)/30</f>
        <v>336</v>
      </c>
      <c r="H486" s="17">
        <f>($E486-11)/30</f>
        <v>335.86666666666667</v>
      </c>
      <c r="I486" s="17">
        <f>($E486-13)/30</f>
        <v>335.8</v>
      </c>
      <c r="J486" s="17">
        <f>($E486-17)/30</f>
        <v>335.66666666666669</v>
      </c>
      <c r="K486" s="17">
        <f>($E486-19)/30</f>
        <v>335.6</v>
      </c>
      <c r="L486" s="17">
        <f>($E486-23)/30</f>
        <v>335.46666666666664</v>
      </c>
      <c r="M486" s="17">
        <f>($E486-29)/30</f>
        <v>335.26666666666665</v>
      </c>
    </row>
    <row r="487" spans="1:13" x14ac:dyDescent="0.35">
      <c r="B487" s="2">
        <v>30</v>
      </c>
      <c r="C487" s="2">
        <f t="shared" ref="C487:C493" si="517">D487+B487</f>
        <v>1477</v>
      </c>
      <c r="D487" s="2">
        <f t="shared" ref="D487:D493" si="518">C477</f>
        <v>1447</v>
      </c>
      <c r="E487" s="3">
        <f t="shared" ref="E487:E493" si="519">D487*$E$5</f>
        <v>10129</v>
      </c>
      <c r="F487" s="17">
        <f t="shared" ref="F487:F493" si="520">(E487-1)/30</f>
        <v>337.6</v>
      </c>
      <c r="G487" s="17">
        <f t="shared" ref="G487:G493" si="521">($E487-7)/30</f>
        <v>337.4</v>
      </c>
      <c r="H487" s="17">
        <f t="shared" ref="H487:H493" si="522">($E487-11)/30</f>
        <v>337.26666666666665</v>
      </c>
      <c r="I487" s="17">
        <f t="shared" ref="I487:I493" si="523">($E487-13)/30</f>
        <v>337.2</v>
      </c>
      <c r="J487" s="17">
        <f t="shared" ref="J487:J493" si="524">($E487-17)/30</f>
        <v>337.06666666666666</v>
      </c>
      <c r="K487" s="17">
        <f t="shared" ref="K487:K493" si="525">($E487-19)/30</f>
        <v>337</v>
      </c>
      <c r="L487" s="17">
        <f t="shared" ref="L487:L493" si="526">($E487-23)/30</f>
        <v>336.86666666666667</v>
      </c>
      <c r="M487" s="17">
        <f t="shared" ref="M487:M493" si="527">($E487-29)/30</f>
        <v>336.66666666666669</v>
      </c>
    </row>
    <row r="488" spans="1:13" x14ac:dyDescent="0.35">
      <c r="B488" s="2">
        <v>30</v>
      </c>
      <c r="C488" s="2">
        <f t="shared" si="517"/>
        <v>1481</v>
      </c>
      <c r="D488" s="2">
        <f t="shared" si="518"/>
        <v>1451</v>
      </c>
      <c r="E488" s="3">
        <f t="shared" si="519"/>
        <v>10157</v>
      </c>
      <c r="F488" s="17">
        <f t="shared" si="520"/>
        <v>338.53333333333336</v>
      </c>
      <c r="G488" s="17">
        <f t="shared" si="521"/>
        <v>338.33333333333331</v>
      </c>
      <c r="H488" s="17">
        <f t="shared" si="522"/>
        <v>338.2</v>
      </c>
      <c r="I488" s="17">
        <f t="shared" si="523"/>
        <v>338.13333333333333</v>
      </c>
      <c r="J488" s="17">
        <f t="shared" si="524"/>
        <v>338</v>
      </c>
      <c r="K488" s="17">
        <f t="shared" si="525"/>
        <v>337.93333333333334</v>
      </c>
      <c r="L488" s="17">
        <f t="shared" si="526"/>
        <v>337.8</v>
      </c>
      <c r="M488" s="17">
        <f t="shared" si="527"/>
        <v>337.6</v>
      </c>
    </row>
    <row r="489" spans="1:13" x14ac:dyDescent="0.35">
      <c r="B489" s="2">
        <v>30</v>
      </c>
      <c r="C489" s="2">
        <f t="shared" si="517"/>
        <v>1483</v>
      </c>
      <c r="D489" s="2">
        <f t="shared" si="518"/>
        <v>1453</v>
      </c>
      <c r="E489" s="3">
        <f t="shared" si="519"/>
        <v>10171</v>
      </c>
      <c r="F489" s="17">
        <f t="shared" si="520"/>
        <v>339</v>
      </c>
      <c r="G489" s="17">
        <f t="shared" si="521"/>
        <v>338.8</v>
      </c>
      <c r="H489" s="17">
        <f t="shared" si="522"/>
        <v>338.66666666666669</v>
      </c>
      <c r="I489" s="17">
        <f t="shared" si="523"/>
        <v>338.6</v>
      </c>
      <c r="J489" s="17">
        <f t="shared" si="524"/>
        <v>338.46666666666664</v>
      </c>
      <c r="K489" s="17">
        <f t="shared" si="525"/>
        <v>338.4</v>
      </c>
      <c r="L489" s="17">
        <f t="shared" si="526"/>
        <v>338.26666666666665</v>
      </c>
      <c r="M489" s="17">
        <f t="shared" si="527"/>
        <v>338.06666666666666</v>
      </c>
    </row>
    <row r="490" spans="1:13" x14ac:dyDescent="0.35">
      <c r="B490" s="2">
        <v>30</v>
      </c>
      <c r="C490" s="2">
        <f t="shared" si="517"/>
        <v>1487</v>
      </c>
      <c r="D490" s="2">
        <f t="shared" si="518"/>
        <v>1457</v>
      </c>
      <c r="E490" s="3">
        <f t="shared" si="519"/>
        <v>10199</v>
      </c>
      <c r="F490" s="17">
        <f t="shared" si="520"/>
        <v>339.93333333333334</v>
      </c>
      <c r="G490" s="17">
        <f t="shared" si="521"/>
        <v>339.73333333333335</v>
      </c>
      <c r="H490" s="17">
        <f t="shared" si="522"/>
        <v>339.6</v>
      </c>
      <c r="I490" s="17">
        <f t="shared" si="523"/>
        <v>339.53333333333336</v>
      </c>
      <c r="J490" s="17">
        <f t="shared" si="524"/>
        <v>339.4</v>
      </c>
      <c r="K490" s="17">
        <f t="shared" si="525"/>
        <v>339.33333333333331</v>
      </c>
      <c r="L490" s="17">
        <f t="shared" si="526"/>
        <v>339.2</v>
      </c>
      <c r="M490" s="17">
        <f t="shared" si="527"/>
        <v>339</v>
      </c>
    </row>
    <row r="491" spans="1:13" x14ac:dyDescent="0.35">
      <c r="B491" s="2">
        <v>30</v>
      </c>
      <c r="C491" s="2">
        <f t="shared" si="517"/>
        <v>1489</v>
      </c>
      <c r="D491" s="2">
        <f t="shared" si="518"/>
        <v>1459</v>
      </c>
      <c r="E491" s="3">
        <f t="shared" si="519"/>
        <v>10213</v>
      </c>
      <c r="F491" s="17">
        <f t="shared" si="520"/>
        <v>340.4</v>
      </c>
      <c r="G491" s="17">
        <f t="shared" si="521"/>
        <v>340.2</v>
      </c>
      <c r="H491" s="17">
        <f t="shared" si="522"/>
        <v>340.06666666666666</v>
      </c>
      <c r="I491" s="17">
        <f t="shared" si="523"/>
        <v>340</v>
      </c>
      <c r="J491" s="17">
        <f t="shared" si="524"/>
        <v>339.86666666666667</v>
      </c>
      <c r="K491" s="17">
        <f t="shared" si="525"/>
        <v>339.8</v>
      </c>
      <c r="L491" s="17">
        <f t="shared" si="526"/>
        <v>339.66666666666669</v>
      </c>
      <c r="M491" s="17">
        <f t="shared" si="527"/>
        <v>339.46666666666664</v>
      </c>
    </row>
    <row r="492" spans="1:13" x14ac:dyDescent="0.35">
      <c r="B492" s="2">
        <v>30</v>
      </c>
      <c r="C492" s="2">
        <f t="shared" si="517"/>
        <v>1493</v>
      </c>
      <c r="D492" s="2">
        <f t="shared" si="518"/>
        <v>1463</v>
      </c>
      <c r="E492" s="3">
        <f t="shared" si="519"/>
        <v>10241</v>
      </c>
      <c r="F492" s="17">
        <f t="shared" si="520"/>
        <v>341.33333333333331</v>
      </c>
      <c r="G492" s="17">
        <f t="shared" si="521"/>
        <v>341.13333333333333</v>
      </c>
      <c r="H492" s="17">
        <f t="shared" si="522"/>
        <v>341</v>
      </c>
      <c r="I492" s="17">
        <f t="shared" si="523"/>
        <v>340.93333333333334</v>
      </c>
      <c r="J492" s="17">
        <f t="shared" si="524"/>
        <v>340.8</v>
      </c>
      <c r="K492" s="17">
        <f t="shared" si="525"/>
        <v>340.73333333333335</v>
      </c>
      <c r="L492" s="17">
        <f t="shared" si="526"/>
        <v>340.6</v>
      </c>
      <c r="M492" s="17">
        <f t="shared" si="527"/>
        <v>340.4</v>
      </c>
    </row>
    <row r="493" spans="1:13" x14ac:dyDescent="0.35">
      <c r="B493" s="2">
        <v>30</v>
      </c>
      <c r="C493" s="2">
        <f t="shared" si="517"/>
        <v>1499</v>
      </c>
      <c r="D493" s="2">
        <f t="shared" si="518"/>
        <v>1469</v>
      </c>
      <c r="E493" s="3">
        <f t="shared" si="519"/>
        <v>10283</v>
      </c>
      <c r="F493" s="17">
        <f t="shared" si="520"/>
        <v>342.73333333333335</v>
      </c>
      <c r="G493" s="17">
        <f t="shared" si="521"/>
        <v>342.53333333333336</v>
      </c>
      <c r="H493" s="17">
        <f t="shared" si="522"/>
        <v>342.4</v>
      </c>
      <c r="I493" s="17">
        <f t="shared" si="523"/>
        <v>342.33333333333331</v>
      </c>
      <c r="J493" s="17">
        <f t="shared" si="524"/>
        <v>342.2</v>
      </c>
      <c r="K493" s="17">
        <f t="shared" si="525"/>
        <v>342.13333333333333</v>
      </c>
      <c r="L493" s="17">
        <f t="shared" si="526"/>
        <v>342</v>
      </c>
      <c r="M493" s="17">
        <f t="shared" si="527"/>
        <v>341.8</v>
      </c>
    </row>
    <row r="494" spans="1:13" ht="16.8" thickBot="1" x14ac:dyDescent="0.4">
      <c r="F494" s="17"/>
      <c r="G494" s="17"/>
      <c r="H494" s="17"/>
      <c r="I494" s="17"/>
      <c r="J494" s="17"/>
      <c r="K494" s="17"/>
      <c r="L494" s="17"/>
      <c r="M494" s="17"/>
    </row>
    <row r="495" spans="1:13" ht="16.8" thickBot="1" x14ac:dyDescent="0.4">
      <c r="A495" s="1">
        <f>A485+1</f>
        <v>50</v>
      </c>
      <c r="C495" s="18" t="s">
        <v>2</v>
      </c>
      <c r="E495" s="13">
        <f>E476</f>
        <v>9877</v>
      </c>
      <c r="F495" s="19">
        <v>1</v>
      </c>
      <c r="G495" s="20">
        <v>7</v>
      </c>
      <c r="H495" s="20">
        <v>11</v>
      </c>
      <c r="I495" s="20">
        <v>13</v>
      </c>
      <c r="J495" s="20">
        <v>17</v>
      </c>
      <c r="K495" s="20">
        <v>19</v>
      </c>
      <c r="L495" s="20">
        <v>23</v>
      </c>
      <c r="M495" s="21">
        <v>29</v>
      </c>
    </row>
    <row r="496" spans="1:13" x14ac:dyDescent="0.35">
      <c r="B496" s="2">
        <v>30</v>
      </c>
      <c r="C496" s="2">
        <f>D496+B496</f>
        <v>1501</v>
      </c>
      <c r="D496" s="2">
        <f>C486</f>
        <v>1471</v>
      </c>
      <c r="E496" s="3">
        <f>D496*$E$5</f>
        <v>10297</v>
      </c>
      <c r="F496" s="17">
        <f>(E496-1)/30</f>
        <v>343.2</v>
      </c>
      <c r="G496" s="17">
        <f>($E496-7)/30</f>
        <v>343</v>
      </c>
      <c r="H496" s="17">
        <f>($E496-11)/30</f>
        <v>342.86666666666667</v>
      </c>
      <c r="I496" s="17">
        <f>($E496-13)/30</f>
        <v>342.8</v>
      </c>
      <c r="J496" s="17">
        <f>($E496-17)/30</f>
        <v>342.66666666666669</v>
      </c>
      <c r="K496" s="17">
        <f>($E496-19)/30</f>
        <v>342.6</v>
      </c>
      <c r="L496" s="17">
        <f>($E496-23)/30</f>
        <v>342.46666666666664</v>
      </c>
      <c r="M496" s="17">
        <f>($E496-29)/30</f>
        <v>342.26666666666665</v>
      </c>
    </row>
    <row r="497" spans="1:13" x14ac:dyDescent="0.35">
      <c r="B497" s="2">
        <v>30</v>
      </c>
      <c r="C497" s="2">
        <f t="shared" ref="C497:C503" si="528">D497+B497</f>
        <v>1507</v>
      </c>
      <c r="D497" s="2">
        <f t="shared" ref="D497:D503" si="529">C487</f>
        <v>1477</v>
      </c>
      <c r="E497" s="3">
        <f t="shared" ref="E497:E503" si="530">D497*$E$5</f>
        <v>10339</v>
      </c>
      <c r="F497" s="17">
        <f t="shared" ref="F497:F503" si="531">(E497-1)/30</f>
        <v>344.6</v>
      </c>
      <c r="G497" s="17">
        <f t="shared" ref="G497:G503" si="532">($E497-7)/30</f>
        <v>344.4</v>
      </c>
      <c r="H497" s="17">
        <f t="shared" ref="H497:H503" si="533">($E497-11)/30</f>
        <v>344.26666666666665</v>
      </c>
      <c r="I497" s="17">
        <f t="shared" ref="I497:I503" si="534">($E497-13)/30</f>
        <v>344.2</v>
      </c>
      <c r="J497" s="17">
        <f t="shared" ref="J497:J503" si="535">($E497-17)/30</f>
        <v>344.06666666666666</v>
      </c>
      <c r="K497" s="17">
        <f t="shared" ref="K497:K503" si="536">($E497-19)/30</f>
        <v>344</v>
      </c>
      <c r="L497" s="17">
        <f t="shared" ref="L497:L503" si="537">($E497-23)/30</f>
        <v>343.86666666666667</v>
      </c>
      <c r="M497" s="17">
        <f t="shared" ref="M497:M503" si="538">($E497-29)/30</f>
        <v>343.66666666666669</v>
      </c>
    </row>
    <row r="498" spans="1:13" x14ac:dyDescent="0.35">
      <c r="B498" s="2">
        <v>30</v>
      </c>
      <c r="C498" s="2">
        <f t="shared" si="528"/>
        <v>1511</v>
      </c>
      <c r="D498" s="2">
        <f t="shared" si="529"/>
        <v>1481</v>
      </c>
      <c r="E498" s="3">
        <f t="shared" si="530"/>
        <v>10367</v>
      </c>
      <c r="F498" s="17">
        <f t="shared" si="531"/>
        <v>345.53333333333336</v>
      </c>
      <c r="G498" s="17">
        <f t="shared" si="532"/>
        <v>345.33333333333331</v>
      </c>
      <c r="H498" s="17">
        <f t="shared" si="533"/>
        <v>345.2</v>
      </c>
      <c r="I498" s="17">
        <f t="shared" si="534"/>
        <v>345.13333333333333</v>
      </c>
      <c r="J498" s="17">
        <f t="shared" si="535"/>
        <v>345</v>
      </c>
      <c r="K498" s="17">
        <f t="shared" si="536"/>
        <v>344.93333333333334</v>
      </c>
      <c r="L498" s="17">
        <f t="shared" si="537"/>
        <v>344.8</v>
      </c>
      <c r="M498" s="17">
        <f t="shared" si="538"/>
        <v>344.6</v>
      </c>
    </row>
    <row r="499" spans="1:13" x14ac:dyDescent="0.35">
      <c r="B499" s="2">
        <v>30</v>
      </c>
      <c r="C499" s="2">
        <f t="shared" si="528"/>
        <v>1513</v>
      </c>
      <c r="D499" s="2">
        <f t="shared" si="529"/>
        <v>1483</v>
      </c>
      <c r="E499" s="3">
        <f t="shared" si="530"/>
        <v>10381</v>
      </c>
      <c r="F499" s="17">
        <f t="shared" si="531"/>
        <v>346</v>
      </c>
      <c r="G499" s="17">
        <f t="shared" si="532"/>
        <v>345.8</v>
      </c>
      <c r="H499" s="17">
        <f t="shared" si="533"/>
        <v>345.66666666666669</v>
      </c>
      <c r="I499" s="17">
        <f t="shared" si="534"/>
        <v>345.6</v>
      </c>
      <c r="J499" s="17">
        <f t="shared" si="535"/>
        <v>345.46666666666664</v>
      </c>
      <c r="K499" s="17">
        <f t="shared" si="536"/>
        <v>345.4</v>
      </c>
      <c r="L499" s="17">
        <f t="shared" si="537"/>
        <v>345.26666666666665</v>
      </c>
      <c r="M499" s="17">
        <f t="shared" si="538"/>
        <v>345.06666666666666</v>
      </c>
    </row>
    <row r="500" spans="1:13" x14ac:dyDescent="0.35">
      <c r="B500" s="2">
        <v>30</v>
      </c>
      <c r="C500" s="2">
        <f t="shared" si="528"/>
        <v>1517</v>
      </c>
      <c r="D500" s="2">
        <f t="shared" si="529"/>
        <v>1487</v>
      </c>
      <c r="E500" s="3">
        <f t="shared" si="530"/>
        <v>10409</v>
      </c>
      <c r="F500" s="17">
        <f t="shared" si="531"/>
        <v>346.93333333333334</v>
      </c>
      <c r="G500" s="17">
        <f t="shared" si="532"/>
        <v>346.73333333333335</v>
      </c>
      <c r="H500" s="17">
        <f t="shared" si="533"/>
        <v>346.6</v>
      </c>
      <c r="I500" s="17">
        <f t="shared" si="534"/>
        <v>346.53333333333336</v>
      </c>
      <c r="J500" s="17">
        <f t="shared" si="535"/>
        <v>346.4</v>
      </c>
      <c r="K500" s="17">
        <f t="shared" si="536"/>
        <v>346.33333333333331</v>
      </c>
      <c r="L500" s="17">
        <f t="shared" si="537"/>
        <v>346.2</v>
      </c>
      <c r="M500" s="17">
        <f t="shared" si="538"/>
        <v>346</v>
      </c>
    </row>
    <row r="501" spans="1:13" x14ac:dyDescent="0.35">
      <c r="B501" s="2">
        <v>30</v>
      </c>
      <c r="C501" s="2">
        <f t="shared" si="528"/>
        <v>1519</v>
      </c>
      <c r="D501" s="2">
        <f t="shared" si="529"/>
        <v>1489</v>
      </c>
      <c r="E501" s="3">
        <f t="shared" si="530"/>
        <v>10423</v>
      </c>
      <c r="F501" s="17">
        <f t="shared" si="531"/>
        <v>347.4</v>
      </c>
      <c r="G501" s="17">
        <f t="shared" si="532"/>
        <v>347.2</v>
      </c>
      <c r="H501" s="17">
        <f t="shared" si="533"/>
        <v>347.06666666666666</v>
      </c>
      <c r="I501" s="17">
        <f t="shared" si="534"/>
        <v>347</v>
      </c>
      <c r="J501" s="17">
        <f t="shared" si="535"/>
        <v>346.86666666666667</v>
      </c>
      <c r="K501" s="17">
        <f t="shared" si="536"/>
        <v>346.8</v>
      </c>
      <c r="L501" s="17">
        <f t="shared" si="537"/>
        <v>346.66666666666669</v>
      </c>
      <c r="M501" s="17">
        <f t="shared" si="538"/>
        <v>346.46666666666664</v>
      </c>
    </row>
    <row r="502" spans="1:13" x14ac:dyDescent="0.35">
      <c r="B502" s="2">
        <v>30</v>
      </c>
      <c r="C502" s="2">
        <f t="shared" si="528"/>
        <v>1523</v>
      </c>
      <c r="D502" s="2">
        <f t="shared" si="529"/>
        <v>1493</v>
      </c>
      <c r="E502" s="3">
        <f t="shared" si="530"/>
        <v>10451</v>
      </c>
      <c r="F502" s="17">
        <f t="shared" si="531"/>
        <v>348.33333333333331</v>
      </c>
      <c r="G502" s="17">
        <f t="shared" si="532"/>
        <v>348.13333333333333</v>
      </c>
      <c r="H502" s="17">
        <f t="shared" si="533"/>
        <v>348</v>
      </c>
      <c r="I502" s="17">
        <f t="shared" si="534"/>
        <v>347.93333333333334</v>
      </c>
      <c r="J502" s="17">
        <f t="shared" si="535"/>
        <v>347.8</v>
      </c>
      <c r="K502" s="17">
        <f t="shared" si="536"/>
        <v>347.73333333333335</v>
      </c>
      <c r="L502" s="17">
        <f t="shared" si="537"/>
        <v>347.6</v>
      </c>
      <c r="M502" s="17">
        <f t="shared" si="538"/>
        <v>347.4</v>
      </c>
    </row>
    <row r="503" spans="1:13" x14ac:dyDescent="0.35">
      <c r="B503" s="2">
        <v>30</v>
      </c>
      <c r="C503" s="2">
        <f t="shared" si="528"/>
        <v>1529</v>
      </c>
      <c r="D503" s="2">
        <f t="shared" si="529"/>
        <v>1499</v>
      </c>
      <c r="E503" s="3">
        <f t="shared" si="530"/>
        <v>10493</v>
      </c>
      <c r="F503" s="17">
        <f t="shared" si="531"/>
        <v>349.73333333333335</v>
      </c>
      <c r="G503" s="17">
        <f t="shared" si="532"/>
        <v>349.53333333333336</v>
      </c>
      <c r="H503" s="17">
        <f t="shared" si="533"/>
        <v>349.4</v>
      </c>
      <c r="I503" s="17">
        <f t="shared" si="534"/>
        <v>349.33333333333331</v>
      </c>
      <c r="J503" s="17">
        <f t="shared" si="535"/>
        <v>349.2</v>
      </c>
      <c r="K503" s="17">
        <f t="shared" si="536"/>
        <v>349.13333333333333</v>
      </c>
      <c r="L503" s="17">
        <f t="shared" si="537"/>
        <v>349</v>
      </c>
      <c r="M503" s="17">
        <f t="shared" si="538"/>
        <v>348.8</v>
      </c>
    </row>
    <row r="504" spans="1:13" ht="16.8" thickBot="1" x14ac:dyDescent="0.4">
      <c r="F504" s="17"/>
      <c r="G504" s="17"/>
      <c r="H504" s="17"/>
      <c r="I504" s="17"/>
      <c r="J504" s="17"/>
      <c r="K504" s="17"/>
      <c r="L504" s="17"/>
      <c r="M504" s="17"/>
    </row>
    <row r="505" spans="1:13" ht="16.8" thickBot="1" x14ac:dyDescent="0.4">
      <c r="A505" s="1">
        <f>A495+1</f>
        <v>51</v>
      </c>
      <c r="C505" s="18" t="s">
        <v>2</v>
      </c>
      <c r="E505" s="13">
        <f>E486</f>
        <v>10087</v>
      </c>
      <c r="F505" s="19">
        <v>1</v>
      </c>
      <c r="G505" s="20">
        <v>7</v>
      </c>
      <c r="H505" s="20">
        <v>11</v>
      </c>
      <c r="I505" s="20">
        <v>13</v>
      </c>
      <c r="J505" s="20">
        <v>17</v>
      </c>
      <c r="K505" s="20">
        <v>19</v>
      </c>
      <c r="L505" s="20">
        <v>23</v>
      </c>
      <c r="M505" s="21">
        <v>29</v>
      </c>
    </row>
    <row r="506" spans="1:13" x14ac:dyDescent="0.35">
      <c r="B506" s="2">
        <v>30</v>
      </c>
      <c r="C506" s="2">
        <f>D506+B506</f>
        <v>1531</v>
      </c>
      <c r="D506" s="2">
        <f>C496</f>
        <v>1501</v>
      </c>
      <c r="E506" s="3">
        <f>D506*$E$5</f>
        <v>10507</v>
      </c>
      <c r="F506" s="17">
        <f>(E506-1)/30</f>
        <v>350.2</v>
      </c>
      <c r="G506" s="17">
        <f>($E506-7)/30</f>
        <v>350</v>
      </c>
      <c r="H506" s="17">
        <f>($E506-11)/30</f>
        <v>349.86666666666667</v>
      </c>
      <c r="I506" s="17">
        <f>($E506-13)/30</f>
        <v>349.8</v>
      </c>
      <c r="J506" s="17">
        <f>($E506-17)/30</f>
        <v>349.66666666666669</v>
      </c>
      <c r="K506" s="17">
        <f>($E506-19)/30</f>
        <v>349.6</v>
      </c>
      <c r="L506" s="17">
        <f>($E506-23)/30</f>
        <v>349.46666666666664</v>
      </c>
      <c r="M506" s="17">
        <f>($E506-29)/30</f>
        <v>349.26666666666665</v>
      </c>
    </row>
    <row r="507" spans="1:13" x14ac:dyDescent="0.35">
      <c r="B507" s="2">
        <v>30</v>
      </c>
      <c r="C507" s="2">
        <f t="shared" ref="C507:C513" si="539">D507+B507</f>
        <v>1537</v>
      </c>
      <c r="D507" s="2">
        <f t="shared" ref="D507:D513" si="540">C497</f>
        <v>1507</v>
      </c>
      <c r="E507" s="3">
        <f t="shared" ref="E507:E513" si="541">D507*$E$5</f>
        <v>10549</v>
      </c>
      <c r="F507" s="17">
        <f t="shared" ref="F507:F513" si="542">(E507-1)/30</f>
        <v>351.6</v>
      </c>
      <c r="G507" s="17">
        <f t="shared" ref="G507:G513" si="543">($E507-7)/30</f>
        <v>351.4</v>
      </c>
      <c r="H507" s="17">
        <f t="shared" ref="H507:H513" si="544">($E507-11)/30</f>
        <v>351.26666666666665</v>
      </c>
      <c r="I507" s="17">
        <f t="shared" ref="I507:I513" si="545">($E507-13)/30</f>
        <v>351.2</v>
      </c>
      <c r="J507" s="17">
        <f t="shared" ref="J507:J513" si="546">($E507-17)/30</f>
        <v>351.06666666666666</v>
      </c>
      <c r="K507" s="17">
        <f t="shared" ref="K507:K513" si="547">($E507-19)/30</f>
        <v>351</v>
      </c>
      <c r="L507" s="17">
        <f t="shared" ref="L507:L513" si="548">($E507-23)/30</f>
        <v>350.86666666666667</v>
      </c>
      <c r="M507" s="17">
        <f t="shared" ref="M507:M513" si="549">($E507-29)/30</f>
        <v>350.66666666666669</v>
      </c>
    </row>
    <row r="508" spans="1:13" x14ac:dyDescent="0.35">
      <c r="B508" s="2">
        <v>30</v>
      </c>
      <c r="C508" s="2">
        <f t="shared" si="539"/>
        <v>1541</v>
      </c>
      <c r="D508" s="2">
        <f t="shared" si="540"/>
        <v>1511</v>
      </c>
      <c r="E508" s="3">
        <f t="shared" si="541"/>
        <v>10577</v>
      </c>
      <c r="F508" s="17">
        <f t="shared" si="542"/>
        <v>352.53333333333336</v>
      </c>
      <c r="G508" s="17">
        <f t="shared" si="543"/>
        <v>352.33333333333331</v>
      </c>
      <c r="H508" s="17">
        <f t="shared" si="544"/>
        <v>352.2</v>
      </c>
      <c r="I508" s="17">
        <f t="shared" si="545"/>
        <v>352.13333333333333</v>
      </c>
      <c r="J508" s="17">
        <f t="shared" si="546"/>
        <v>352</v>
      </c>
      <c r="K508" s="17">
        <f t="shared" si="547"/>
        <v>351.93333333333334</v>
      </c>
      <c r="L508" s="17">
        <f t="shared" si="548"/>
        <v>351.8</v>
      </c>
      <c r="M508" s="17">
        <f t="shared" si="549"/>
        <v>351.6</v>
      </c>
    </row>
    <row r="509" spans="1:13" x14ac:dyDescent="0.35">
      <c r="B509" s="2">
        <v>30</v>
      </c>
      <c r="C509" s="2">
        <f t="shared" si="539"/>
        <v>1543</v>
      </c>
      <c r="D509" s="2">
        <f t="shared" si="540"/>
        <v>1513</v>
      </c>
      <c r="E509" s="3">
        <f t="shared" si="541"/>
        <v>10591</v>
      </c>
      <c r="F509" s="17">
        <f t="shared" si="542"/>
        <v>353</v>
      </c>
      <c r="G509" s="17">
        <f t="shared" si="543"/>
        <v>352.8</v>
      </c>
      <c r="H509" s="17">
        <f t="shared" si="544"/>
        <v>352.66666666666669</v>
      </c>
      <c r="I509" s="17">
        <f t="shared" si="545"/>
        <v>352.6</v>
      </c>
      <c r="J509" s="17">
        <f t="shared" si="546"/>
        <v>352.46666666666664</v>
      </c>
      <c r="K509" s="17">
        <f t="shared" si="547"/>
        <v>352.4</v>
      </c>
      <c r="L509" s="17">
        <f t="shared" si="548"/>
        <v>352.26666666666665</v>
      </c>
      <c r="M509" s="17">
        <f t="shared" si="549"/>
        <v>352.06666666666666</v>
      </c>
    </row>
    <row r="510" spans="1:13" x14ac:dyDescent="0.35">
      <c r="B510" s="2">
        <v>30</v>
      </c>
      <c r="C510" s="2">
        <f t="shared" si="539"/>
        <v>1547</v>
      </c>
      <c r="D510" s="2">
        <f t="shared" si="540"/>
        <v>1517</v>
      </c>
      <c r="E510" s="3">
        <f t="shared" si="541"/>
        <v>10619</v>
      </c>
      <c r="F510" s="17">
        <f t="shared" si="542"/>
        <v>353.93333333333334</v>
      </c>
      <c r="G510" s="17">
        <f t="shared" si="543"/>
        <v>353.73333333333335</v>
      </c>
      <c r="H510" s="17">
        <f t="shared" si="544"/>
        <v>353.6</v>
      </c>
      <c r="I510" s="17">
        <f t="shared" si="545"/>
        <v>353.53333333333336</v>
      </c>
      <c r="J510" s="17">
        <f t="shared" si="546"/>
        <v>353.4</v>
      </c>
      <c r="K510" s="17">
        <f t="shared" si="547"/>
        <v>353.33333333333331</v>
      </c>
      <c r="L510" s="17">
        <f t="shared" si="548"/>
        <v>353.2</v>
      </c>
      <c r="M510" s="17">
        <f t="shared" si="549"/>
        <v>353</v>
      </c>
    </row>
    <row r="511" spans="1:13" x14ac:dyDescent="0.35">
      <c r="B511" s="2">
        <v>30</v>
      </c>
      <c r="C511" s="2">
        <f t="shared" si="539"/>
        <v>1549</v>
      </c>
      <c r="D511" s="2">
        <f t="shared" si="540"/>
        <v>1519</v>
      </c>
      <c r="E511" s="3">
        <f t="shared" si="541"/>
        <v>10633</v>
      </c>
      <c r="F511" s="17">
        <f t="shared" si="542"/>
        <v>354.4</v>
      </c>
      <c r="G511" s="17">
        <f t="shared" si="543"/>
        <v>354.2</v>
      </c>
      <c r="H511" s="17">
        <f t="shared" si="544"/>
        <v>354.06666666666666</v>
      </c>
      <c r="I511" s="17">
        <f t="shared" si="545"/>
        <v>354</v>
      </c>
      <c r="J511" s="17">
        <f t="shared" si="546"/>
        <v>353.86666666666667</v>
      </c>
      <c r="K511" s="17">
        <f t="shared" si="547"/>
        <v>353.8</v>
      </c>
      <c r="L511" s="17">
        <f t="shared" si="548"/>
        <v>353.66666666666669</v>
      </c>
      <c r="M511" s="17">
        <f t="shared" si="549"/>
        <v>353.46666666666664</v>
      </c>
    </row>
    <row r="512" spans="1:13" x14ac:dyDescent="0.35">
      <c r="B512" s="2">
        <v>30</v>
      </c>
      <c r="C512" s="2">
        <f t="shared" si="539"/>
        <v>1553</v>
      </c>
      <c r="D512" s="2">
        <f t="shared" si="540"/>
        <v>1523</v>
      </c>
      <c r="E512" s="3">
        <f t="shared" si="541"/>
        <v>10661</v>
      </c>
      <c r="F512" s="17">
        <f t="shared" si="542"/>
        <v>355.33333333333331</v>
      </c>
      <c r="G512" s="17">
        <f t="shared" si="543"/>
        <v>355.13333333333333</v>
      </c>
      <c r="H512" s="17">
        <f t="shared" si="544"/>
        <v>355</v>
      </c>
      <c r="I512" s="17">
        <f t="shared" si="545"/>
        <v>354.93333333333334</v>
      </c>
      <c r="J512" s="17">
        <f t="shared" si="546"/>
        <v>354.8</v>
      </c>
      <c r="K512" s="17">
        <f t="shared" si="547"/>
        <v>354.73333333333335</v>
      </c>
      <c r="L512" s="17">
        <f t="shared" si="548"/>
        <v>354.6</v>
      </c>
      <c r="M512" s="17">
        <f t="shared" si="549"/>
        <v>354.4</v>
      </c>
    </row>
    <row r="513" spans="1:13" x14ac:dyDescent="0.35">
      <c r="B513" s="2">
        <v>30</v>
      </c>
      <c r="C513" s="2">
        <f t="shared" si="539"/>
        <v>1559</v>
      </c>
      <c r="D513" s="2">
        <f t="shared" si="540"/>
        <v>1529</v>
      </c>
      <c r="E513" s="3">
        <f t="shared" si="541"/>
        <v>10703</v>
      </c>
      <c r="F513" s="17">
        <f t="shared" si="542"/>
        <v>356.73333333333335</v>
      </c>
      <c r="G513" s="17">
        <f t="shared" si="543"/>
        <v>356.53333333333336</v>
      </c>
      <c r="H513" s="17">
        <f t="shared" si="544"/>
        <v>356.4</v>
      </c>
      <c r="I513" s="17">
        <f t="shared" si="545"/>
        <v>356.33333333333331</v>
      </c>
      <c r="J513" s="17">
        <f t="shared" si="546"/>
        <v>356.2</v>
      </c>
      <c r="K513" s="17">
        <f t="shared" si="547"/>
        <v>356.13333333333333</v>
      </c>
      <c r="L513" s="17">
        <f t="shared" si="548"/>
        <v>356</v>
      </c>
      <c r="M513" s="17">
        <f t="shared" si="549"/>
        <v>355.8</v>
      </c>
    </row>
    <row r="514" spans="1:13" ht="16.8" thickBot="1" x14ac:dyDescent="0.4">
      <c r="F514" s="17"/>
      <c r="G514" s="17"/>
      <c r="H514" s="17"/>
      <c r="I514" s="17"/>
      <c r="J514" s="17"/>
      <c r="K514" s="17"/>
      <c r="L514" s="17"/>
      <c r="M514" s="17"/>
    </row>
    <row r="515" spans="1:13" ht="16.8" thickBot="1" x14ac:dyDescent="0.4">
      <c r="A515" s="1">
        <f>A505+1</f>
        <v>52</v>
      </c>
      <c r="C515" s="18" t="s">
        <v>2</v>
      </c>
      <c r="E515" s="13">
        <f>E496</f>
        <v>10297</v>
      </c>
      <c r="F515" s="19">
        <v>1</v>
      </c>
      <c r="G515" s="20">
        <v>7</v>
      </c>
      <c r="H515" s="20">
        <v>11</v>
      </c>
      <c r="I515" s="20">
        <v>13</v>
      </c>
      <c r="J515" s="20">
        <v>17</v>
      </c>
      <c r="K515" s="20">
        <v>19</v>
      </c>
      <c r="L515" s="20">
        <v>23</v>
      </c>
      <c r="M515" s="21">
        <v>29</v>
      </c>
    </row>
    <row r="516" spans="1:13" x14ac:dyDescent="0.35">
      <c r="B516" s="2">
        <v>30</v>
      </c>
      <c r="C516" s="2">
        <f>D516+B516</f>
        <v>1561</v>
      </c>
      <c r="D516" s="2">
        <f>C506</f>
        <v>1531</v>
      </c>
      <c r="E516" s="3">
        <f>D516*$E$5</f>
        <v>10717</v>
      </c>
      <c r="F516" s="17">
        <f>(E516-1)/30</f>
        <v>357.2</v>
      </c>
      <c r="G516" s="17">
        <f>($E516-7)/30</f>
        <v>357</v>
      </c>
      <c r="H516" s="17">
        <f>($E516-11)/30</f>
        <v>356.86666666666667</v>
      </c>
      <c r="I516" s="17">
        <f>($E516-13)/30</f>
        <v>356.8</v>
      </c>
      <c r="J516" s="17">
        <f>($E516-17)/30</f>
        <v>356.66666666666669</v>
      </c>
      <c r="K516" s="17">
        <f>($E516-19)/30</f>
        <v>356.6</v>
      </c>
      <c r="L516" s="17">
        <f>($E516-23)/30</f>
        <v>356.46666666666664</v>
      </c>
      <c r="M516" s="17">
        <f>($E516-29)/30</f>
        <v>356.26666666666665</v>
      </c>
    </row>
    <row r="517" spans="1:13" x14ac:dyDescent="0.35">
      <c r="B517" s="2">
        <v>30</v>
      </c>
      <c r="C517" s="2">
        <f t="shared" ref="C517:C523" si="550">D517+B517</f>
        <v>1567</v>
      </c>
      <c r="D517" s="2">
        <f t="shared" ref="D517:D523" si="551">C507</f>
        <v>1537</v>
      </c>
      <c r="E517" s="3">
        <f t="shared" ref="E517:E523" si="552">D517*$E$5</f>
        <v>10759</v>
      </c>
      <c r="F517" s="17">
        <f t="shared" ref="F517:F523" si="553">(E517-1)/30</f>
        <v>358.6</v>
      </c>
      <c r="G517" s="17">
        <f t="shared" ref="G517:G523" si="554">($E517-7)/30</f>
        <v>358.4</v>
      </c>
      <c r="H517" s="17">
        <f t="shared" ref="H517:H523" si="555">($E517-11)/30</f>
        <v>358.26666666666665</v>
      </c>
      <c r="I517" s="17">
        <f t="shared" ref="I517:I523" si="556">($E517-13)/30</f>
        <v>358.2</v>
      </c>
      <c r="J517" s="17">
        <f t="shared" ref="J517:J523" si="557">($E517-17)/30</f>
        <v>358.06666666666666</v>
      </c>
      <c r="K517" s="17">
        <f t="shared" ref="K517:K523" si="558">($E517-19)/30</f>
        <v>358</v>
      </c>
      <c r="L517" s="17">
        <f t="shared" ref="L517:L523" si="559">($E517-23)/30</f>
        <v>357.86666666666667</v>
      </c>
      <c r="M517" s="17">
        <f t="shared" ref="M517:M523" si="560">($E517-29)/30</f>
        <v>357.66666666666669</v>
      </c>
    </row>
    <row r="518" spans="1:13" x14ac:dyDescent="0.35">
      <c r="B518" s="2">
        <v>30</v>
      </c>
      <c r="C518" s="2">
        <f t="shared" si="550"/>
        <v>1571</v>
      </c>
      <c r="D518" s="2">
        <f t="shared" si="551"/>
        <v>1541</v>
      </c>
      <c r="E518" s="3">
        <f t="shared" si="552"/>
        <v>10787</v>
      </c>
      <c r="F518" s="17">
        <f t="shared" si="553"/>
        <v>359.53333333333336</v>
      </c>
      <c r="G518" s="17">
        <f t="shared" si="554"/>
        <v>359.33333333333331</v>
      </c>
      <c r="H518" s="17">
        <f t="shared" si="555"/>
        <v>359.2</v>
      </c>
      <c r="I518" s="17">
        <f t="shared" si="556"/>
        <v>359.13333333333333</v>
      </c>
      <c r="J518" s="17">
        <f t="shared" si="557"/>
        <v>359</v>
      </c>
      <c r="K518" s="17">
        <f t="shared" si="558"/>
        <v>358.93333333333334</v>
      </c>
      <c r="L518" s="17">
        <f t="shared" si="559"/>
        <v>358.8</v>
      </c>
      <c r="M518" s="17">
        <f t="shared" si="560"/>
        <v>358.6</v>
      </c>
    </row>
    <row r="519" spans="1:13" x14ac:dyDescent="0.35">
      <c r="B519" s="2">
        <v>30</v>
      </c>
      <c r="C519" s="2">
        <f t="shared" si="550"/>
        <v>1573</v>
      </c>
      <c r="D519" s="2">
        <f t="shared" si="551"/>
        <v>1543</v>
      </c>
      <c r="E519" s="3">
        <f t="shared" si="552"/>
        <v>10801</v>
      </c>
      <c r="F519" s="17">
        <f t="shared" si="553"/>
        <v>360</v>
      </c>
      <c r="G519" s="17">
        <f t="shared" si="554"/>
        <v>359.8</v>
      </c>
      <c r="H519" s="17">
        <f t="shared" si="555"/>
        <v>359.66666666666669</v>
      </c>
      <c r="I519" s="17">
        <f t="shared" si="556"/>
        <v>359.6</v>
      </c>
      <c r="J519" s="17">
        <f t="shared" si="557"/>
        <v>359.46666666666664</v>
      </c>
      <c r="K519" s="17">
        <f t="shared" si="558"/>
        <v>359.4</v>
      </c>
      <c r="L519" s="17">
        <f t="shared" si="559"/>
        <v>359.26666666666665</v>
      </c>
      <c r="M519" s="17">
        <f t="shared" si="560"/>
        <v>359.06666666666666</v>
      </c>
    </row>
    <row r="520" spans="1:13" x14ac:dyDescent="0.35">
      <c r="B520" s="2">
        <v>30</v>
      </c>
      <c r="C520" s="2">
        <f t="shared" si="550"/>
        <v>1577</v>
      </c>
      <c r="D520" s="2">
        <f t="shared" si="551"/>
        <v>1547</v>
      </c>
      <c r="E520" s="3">
        <f t="shared" si="552"/>
        <v>10829</v>
      </c>
      <c r="F520" s="17">
        <f t="shared" si="553"/>
        <v>360.93333333333334</v>
      </c>
      <c r="G520" s="17">
        <f t="shared" si="554"/>
        <v>360.73333333333335</v>
      </c>
      <c r="H520" s="17">
        <f t="shared" si="555"/>
        <v>360.6</v>
      </c>
      <c r="I520" s="17">
        <f t="shared" si="556"/>
        <v>360.53333333333336</v>
      </c>
      <c r="J520" s="17">
        <f t="shared" si="557"/>
        <v>360.4</v>
      </c>
      <c r="K520" s="17">
        <f t="shared" si="558"/>
        <v>360.33333333333331</v>
      </c>
      <c r="L520" s="17">
        <f t="shared" si="559"/>
        <v>360.2</v>
      </c>
      <c r="M520" s="17">
        <f t="shared" si="560"/>
        <v>360</v>
      </c>
    </row>
    <row r="521" spans="1:13" x14ac:dyDescent="0.35">
      <c r="B521" s="2">
        <v>30</v>
      </c>
      <c r="C521" s="2">
        <f t="shared" si="550"/>
        <v>1579</v>
      </c>
      <c r="D521" s="2">
        <f t="shared" si="551"/>
        <v>1549</v>
      </c>
      <c r="E521" s="3">
        <f t="shared" si="552"/>
        <v>10843</v>
      </c>
      <c r="F521" s="17">
        <f t="shared" si="553"/>
        <v>361.4</v>
      </c>
      <c r="G521" s="17">
        <f t="shared" si="554"/>
        <v>361.2</v>
      </c>
      <c r="H521" s="17">
        <f t="shared" si="555"/>
        <v>361.06666666666666</v>
      </c>
      <c r="I521" s="17">
        <f t="shared" si="556"/>
        <v>361</v>
      </c>
      <c r="J521" s="17">
        <f t="shared" si="557"/>
        <v>360.86666666666667</v>
      </c>
      <c r="K521" s="17">
        <f t="shared" si="558"/>
        <v>360.8</v>
      </c>
      <c r="L521" s="17">
        <f t="shared" si="559"/>
        <v>360.66666666666669</v>
      </c>
      <c r="M521" s="17">
        <f t="shared" si="560"/>
        <v>360.46666666666664</v>
      </c>
    </row>
    <row r="522" spans="1:13" x14ac:dyDescent="0.35">
      <c r="B522" s="2">
        <v>30</v>
      </c>
      <c r="C522" s="2">
        <f t="shared" si="550"/>
        <v>1583</v>
      </c>
      <c r="D522" s="2">
        <f t="shared" si="551"/>
        <v>1553</v>
      </c>
      <c r="E522" s="3">
        <f t="shared" si="552"/>
        <v>10871</v>
      </c>
      <c r="F522" s="17">
        <f t="shared" si="553"/>
        <v>362.33333333333331</v>
      </c>
      <c r="G522" s="17">
        <f t="shared" si="554"/>
        <v>362.13333333333333</v>
      </c>
      <c r="H522" s="17">
        <f t="shared" si="555"/>
        <v>362</v>
      </c>
      <c r="I522" s="17">
        <f t="shared" si="556"/>
        <v>361.93333333333334</v>
      </c>
      <c r="J522" s="17">
        <f t="shared" si="557"/>
        <v>361.8</v>
      </c>
      <c r="K522" s="17">
        <f t="shared" si="558"/>
        <v>361.73333333333335</v>
      </c>
      <c r="L522" s="17">
        <f t="shared" si="559"/>
        <v>361.6</v>
      </c>
      <c r="M522" s="17">
        <f t="shared" si="560"/>
        <v>361.4</v>
      </c>
    </row>
    <row r="523" spans="1:13" x14ac:dyDescent="0.35">
      <c r="B523" s="2">
        <v>30</v>
      </c>
      <c r="C523" s="2">
        <f t="shared" si="550"/>
        <v>1589</v>
      </c>
      <c r="D523" s="2">
        <f t="shared" si="551"/>
        <v>1559</v>
      </c>
      <c r="E523" s="3">
        <f t="shared" si="552"/>
        <v>10913</v>
      </c>
      <c r="F523" s="17">
        <f t="shared" si="553"/>
        <v>363.73333333333335</v>
      </c>
      <c r="G523" s="17">
        <f t="shared" si="554"/>
        <v>363.53333333333336</v>
      </c>
      <c r="H523" s="17">
        <f t="shared" si="555"/>
        <v>363.4</v>
      </c>
      <c r="I523" s="17">
        <f t="shared" si="556"/>
        <v>363.33333333333331</v>
      </c>
      <c r="J523" s="17">
        <f t="shared" si="557"/>
        <v>363.2</v>
      </c>
      <c r="K523" s="17">
        <f t="shared" si="558"/>
        <v>363.13333333333333</v>
      </c>
      <c r="L523" s="17">
        <f t="shared" si="559"/>
        <v>363</v>
      </c>
      <c r="M523" s="17">
        <f t="shared" si="560"/>
        <v>362.8</v>
      </c>
    </row>
    <row r="524" spans="1:13" ht="16.8" thickBot="1" x14ac:dyDescent="0.4">
      <c r="F524" s="17"/>
      <c r="G524" s="17"/>
      <c r="H524" s="17"/>
      <c r="I524" s="17"/>
      <c r="J524" s="17"/>
      <c r="K524" s="17"/>
      <c r="L524" s="17"/>
      <c r="M524" s="17"/>
    </row>
    <row r="525" spans="1:13" ht="16.8" thickBot="1" x14ac:dyDescent="0.4">
      <c r="A525" s="1">
        <f>A515+1</f>
        <v>53</v>
      </c>
      <c r="C525" s="18" t="s">
        <v>2</v>
      </c>
      <c r="E525" s="13">
        <f>E506</f>
        <v>10507</v>
      </c>
      <c r="F525" s="19">
        <v>1</v>
      </c>
      <c r="G525" s="20">
        <v>7</v>
      </c>
      <c r="H525" s="20">
        <v>11</v>
      </c>
      <c r="I525" s="20">
        <v>13</v>
      </c>
      <c r="J525" s="20">
        <v>17</v>
      </c>
      <c r="K525" s="20">
        <v>19</v>
      </c>
      <c r="L525" s="20">
        <v>23</v>
      </c>
      <c r="M525" s="21">
        <v>29</v>
      </c>
    </row>
    <row r="526" spans="1:13" x14ac:dyDescent="0.35">
      <c r="B526" s="2">
        <v>30</v>
      </c>
      <c r="C526" s="2">
        <f>D526+B526</f>
        <v>1591</v>
      </c>
      <c r="D526" s="2">
        <f>C516</f>
        <v>1561</v>
      </c>
      <c r="E526" s="3">
        <f>D526*$E$5</f>
        <v>10927</v>
      </c>
      <c r="F526" s="17">
        <f>(E526-1)/30</f>
        <v>364.2</v>
      </c>
      <c r="G526" s="17">
        <f>($E526-7)/30</f>
        <v>364</v>
      </c>
      <c r="H526" s="17">
        <f>($E526-11)/30</f>
        <v>363.86666666666667</v>
      </c>
      <c r="I526" s="17">
        <f>($E526-13)/30</f>
        <v>363.8</v>
      </c>
      <c r="J526" s="17">
        <f>($E526-17)/30</f>
        <v>363.66666666666669</v>
      </c>
      <c r="K526" s="17">
        <f>($E526-19)/30</f>
        <v>363.6</v>
      </c>
      <c r="L526" s="17">
        <f>($E526-23)/30</f>
        <v>363.46666666666664</v>
      </c>
      <c r="M526" s="17">
        <f>($E526-29)/30</f>
        <v>363.26666666666665</v>
      </c>
    </row>
    <row r="527" spans="1:13" x14ac:dyDescent="0.35">
      <c r="B527" s="2">
        <v>30</v>
      </c>
      <c r="C527" s="2">
        <f t="shared" ref="C527:C533" si="561">D527+B527</f>
        <v>1597</v>
      </c>
      <c r="D527" s="2">
        <f t="shared" ref="D527:D533" si="562">C517</f>
        <v>1567</v>
      </c>
      <c r="E527" s="3">
        <f t="shared" ref="E527:E533" si="563">D527*$E$5</f>
        <v>10969</v>
      </c>
      <c r="F527" s="17">
        <f t="shared" ref="F527:F533" si="564">(E527-1)/30</f>
        <v>365.6</v>
      </c>
      <c r="G527" s="17">
        <f t="shared" ref="G527:G533" si="565">($E527-7)/30</f>
        <v>365.4</v>
      </c>
      <c r="H527" s="17">
        <f t="shared" ref="H527:H533" si="566">($E527-11)/30</f>
        <v>365.26666666666665</v>
      </c>
      <c r="I527" s="17">
        <f t="shared" ref="I527:I533" si="567">($E527-13)/30</f>
        <v>365.2</v>
      </c>
      <c r="J527" s="17">
        <f t="shared" ref="J527:J533" si="568">($E527-17)/30</f>
        <v>365.06666666666666</v>
      </c>
      <c r="K527" s="17">
        <f t="shared" ref="K527:K533" si="569">($E527-19)/30</f>
        <v>365</v>
      </c>
      <c r="L527" s="17">
        <f t="shared" ref="L527:L533" si="570">($E527-23)/30</f>
        <v>364.86666666666667</v>
      </c>
      <c r="M527" s="17">
        <f t="shared" ref="M527:M533" si="571">($E527-29)/30</f>
        <v>364.66666666666669</v>
      </c>
    </row>
    <row r="528" spans="1:13" x14ac:dyDescent="0.35">
      <c r="B528" s="2">
        <v>30</v>
      </c>
      <c r="C528" s="2">
        <f t="shared" si="561"/>
        <v>1601</v>
      </c>
      <c r="D528" s="2">
        <f t="shared" si="562"/>
        <v>1571</v>
      </c>
      <c r="E528" s="3">
        <f t="shared" si="563"/>
        <v>10997</v>
      </c>
      <c r="F528" s="17">
        <f t="shared" si="564"/>
        <v>366.53333333333336</v>
      </c>
      <c r="G528" s="17">
        <f t="shared" si="565"/>
        <v>366.33333333333331</v>
      </c>
      <c r="H528" s="17">
        <f t="shared" si="566"/>
        <v>366.2</v>
      </c>
      <c r="I528" s="17">
        <f t="shared" si="567"/>
        <v>366.13333333333333</v>
      </c>
      <c r="J528" s="17">
        <f t="shared" si="568"/>
        <v>366</v>
      </c>
      <c r="K528" s="17">
        <f t="shared" si="569"/>
        <v>365.93333333333334</v>
      </c>
      <c r="L528" s="17">
        <f t="shared" si="570"/>
        <v>365.8</v>
      </c>
      <c r="M528" s="17">
        <f t="shared" si="571"/>
        <v>365.6</v>
      </c>
    </row>
    <row r="529" spans="1:13" x14ac:dyDescent="0.35">
      <c r="B529" s="2">
        <v>30</v>
      </c>
      <c r="C529" s="2">
        <f t="shared" si="561"/>
        <v>1603</v>
      </c>
      <c r="D529" s="2">
        <f t="shared" si="562"/>
        <v>1573</v>
      </c>
      <c r="E529" s="3">
        <f t="shared" si="563"/>
        <v>11011</v>
      </c>
      <c r="F529" s="17">
        <f t="shared" si="564"/>
        <v>367</v>
      </c>
      <c r="G529" s="17">
        <f t="shared" si="565"/>
        <v>366.8</v>
      </c>
      <c r="H529" s="17">
        <f t="shared" si="566"/>
        <v>366.66666666666669</v>
      </c>
      <c r="I529" s="17">
        <f t="shared" si="567"/>
        <v>366.6</v>
      </c>
      <c r="J529" s="17">
        <f t="shared" si="568"/>
        <v>366.46666666666664</v>
      </c>
      <c r="K529" s="17">
        <f t="shared" si="569"/>
        <v>366.4</v>
      </c>
      <c r="L529" s="17">
        <f t="shared" si="570"/>
        <v>366.26666666666665</v>
      </c>
      <c r="M529" s="17">
        <f t="shared" si="571"/>
        <v>366.06666666666666</v>
      </c>
    </row>
    <row r="530" spans="1:13" x14ac:dyDescent="0.35">
      <c r="B530" s="2">
        <v>30</v>
      </c>
      <c r="C530" s="2">
        <f t="shared" si="561"/>
        <v>1607</v>
      </c>
      <c r="D530" s="2">
        <f t="shared" si="562"/>
        <v>1577</v>
      </c>
      <c r="E530" s="3">
        <f t="shared" si="563"/>
        <v>11039</v>
      </c>
      <c r="F530" s="17">
        <f t="shared" si="564"/>
        <v>367.93333333333334</v>
      </c>
      <c r="G530" s="17">
        <f t="shared" si="565"/>
        <v>367.73333333333335</v>
      </c>
      <c r="H530" s="17">
        <f t="shared" si="566"/>
        <v>367.6</v>
      </c>
      <c r="I530" s="17">
        <f t="shared" si="567"/>
        <v>367.53333333333336</v>
      </c>
      <c r="J530" s="17">
        <f t="shared" si="568"/>
        <v>367.4</v>
      </c>
      <c r="K530" s="17">
        <f t="shared" si="569"/>
        <v>367.33333333333331</v>
      </c>
      <c r="L530" s="17">
        <f t="shared" si="570"/>
        <v>367.2</v>
      </c>
      <c r="M530" s="17">
        <f t="shared" si="571"/>
        <v>367</v>
      </c>
    </row>
    <row r="531" spans="1:13" x14ac:dyDescent="0.35">
      <c r="B531" s="2">
        <v>30</v>
      </c>
      <c r="C531" s="2">
        <f t="shared" si="561"/>
        <v>1609</v>
      </c>
      <c r="D531" s="2">
        <f t="shared" si="562"/>
        <v>1579</v>
      </c>
      <c r="E531" s="3">
        <f t="shared" si="563"/>
        <v>11053</v>
      </c>
      <c r="F531" s="17">
        <f t="shared" si="564"/>
        <v>368.4</v>
      </c>
      <c r="G531" s="17">
        <f t="shared" si="565"/>
        <v>368.2</v>
      </c>
      <c r="H531" s="17">
        <f t="shared" si="566"/>
        <v>368.06666666666666</v>
      </c>
      <c r="I531" s="17">
        <f t="shared" si="567"/>
        <v>368</v>
      </c>
      <c r="J531" s="17">
        <f t="shared" si="568"/>
        <v>367.86666666666667</v>
      </c>
      <c r="K531" s="17">
        <f t="shared" si="569"/>
        <v>367.8</v>
      </c>
      <c r="L531" s="17">
        <f t="shared" si="570"/>
        <v>367.66666666666669</v>
      </c>
      <c r="M531" s="17">
        <f t="shared" si="571"/>
        <v>367.46666666666664</v>
      </c>
    </row>
    <row r="532" spans="1:13" x14ac:dyDescent="0.35">
      <c r="B532" s="2">
        <v>30</v>
      </c>
      <c r="C532" s="2">
        <f t="shared" si="561"/>
        <v>1613</v>
      </c>
      <c r="D532" s="2">
        <f t="shared" si="562"/>
        <v>1583</v>
      </c>
      <c r="E532" s="3">
        <f t="shared" si="563"/>
        <v>11081</v>
      </c>
      <c r="F532" s="17">
        <f t="shared" si="564"/>
        <v>369.33333333333331</v>
      </c>
      <c r="G532" s="17">
        <f t="shared" si="565"/>
        <v>369.13333333333333</v>
      </c>
      <c r="H532" s="17">
        <f t="shared" si="566"/>
        <v>369</v>
      </c>
      <c r="I532" s="17">
        <f t="shared" si="567"/>
        <v>368.93333333333334</v>
      </c>
      <c r="J532" s="17">
        <f t="shared" si="568"/>
        <v>368.8</v>
      </c>
      <c r="K532" s="17">
        <f t="shared" si="569"/>
        <v>368.73333333333335</v>
      </c>
      <c r="L532" s="17">
        <f t="shared" si="570"/>
        <v>368.6</v>
      </c>
      <c r="M532" s="17">
        <f t="shared" si="571"/>
        <v>368.4</v>
      </c>
    </row>
    <row r="533" spans="1:13" x14ac:dyDescent="0.35">
      <c r="B533" s="2">
        <v>30</v>
      </c>
      <c r="C533" s="2">
        <f t="shared" si="561"/>
        <v>1619</v>
      </c>
      <c r="D533" s="2">
        <f t="shared" si="562"/>
        <v>1589</v>
      </c>
      <c r="E533" s="3">
        <f t="shared" si="563"/>
        <v>11123</v>
      </c>
      <c r="F533" s="17">
        <f t="shared" si="564"/>
        <v>370.73333333333335</v>
      </c>
      <c r="G533" s="17">
        <f t="shared" si="565"/>
        <v>370.53333333333336</v>
      </c>
      <c r="H533" s="17">
        <f t="shared" si="566"/>
        <v>370.4</v>
      </c>
      <c r="I533" s="17">
        <f t="shared" si="567"/>
        <v>370.33333333333331</v>
      </c>
      <c r="J533" s="17">
        <f t="shared" si="568"/>
        <v>370.2</v>
      </c>
      <c r="K533" s="17">
        <f t="shared" si="569"/>
        <v>370.13333333333333</v>
      </c>
      <c r="L533" s="17">
        <f t="shared" si="570"/>
        <v>370</v>
      </c>
      <c r="M533" s="17">
        <f t="shared" si="571"/>
        <v>369.8</v>
      </c>
    </row>
    <row r="534" spans="1:13" ht="16.8" thickBot="1" x14ac:dyDescent="0.4">
      <c r="F534" s="17"/>
      <c r="G534" s="17"/>
      <c r="H534" s="17"/>
      <c r="I534" s="17"/>
      <c r="J534" s="17"/>
      <c r="K534" s="17"/>
      <c r="L534" s="17"/>
      <c r="M534" s="17"/>
    </row>
    <row r="535" spans="1:13" ht="16.8" thickBot="1" x14ac:dyDescent="0.4">
      <c r="A535" s="1">
        <f>A525+1</f>
        <v>54</v>
      </c>
      <c r="C535" s="18" t="s">
        <v>2</v>
      </c>
      <c r="E535" s="13">
        <f>E516</f>
        <v>10717</v>
      </c>
      <c r="F535" s="19">
        <v>1</v>
      </c>
      <c r="G535" s="20">
        <v>7</v>
      </c>
      <c r="H535" s="20">
        <v>11</v>
      </c>
      <c r="I535" s="20">
        <v>13</v>
      </c>
      <c r="J535" s="20">
        <v>17</v>
      </c>
      <c r="K535" s="20">
        <v>19</v>
      </c>
      <c r="L535" s="20">
        <v>23</v>
      </c>
      <c r="M535" s="21">
        <v>29</v>
      </c>
    </row>
    <row r="536" spans="1:13" x14ac:dyDescent="0.35">
      <c r="B536" s="2">
        <v>30</v>
      </c>
      <c r="C536" s="2">
        <f>D536+B536</f>
        <v>1621</v>
      </c>
      <c r="D536" s="2">
        <f>C526</f>
        <v>1591</v>
      </c>
      <c r="E536" s="3">
        <f>D536*$E$5</f>
        <v>11137</v>
      </c>
      <c r="F536" s="17">
        <f>(E536-1)/30</f>
        <v>371.2</v>
      </c>
      <c r="G536" s="17">
        <f>($E536-7)/30</f>
        <v>371</v>
      </c>
      <c r="H536" s="17">
        <f>($E536-11)/30</f>
        <v>370.86666666666667</v>
      </c>
      <c r="I536" s="17">
        <f>($E536-13)/30</f>
        <v>370.8</v>
      </c>
      <c r="J536" s="17">
        <f>($E536-17)/30</f>
        <v>370.66666666666669</v>
      </c>
      <c r="K536" s="17">
        <f>($E536-19)/30</f>
        <v>370.6</v>
      </c>
      <c r="L536" s="17">
        <f>($E536-23)/30</f>
        <v>370.46666666666664</v>
      </c>
      <c r="M536" s="17">
        <f>($E536-29)/30</f>
        <v>370.26666666666665</v>
      </c>
    </row>
    <row r="537" spans="1:13" x14ac:dyDescent="0.35">
      <c r="B537" s="2">
        <v>30</v>
      </c>
      <c r="C537" s="2">
        <f t="shared" ref="C537:C543" si="572">D537+B537</f>
        <v>1627</v>
      </c>
      <c r="D537" s="2">
        <f t="shared" ref="D537:D543" si="573">C527</f>
        <v>1597</v>
      </c>
      <c r="E537" s="3">
        <f t="shared" ref="E537:E543" si="574">D537*$E$5</f>
        <v>11179</v>
      </c>
      <c r="F537" s="17">
        <f t="shared" ref="F537:F543" si="575">(E537-1)/30</f>
        <v>372.6</v>
      </c>
      <c r="G537" s="17">
        <f t="shared" ref="G537:G543" si="576">($E537-7)/30</f>
        <v>372.4</v>
      </c>
      <c r="H537" s="17">
        <f t="shared" ref="H537:H543" si="577">($E537-11)/30</f>
        <v>372.26666666666665</v>
      </c>
      <c r="I537" s="17">
        <f t="shared" ref="I537:I543" si="578">($E537-13)/30</f>
        <v>372.2</v>
      </c>
      <c r="J537" s="17">
        <f t="shared" ref="J537:J543" si="579">($E537-17)/30</f>
        <v>372.06666666666666</v>
      </c>
      <c r="K537" s="17">
        <f t="shared" ref="K537:K543" si="580">($E537-19)/30</f>
        <v>372</v>
      </c>
      <c r="L537" s="17">
        <f t="shared" ref="L537:L543" si="581">($E537-23)/30</f>
        <v>371.86666666666667</v>
      </c>
      <c r="M537" s="17">
        <f t="shared" ref="M537:M543" si="582">($E537-29)/30</f>
        <v>371.66666666666669</v>
      </c>
    </row>
    <row r="538" spans="1:13" x14ac:dyDescent="0.35">
      <c r="B538" s="2">
        <v>30</v>
      </c>
      <c r="C538" s="2">
        <f t="shared" si="572"/>
        <v>1631</v>
      </c>
      <c r="D538" s="2">
        <f t="shared" si="573"/>
        <v>1601</v>
      </c>
      <c r="E538" s="3">
        <f t="shared" si="574"/>
        <v>11207</v>
      </c>
      <c r="F538" s="17">
        <f t="shared" si="575"/>
        <v>373.53333333333336</v>
      </c>
      <c r="G538" s="17">
        <f t="shared" si="576"/>
        <v>373.33333333333331</v>
      </c>
      <c r="H538" s="17">
        <f t="shared" si="577"/>
        <v>373.2</v>
      </c>
      <c r="I538" s="17">
        <f t="shared" si="578"/>
        <v>373.13333333333333</v>
      </c>
      <c r="J538" s="17">
        <f t="shared" si="579"/>
        <v>373</v>
      </c>
      <c r="K538" s="17">
        <f t="shared" si="580"/>
        <v>372.93333333333334</v>
      </c>
      <c r="L538" s="17">
        <f t="shared" si="581"/>
        <v>372.8</v>
      </c>
      <c r="M538" s="17">
        <f t="shared" si="582"/>
        <v>372.6</v>
      </c>
    </row>
    <row r="539" spans="1:13" x14ac:dyDescent="0.35">
      <c r="B539" s="2">
        <v>30</v>
      </c>
      <c r="C539" s="2">
        <f t="shared" si="572"/>
        <v>1633</v>
      </c>
      <c r="D539" s="2">
        <f t="shared" si="573"/>
        <v>1603</v>
      </c>
      <c r="E539" s="3">
        <f t="shared" si="574"/>
        <v>11221</v>
      </c>
      <c r="F539" s="17">
        <f t="shared" si="575"/>
        <v>374</v>
      </c>
      <c r="G539" s="17">
        <f t="shared" si="576"/>
        <v>373.8</v>
      </c>
      <c r="H539" s="17">
        <f t="shared" si="577"/>
        <v>373.66666666666669</v>
      </c>
      <c r="I539" s="17">
        <f t="shared" si="578"/>
        <v>373.6</v>
      </c>
      <c r="J539" s="17">
        <f t="shared" si="579"/>
        <v>373.46666666666664</v>
      </c>
      <c r="K539" s="17">
        <f t="shared" si="580"/>
        <v>373.4</v>
      </c>
      <c r="L539" s="17">
        <f t="shared" si="581"/>
        <v>373.26666666666665</v>
      </c>
      <c r="M539" s="17">
        <f t="shared" si="582"/>
        <v>373.06666666666666</v>
      </c>
    </row>
    <row r="540" spans="1:13" x14ac:dyDescent="0.35">
      <c r="B540" s="2">
        <v>30</v>
      </c>
      <c r="C540" s="2">
        <f t="shared" si="572"/>
        <v>1637</v>
      </c>
      <c r="D540" s="2">
        <f t="shared" si="573"/>
        <v>1607</v>
      </c>
      <c r="E540" s="3">
        <f t="shared" si="574"/>
        <v>11249</v>
      </c>
      <c r="F540" s="17">
        <f t="shared" si="575"/>
        <v>374.93333333333334</v>
      </c>
      <c r="G540" s="17">
        <f t="shared" si="576"/>
        <v>374.73333333333335</v>
      </c>
      <c r="H540" s="17">
        <f t="shared" si="577"/>
        <v>374.6</v>
      </c>
      <c r="I540" s="17">
        <f t="shared" si="578"/>
        <v>374.53333333333336</v>
      </c>
      <c r="J540" s="17">
        <f t="shared" si="579"/>
        <v>374.4</v>
      </c>
      <c r="K540" s="17">
        <f t="shared" si="580"/>
        <v>374.33333333333331</v>
      </c>
      <c r="L540" s="17">
        <f t="shared" si="581"/>
        <v>374.2</v>
      </c>
      <c r="M540" s="17">
        <f t="shared" si="582"/>
        <v>374</v>
      </c>
    </row>
    <row r="541" spans="1:13" x14ac:dyDescent="0.35">
      <c r="B541" s="2">
        <v>30</v>
      </c>
      <c r="C541" s="2">
        <f t="shared" si="572"/>
        <v>1639</v>
      </c>
      <c r="D541" s="2">
        <f t="shared" si="573"/>
        <v>1609</v>
      </c>
      <c r="E541" s="3">
        <f t="shared" si="574"/>
        <v>11263</v>
      </c>
      <c r="F541" s="17">
        <f t="shared" si="575"/>
        <v>375.4</v>
      </c>
      <c r="G541" s="17">
        <f t="shared" si="576"/>
        <v>375.2</v>
      </c>
      <c r="H541" s="17">
        <f t="shared" si="577"/>
        <v>375.06666666666666</v>
      </c>
      <c r="I541" s="17">
        <f t="shared" si="578"/>
        <v>375</v>
      </c>
      <c r="J541" s="17">
        <f t="shared" si="579"/>
        <v>374.86666666666667</v>
      </c>
      <c r="K541" s="17">
        <f t="shared" si="580"/>
        <v>374.8</v>
      </c>
      <c r="L541" s="17">
        <f t="shared" si="581"/>
        <v>374.66666666666669</v>
      </c>
      <c r="M541" s="17">
        <f t="shared" si="582"/>
        <v>374.46666666666664</v>
      </c>
    </row>
    <row r="542" spans="1:13" x14ac:dyDescent="0.35">
      <c r="B542" s="2">
        <v>30</v>
      </c>
      <c r="C542" s="2">
        <f t="shared" si="572"/>
        <v>1643</v>
      </c>
      <c r="D542" s="2">
        <f t="shared" si="573"/>
        <v>1613</v>
      </c>
      <c r="E542" s="3">
        <f t="shared" si="574"/>
        <v>11291</v>
      </c>
      <c r="F542" s="17">
        <f t="shared" si="575"/>
        <v>376.33333333333331</v>
      </c>
      <c r="G542" s="17">
        <f t="shared" si="576"/>
        <v>376.13333333333333</v>
      </c>
      <c r="H542" s="17">
        <f t="shared" si="577"/>
        <v>376</v>
      </c>
      <c r="I542" s="17">
        <f t="shared" si="578"/>
        <v>375.93333333333334</v>
      </c>
      <c r="J542" s="17">
        <f t="shared" si="579"/>
        <v>375.8</v>
      </c>
      <c r="K542" s="17">
        <f t="shared" si="580"/>
        <v>375.73333333333335</v>
      </c>
      <c r="L542" s="17">
        <f t="shared" si="581"/>
        <v>375.6</v>
      </c>
      <c r="M542" s="17">
        <f t="shared" si="582"/>
        <v>375.4</v>
      </c>
    </row>
    <row r="543" spans="1:13" x14ac:dyDescent="0.35">
      <c r="B543" s="2">
        <v>30</v>
      </c>
      <c r="C543" s="2">
        <f t="shared" si="572"/>
        <v>1649</v>
      </c>
      <c r="D543" s="2">
        <f t="shared" si="573"/>
        <v>1619</v>
      </c>
      <c r="E543" s="3">
        <f t="shared" si="574"/>
        <v>11333</v>
      </c>
      <c r="F543" s="17">
        <f t="shared" si="575"/>
        <v>377.73333333333335</v>
      </c>
      <c r="G543" s="17">
        <f t="shared" si="576"/>
        <v>377.53333333333336</v>
      </c>
      <c r="H543" s="17">
        <f t="shared" si="577"/>
        <v>377.4</v>
      </c>
      <c r="I543" s="17">
        <f t="shared" si="578"/>
        <v>377.33333333333331</v>
      </c>
      <c r="J543" s="17">
        <f t="shared" si="579"/>
        <v>377.2</v>
      </c>
      <c r="K543" s="17">
        <f t="shared" si="580"/>
        <v>377.13333333333333</v>
      </c>
      <c r="L543" s="17">
        <f t="shared" si="581"/>
        <v>377</v>
      </c>
      <c r="M543" s="17">
        <f t="shared" si="582"/>
        <v>376.8</v>
      </c>
    </row>
    <row r="544" spans="1:13" ht="16.8" thickBot="1" x14ac:dyDescent="0.4">
      <c r="F544" s="17"/>
      <c r="G544" s="17"/>
      <c r="H544" s="17"/>
      <c r="I544" s="17"/>
      <c r="J544" s="17"/>
      <c r="K544" s="17"/>
      <c r="L544" s="17"/>
      <c r="M544" s="17"/>
    </row>
    <row r="545" spans="1:13" ht="16.8" thickBot="1" x14ac:dyDescent="0.4">
      <c r="A545" s="1">
        <f>A535+1</f>
        <v>55</v>
      </c>
      <c r="C545" s="18" t="s">
        <v>2</v>
      </c>
      <c r="E545" s="13">
        <f>E526</f>
        <v>10927</v>
      </c>
      <c r="F545" s="19">
        <v>1</v>
      </c>
      <c r="G545" s="20">
        <v>7</v>
      </c>
      <c r="H545" s="20">
        <v>11</v>
      </c>
      <c r="I545" s="20">
        <v>13</v>
      </c>
      <c r="J545" s="20">
        <v>17</v>
      </c>
      <c r="K545" s="20">
        <v>19</v>
      </c>
      <c r="L545" s="20">
        <v>23</v>
      </c>
      <c r="M545" s="21">
        <v>29</v>
      </c>
    </row>
    <row r="546" spans="1:13" x14ac:dyDescent="0.35">
      <c r="B546" s="2">
        <v>30</v>
      </c>
      <c r="C546" s="2">
        <f>D546+B546</f>
        <v>1651</v>
      </c>
      <c r="D546" s="2">
        <f>C536</f>
        <v>1621</v>
      </c>
      <c r="E546" s="3">
        <f>D546*$E$5</f>
        <v>11347</v>
      </c>
      <c r="F546" s="17">
        <f>(E546-1)/30</f>
        <v>378.2</v>
      </c>
      <c r="G546" s="17">
        <f>($E546-7)/30</f>
        <v>378</v>
      </c>
      <c r="H546" s="17">
        <f>($E546-11)/30</f>
        <v>377.86666666666667</v>
      </c>
      <c r="I546" s="17">
        <f>($E546-13)/30</f>
        <v>377.8</v>
      </c>
      <c r="J546" s="17">
        <f>($E546-17)/30</f>
        <v>377.66666666666669</v>
      </c>
      <c r="K546" s="17">
        <f>($E546-19)/30</f>
        <v>377.6</v>
      </c>
      <c r="L546" s="17">
        <f>($E546-23)/30</f>
        <v>377.46666666666664</v>
      </c>
      <c r="M546" s="17">
        <f>($E546-29)/30</f>
        <v>377.26666666666665</v>
      </c>
    </row>
    <row r="547" spans="1:13" x14ac:dyDescent="0.35">
      <c r="B547" s="2">
        <v>30</v>
      </c>
      <c r="C547" s="2">
        <f t="shared" ref="C547:C553" si="583">D547+B547</f>
        <v>1657</v>
      </c>
      <c r="D547" s="2">
        <f t="shared" ref="D547:D553" si="584">C537</f>
        <v>1627</v>
      </c>
      <c r="E547" s="3">
        <f t="shared" ref="E547:E553" si="585">D547*$E$5</f>
        <v>11389</v>
      </c>
      <c r="F547" s="17">
        <f t="shared" ref="F547:F553" si="586">(E547-1)/30</f>
        <v>379.6</v>
      </c>
      <c r="G547" s="17">
        <f t="shared" ref="G547:G553" si="587">($E547-7)/30</f>
        <v>379.4</v>
      </c>
      <c r="H547" s="17">
        <f t="shared" ref="H547:H553" si="588">($E547-11)/30</f>
        <v>379.26666666666665</v>
      </c>
      <c r="I547" s="17">
        <f t="shared" ref="I547:I553" si="589">($E547-13)/30</f>
        <v>379.2</v>
      </c>
      <c r="J547" s="17">
        <f t="shared" ref="J547:J553" si="590">($E547-17)/30</f>
        <v>379.06666666666666</v>
      </c>
      <c r="K547" s="17">
        <f t="shared" ref="K547:K553" si="591">($E547-19)/30</f>
        <v>379</v>
      </c>
      <c r="L547" s="17">
        <f t="shared" ref="L547:L553" si="592">($E547-23)/30</f>
        <v>378.86666666666667</v>
      </c>
      <c r="M547" s="17">
        <f t="shared" ref="M547:M553" si="593">($E547-29)/30</f>
        <v>378.66666666666669</v>
      </c>
    </row>
    <row r="548" spans="1:13" x14ac:dyDescent="0.35">
      <c r="B548" s="2">
        <v>30</v>
      </c>
      <c r="C548" s="2">
        <f t="shared" si="583"/>
        <v>1661</v>
      </c>
      <c r="D548" s="2">
        <f t="shared" si="584"/>
        <v>1631</v>
      </c>
      <c r="E548" s="3">
        <f t="shared" si="585"/>
        <v>11417</v>
      </c>
      <c r="F548" s="17">
        <f t="shared" si="586"/>
        <v>380.53333333333336</v>
      </c>
      <c r="G548" s="17">
        <f t="shared" si="587"/>
        <v>380.33333333333331</v>
      </c>
      <c r="H548" s="17">
        <f t="shared" si="588"/>
        <v>380.2</v>
      </c>
      <c r="I548" s="17">
        <f t="shared" si="589"/>
        <v>380.13333333333333</v>
      </c>
      <c r="J548" s="17">
        <f t="shared" si="590"/>
        <v>380</v>
      </c>
      <c r="K548" s="17">
        <f t="shared" si="591"/>
        <v>379.93333333333334</v>
      </c>
      <c r="L548" s="17">
        <f t="shared" si="592"/>
        <v>379.8</v>
      </c>
      <c r="M548" s="17">
        <f t="shared" si="593"/>
        <v>379.6</v>
      </c>
    </row>
    <row r="549" spans="1:13" x14ac:dyDescent="0.35">
      <c r="B549" s="2">
        <v>30</v>
      </c>
      <c r="C549" s="2">
        <f t="shared" si="583"/>
        <v>1663</v>
      </c>
      <c r="D549" s="2">
        <f t="shared" si="584"/>
        <v>1633</v>
      </c>
      <c r="E549" s="3">
        <f t="shared" si="585"/>
        <v>11431</v>
      </c>
      <c r="F549" s="17">
        <f t="shared" si="586"/>
        <v>381</v>
      </c>
      <c r="G549" s="17">
        <f t="shared" si="587"/>
        <v>380.8</v>
      </c>
      <c r="H549" s="17">
        <f t="shared" si="588"/>
        <v>380.66666666666669</v>
      </c>
      <c r="I549" s="17">
        <f t="shared" si="589"/>
        <v>380.6</v>
      </c>
      <c r="J549" s="17">
        <f t="shared" si="590"/>
        <v>380.46666666666664</v>
      </c>
      <c r="K549" s="17">
        <f t="shared" si="591"/>
        <v>380.4</v>
      </c>
      <c r="L549" s="17">
        <f t="shared" si="592"/>
        <v>380.26666666666665</v>
      </c>
      <c r="M549" s="17">
        <f t="shared" si="593"/>
        <v>380.06666666666666</v>
      </c>
    </row>
    <row r="550" spans="1:13" x14ac:dyDescent="0.35">
      <c r="B550" s="2">
        <v>30</v>
      </c>
      <c r="C550" s="2">
        <f t="shared" si="583"/>
        <v>1667</v>
      </c>
      <c r="D550" s="2">
        <f t="shared" si="584"/>
        <v>1637</v>
      </c>
      <c r="E550" s="3">
        <f t="shared" si="585"/>
        <v>11459</v>
      </c>
      <c r="F550" s="17">
        <f t="shared" si="586"/>
        <v>381.93333333333334</v>
      </c>
      <c r="G550" s="17">
        <f t="shared" si="587"/>
        <v>381.73333333333335</v>
      </c>
      <c r="H550" s="17">
        <f t="shared" si="588"/>
        <v>381.6</v>
      </c>
      <c r="I550" s="17">
        <f t="shared" si="589"/>
        <v>381.53333333333336</v>
      </c>
      <c r="J550" s="17">
        <f t="shared" si="590"/>
        <v>381.4</v>
      </c>
      <c r="K550" s="17">
        <f t="shared" si="591"/>
        <v>381.33333333333331</v>
      </c>
      <c r="L550" s="17">
        <f t="shared" si="592"/>
        <v>381.2</v>
      </c>
      <c r="M550" s="17">
        <f t="shared" si="593"/>
        <v>381</v>
      </c>
    </row>
    <row r="551" spans="1:13" x14ac:dyDescent="0.35">
      <c r="B551" s="2">
        <v>30</v>
      </c>
      <c r="C551" s="2">
        <f t="shared" si="583"/>
        <v>1669</v>
      </c>
      <c r="D551" s="2">
        <f t="shared" si="584"/>
        <v>1639</v>
      </c>
      <c r="E551" s="3">
        <f t="shared" si="585"/>
        <v>11473</v>
      </c>
      <c r="F551" s="17">
        <f t="shared" si="586"/>
        <v>382.4</v>
      </c>
      <c r="G551" s="17">
        <f t="shared" si="587"/>
        <v>382.2</v>
      </c>
      <c r="H551" s="17">
        <f t="shared" si="588"/>
        <v>382.06666666666666</v>
      </c>
      <c r="I551" s="17">
        <f t="shared" si="589"/>
        <v>382</v>
      </c>
      <c r="J551" s="17">
        <f t="shared" si="590"/>
        <v>381.86666666666667</v>
      </c>
      <c r="K551" s="17">
        <f t="shared" si="591"/>
        <v>381.8</v>
      </c>
      <c r="L551" s="17">
        <f t="shared" si="592"/>
        <v>381.66666666666669</v>
      </c>
      <c r="M551" s="17">
        <f t="shared" si="593"/>
        <v>381.46666666666664</v>
      </c>
    </row>
    <row r="552" spans="1:13" x14ac:dyDescent="0.35">
      <c r="B552" s="2">
        <v>30</v>
      </c>
      <c r="C552" s="2">
        <f t="shared" si="583"/>
        <v>1673</v>
      </c>
      <c r="D552" s="2">
        <f t="shared" si="584"/>
        <v>1643</v>
      </c>
      <c r="E552" s="3">
        <f t="shared" si="585"/>
        <v>11501</v>
      </c>
      <c r="F552" s="17">
        <f t="shared" si="586"/>
        <v>383.33333333333331</v>
      </c>
      <c r="G552" s="17">
        <f t="shared" si="587"/>
        <v>383.13333333333333</v>
      </c>
      <c r="H552" s="17">
        <f t="shared" si="588"/>
        <v>383</v>
      </c>
      <c r="I552" s="17">
        <f t="shared" si="589"/>
        <v>382.93333333333334</v>
      </c>
      <c r="J552" s="17">
        <f t="shared" si="590"/>
        <v>382.8</v>
      </c>
      <c r="K552" s="17">
        <f t="shared" si="591"/>
        <v>382.73333333333335</v>
      </c>
      <c r="L552" s="17">
        <f t="shared" si="592"/>
        <v>382.6</v>
      </c>
      <c r="M552" s="17">
        <f t="shared" si="593"/>
        <v>382.4</v>
      </c>
    </row>
    <row r="553" spans="1:13" x14ac:dyDescent="0.35">
      <c r="B553" s="2">
        <v>30</v>
      </c>
      <c r="C553" s="2">
        <f t="shared" si="583"/>
        <v>1679</v>
      </c>
      <c r="D553" s="2">
        <f t="shared" si="584"/>
        <v>1649</v>
      </c>
      <c r="E553" s="3">
        <f t="shared" si="585"/>
        <v>11543</v>
      </c>
      <c r="F553" s="17">
        <f t="shared" si="586"/>
        <v>384.73333333333335</v>
      </c>
      <c r="G553" s="17">
        <f t="shared" si="587"/>
        <v>384.53333333333336</v>
      </c>
      <c r="H553" s="17">
        <f t="shared" si="588"/>
        <v>384.4</v>
      </c>
      <c r="I553" s="17">
        <f t="shared" si="589"/>
        <v>384.33333333333331</v>
      </c>
      <c r="J553" s="17">
        <f t="shared" si="590"/>
        <v>384.2</v>
      </c>
      <c r="K553" s="17">
        <f t="shared" si="591"/>
        <v>384.13333333333333</v>
      </c>
      <c r="L553" s="17">
        <f t="shared" si="592"/>
        <v>384</v>
      </c>
      <c r="M553" s="17">
        <f t="shared" si="593"/>
        <v>383.8</v>
      </c>
    </row>
    <row r="554" spans="1:13" ht="16.8" thickBot="1" x14ac:dyDescent="0.4">
      <c r="F554" s="17"/>
      <c r="G554" s="17"/>
      <c r="H554" s="17"/>
      <c r="I554" s="17"/>
      <c r="J554" s="17"/>
      <c r="K554" s="17"/>
      <c r="L554" s="17"/>
      <c r="M554" s="17"/>
    </row>
    <row r="555" spans="1:13" ht="16.8" thickBot="1" x14ac:dyDescent="0.4">
      <c r="A555" s="1">
        <f>A545+1</f>
        <v>56</v>
      </c>
      <c r="C555" s="18" t="s">
        <v>2</v>
      </c>
      <c r="E555" s="13">
        <f>E536</f>
        <v>11137</v>
      </c>
      <c r="F555" s="19">
        <v>1</v>
      </c>
      <c r="G555" s="20">
        <v>7</v>
      </c>
      <c r="H555" s="20">
        <v>11</v>
      </c>
      <c r="I555" s="20">
        <v>13</v>
      </c>
      <c r="J555" s="20">
        <v>17</v>
      </c>
      <c r="K555" s="20">
        <v>19</v>
      </c>
      <c r="L555" s="20">
        <v>23</v>
      </c>
      <c r="M555" s="21">
        <v>29</v>
      </c>
    </row>
    <row r="556" spans="1:13" x14ac:dyDescent="0.35">
      <c r="B556" s="2">
        <v>30</v>
      </c>
      <c r="C556" s="2">
        <f>D556+B556</f>
        <v>1681</v>
      </c>
      <c r="D556" s="2">
        <f>C546</f>
        <v>1651</v>
      </c>
      <c r="E556" s="3">
        <f>D556*$E$5</f>
        <v>11557</v>
      </c>
      <c r="F556" s="17">
        <f>(E556-1)/30</f>
        <v>385.2</v>
      </c>
      <c r="G556" s="17">
        <f>($E556-7)/30</f>
        <v>385</v>
      </c>
      <c r="H556" s="17">
        <f>($E556-11)/30</f>
        <v>384.86666666666667</v>
      </c>
      <c r="I556" s="17">
        <f>($E556-13)/30</f>
        <v>384.8</v>
      </c>
      <c r="J556" s="17">
        <f>($E556-17)/30</f>
        <v>384.66666666666669</v>
      </c>
      <c r="K556" s="17">
        <f>($E556-19)/30</f>
        <v>384.6</v>
      </c>
      <c r="L556" s="17">
        <f>($E556-23)/30</f>
        <v>384.46666666666664</v>
      </c>
      <c r="M556" s="17">
        <f>($E556-29)/30</f>
        <v>384.26666666666665</v>
      </c>
    </row>
    <row r="557" spans="1:13" x14ac:dyDescent="0.35">
      <c r="B557" s="2">
        <v>30</v>
      </c>
      <c r="C557" s="2">
        <f t="shared" ref="C557:C563" si="594">D557+B557</f>
        <v>1687</v>
      </c>
      <c r="D557" s="2">
        <f t="shared" ref="D557:D563" si="595">C547</f>
        <v>1657</v>
      </c>
      <c r="E557" s="3">
        <f t="shared" ref="E557:E563" si="596">D557*$E$5</f>
        <v>11599</v>
      </c>
      <c r="F557" s="17">
        <f t="shared" ref="F557:F563" si="597">(E557-1)/30</f>
        <v>386.6</v>
      </c>
      <c r="G557" s="17">
        <f t="shared" ref="G557:G563" si="598">($E557-7)/30</f>
        <v>386.4</v>
      </c>
      <c r="H557" s="17">
        <f t="shared" ref="H557:H563" si="599">($E557-11)/30</f>
        <v>386.26666666666665</v>
      </c>
      <c r="I557" s="17">
        <f t="shared" ref="I557:I563" si="600">($E557-13)/30</f>
        <v>386.2</v>
      </c>
      <c r="J557" s="17">
        <f t="shared" ref="J557:J563" si="601">($E557-17)/30</f>
        <v>386.06666666666666</v>
      </c>
      <c r="K557" s="17">
        <f t="shared" ref="K557:K563" si="602">($E557-19)/30</f>
        <v>386</v>
      </c>
      <c r="L557" s="17">
        <f t="shared" ref="L557:L563" si="603">($E557-23)/30</f>
        <v>385.86666666666667</v>
      </c>
      <c r="M557" s="17">
        <f t="shared" ref="M557:M563" si="604">($E557-29)/30</f>
        <v>385.66666666666669</v>
      </c>
    </row>
    <row r="558" spans="1:13" x14ac:dyDescent="0.35">
      <c r="B558" s="2">
        <v>30</v>
      </c>
      <c r="C558" s="2">
        <f t="shared" si="594"/>
        <v>1691</v>
      </c>
      <c r="D558" s="2">
        <f t="shared" si="595"/>
        <v>1661</v>
      </c>
      <c r="E558" s="3">
        <f t="shared" si="596"/>
        <v>11627</v>
      </c>
      <c r="F558" s="17">
        <f t="shared" si="597"/>
        <v>387.53333333333336</v>
      </c>
      <c r="G558" s="17">
        <f t="shared" si="598"/>
        <v>387.33333333333331</v>
      </c>
      <c r="H558" s="17">
        <f t="shared" si="599"/>
        <v>387.2</v>
      </c>
      <c r="I558" s="17">
        <f t="shared" si="600"/>
        <v>387.13333333333333</v>
      </c>
      <c r="J558" s="17">
        <f t="shared" si="601"/>
        <v>387</v>
      </c>
      <c r="K558" s="17">
        <f t="shared" si="602"/>
        <v>386.93333333333334</v>
      </c>
      <c r="L558" s="17">
        <f t="shared" si="603"/>
        <v>386.8</v>
      </c>
      <c r="M558" s="17">
        <f t="shared" si="604"/>
        <v>386.6</v>
      </c>
    </row>
    <row r="559" spans="1:13" x14ac:dyDescent="0.35">
      <c r="B559" s="2">
        <v>30</v>
      </c>
      <c r="C559" s="2">
        <f t="shared" si="594"/>
        <v>1693</v>
      </c>
      <c r="D559" s="2">
        <f t="shared" si="595"/>
        <v>1663</v>
      </c>
      <c r="E559" s="3">
        <f t="shared" si="596"/>
        <v>11641</v>
      </c>
      <c r="F559" s="17">
        <f t="shared" si="597"/>
        <v>388</v>
      </c>
      <c r="G559" s="17">
        <f t="shared" si="598"/>
        <v>387.8</v>
      </c>
      <c r="H559" s="17">
        <f t="shared" si="599"/>
        <v>387.66666666666669</v>
      </c>
      <c r="I559" s="17">
        <f t="shared" si="600"/>
        <v>387.6</v>
      </c>
      <c r="J559" s="17">
        <f t="shared" si="601"/>
        <v>387.46666666666664</v>
      </c>
      <c r="K559" s="17">
        <f t="shared" si="602"/>
        <v>387.4</v>
      </c>
      <c r="L559" s="17">
        <f t="shared" si="603"/>
        <v>387.26666666666665</v>
      </c>
      <c r="M559" s="17">
        <f t="shared" si="604"/>
        <v>387.06666666666666</v>
      </c>
    </row>
    <row r="560" spans="1:13" x14ac:dyDescent="0.35">
      <c r="B560" s="2">
        <v>30</v>
      </c>
      <c r="C560" s="2">
        <f t="shared" si="594"/>
        <v>1697</v>
      </c>
      <c r="D560" s="2">
        <f t="shared" si="595"/>
        <v>1667</v>
      </c>
      <c r="E560" s="3">
        <f t="shared" si="596"/>
        <v>11669</v>
      </c>
      <c r="F560" s="17">
        <f t="shared" si="597"/>
        <v>388.93333333333334</v>
      </c>
      <c r="G560" s="17">
        <f t="shared" si="598"/>
        <v>388.73333333333335</v>
      </c>
      <c r="H560" s="17">
        <f t="shared" si="599"/>
        <v>388.6</v>
      </c>
      <c r="I560" s="17">
        <f t="shared" si="600"/>
        <v>388.53333333333336</v>
      </c>
      <c r="J560" s="17">
        <f t="shared" si="601"/>
        <v>388.4</v>
      </c>
      <c r="K560" s="17">
        <f t="shared" si="602"/>
        <v>388.33333333333331</v>
      </c>
      <c r="L560" s="17">
        <f t="shared" si="603"/>
        <v>388.2</v>
      </c>
      <c r="M560" s="17">
        <f t="shared" si="604"/>
        <v>388</v>
      </c>
    </row>
    <row r="561" spans="1:13" x14ac:dyDescent="0.35">
      <c r="B561" s="2">
        <v>30</v>
      </c>
      <c r="C561" s="2">
        <f t="shared" si="594"/>
        <v>1699</v>
      </c>
      <c r="D561" s="2">
        <f t="shared" si="595"/>
        <v>1669</v>
      </c>
      <c r="E561" s="3">
        <f t="shared" si="596"/>
        <v>11683</v>
      </c>
      <c r="F561" s="17">
        <f t="shared" si="597"/>
        <v>389.4</v>
      </c>
      <c r="G561" s="17">
        <f t="shared" si="598"/>
        <v>389.2</v>
      </c>
      <c r="H561" s="17">
        <f t="shared" si="599"/>
        <v>389.06666666666666</v>
      </c>
      <c r="I561" s="17">
        <f t="shared" si="600"/>
        <v>389</v>
      </c>
      <c r="J561" s="17">
        <f t="shared" si="601"/>
        <v>388.86666666666667</v>
      </c>
      <c r="K561" s="17">
        <f t="shared" si="602"/>
        <v>388.8</v>
      </c>
      <c r="L561" s="17">
        <f t="shared" si="603"/>
        <v>388.66666666666669</v>
      </c>
      <c r="M561" s="17">
        <f t="shared" si="604"/>
        <v>388.46666666666664</v>
      </c>
    </row>
    <row r="562" spans="1:13" x14ac:dyDescent="0.35">
      <c r="B562" s="2">
        <v>30</v>
      </c>
      <c r="C562" s="2">
        <f t="shared" si="594"/>
        <v>1703</v>
      </c>
      <c r="D562" s="2">
        <f t="shared" si="595"/>
        <v>1673</v>
      </c>
      <c r="E562" s="3">
        <f t="shared" si="596"/>
        <v>11711</v>
      </c>
      <c r="F562" s="17">
        <f t="shared" si="597"/>
        <v>390.33333333333331</v>
      </c>
      <c r="G562" s="17">
        <f t="shared" si="598"/>
        <v>390.13333333333333</v>
      </c>
      <c r="H562" s="17">
        <f t="shared" si="599"/>
        <v>390</v>
      </c>
      <c r="I562" s="17">
        <f t="shared" si="600"/>
        <v>389.93333333333334</v>
      </c>
      <c r="J562" s="17">
        <f t="shared" si="601"/>
        <v>389.8</v>
      </c>
      <c r="K562" s="17">
        <f t="shared" si="602"/>
        <v>389.73333333333335</v>
      </c>
      <c r="L562" s="17">
        <f t="shared" si="603"/>
        <v>389.6</v>
      </c>
      <c r="M562" s="17">
        <f t="shared" si="604"/>
        <v>389.4</v>
      </c>
    </row>
    <row r="563" spans="1:13" x14ac:dyDescent="0.35">
      <c r="B563" s="2">
        <v>30</v>
      </c>
      <c r="C563" s="2">
        <f t="shared" si="594"/>
        <v>1709</v>
      </c>
      <c r="D563" s="2">
        <f t="shared" si="595"/>
        <v>1679</v>
      </c>
      <c r="E563" s="3">
        <f t="shared" si="596"/>
        <v>11753</v>
      </c>
      <c r="F563" s="17">
        <f t="shared" si="597"/>
        <v>391.73333333333335</v>
      </c>
      <c r="G563" s="17">
        <f t="shared" si="598"/>
        <v>391.53333333333336</v>
      </c>
      <c r="H563" s="17">
        <f t="shared" si="599"/>
        <v>391.4</v>
      </c>
      <c r="I563" s="17">
        <f t="shared" si="600"/>
        <v>391.33333333333331</v>
      </c>
      <c r="J563" s="17">
        <f t="shared" si="601"/>
        <v>391.2</v>
      </c>
      <c r="K563" s="17">
        <f t="shared" si="602"/>
        <v>391.13333333333333</v>
      </c>
      <c r="L563" s="17">
        <f t="shared" si="603"/>
        <v>391</v>
      </c>
      <c r="M563" s="17">
        <f t="shared" si="604"/>
        <v>390.8</v>
      </c>
    </row>
    <row r="564" spans="1:13" ht="16.8" thickBot="1" x14ac:dyDescent="0.4">
      <c r="F564" s="17"/>
      <c r="G564" s="17"/>
      <c r="H564" s="17"/>
      <c r="I564" s="17"/>
      <c r="J564" s="17"/>
      <c r="K564" s="17"/>
      <c r="L564" s="17"/>
      <c r="M564" s="17"/>
    </row>
    <row r="565" spans="1:13" ht="16.8" thickBot="1" x14ac:dyDescent="0.4">
      <c r="A565" s="1">
        <f>A555+1</f>
        <v>57</v>
      </c>
      <c r="C565" s="18" t="s">
        <v>2</v>
      </c>
      <c r="E565" s="13">
        <f>E546</f>
        <v>11347</v>
      </c>
      <c r="F565" s="19">
        <v>1</v>
      </c>
      <c r="G565" s="20">
        <v>7</v>
      </c>
      <c r="H565" s="20">
        <v>11</v>
      </c>
      <c r="I565" s="20">
        <v>13</v>
      </c>
      <c r="J565" s="20">
        <v>17</v>
      </c>
      <c r="K565" s="20">
        <v>19</v>
      </c>
      <c r="L565" s="20">
        <v>23</v>
      </c>
      <c r="M565" s="21">
        <v>29</v>
      </c>
    </row>
    <row r="566" spans="1:13" x14ac:dyDescent="0.35">
      <c r="B566" s="2">
        <v>30</v>
      </c>
      <c r="C566" s="2">
        <f>D566+B566</f>
        <v>1711</v>
      </c>
      <c r="D566" s="2">
        <f>C556</f>
        <v>1681</v>
      </c>
      <c r="E566" s="3">
        <f>D566*$E$5</f>
        <v>11767</v>
      </c>
      <c r="F566" s="17">
        <f>(E566-1)/30</f>
        <v>392.2</v>
      </c>
      <c r="G566" s="17">
        <f>($E566-7)/30</f>
        <v>392</v>
      </c>
      <c r="H566" s="17">
        <f>($E566-11)/30</f>
        <v>391.86666666666667</v>
      </c>
      <c r="I566" s="17">
        <f>($E566-13)/30</f>
        <v>391.8</v>
      </c>
      <c r="J566" s="17">
        <f>($E566-17)/30</f>
        <v>391.66666666666669</v>
      </c>
      <c r="K566" s="17">
        <f>($E566-19)/30</f>
        <v>391.6</v>
      </c>
      <c r="L566" s="17">
        <f>($E566-23)/30</f>
        <v>391.46666666666664</v>
      </c>
      <c r="M566" s="17">
        <f>($E566-29)/30</f>
        <v>391.26666666666665</v>
      </c>
    </row>
    <row r="567" spans="1:13" x14ac:dyDescent="0.35">
      <c r="B567" s="2">
        <v>30</v>
      </c>
      <c r="C567" s="2">
        <f t="shared" ref="C567:C573" si="605">D567+B567</f>
        <v>1717</v>
      </c>
      <c r="D567" s="2">
        <f t="shared" ref="D567:D573" si="606">C557</f>
        <v>1687</v>
      </c>
      <c r="E567" s="3">
        <f t="shared" ref="E567:E573" si="607">D567*$E$5</f>
        <v>11809</v>
      </c>
      <c r="F567" s="17">
        <f t="shared" ref="F567:F573" si="608">(E567-1)/30</f>
        <v>393.6</v>
      </c>
      <c r="G567" s="17">
        <f t="shared" ref="G567:G573" si="609">($E567-7)/30</f>
        <v>393.4</v>
      </c>
      <c r="H567" s="17">
        <f t="shared" ref="H567:H573" si="610">($E567-11)/30</f>
        <v>393.26666666666665</v>
      </c>
      <c r="I567" s="17">
        <f t="shared" ref="I567:I573" si="611">($E567-13)/30</f>
        <v>393.2</v>
      </c>
      <c r="J567" s="17">
        <f t="shared" ref="J567:J573" si="612">($E567-17)/30</f>
        <v>393.06666666666666</v>
      </c>
      <c r="K567" s="17">
        <f t="shared" ref="K567:K573" si="613">($E567-19)/30</f>
        <v>393</v>
      </c>
      <c r="L567" s="17">
        <f t="shared" ref="L567:L573" si="614">($E567-23)/30</f>
        <v>392.86666666666667</v>
      </c>
      <c r="M567" s="17">
        <f t="shared" ref="M567:M573" si="615">($E567-29)/30</f>
        <v>392.66666666666669</v>
      </c>
    </row>
    <row r="568" spans="1:13" x14ac:dyDescent="0.35">
      <c r="B568" s="2">
        <v>30</v>
      </c>
      <c r="C568" s="2">
        <f t="shared" si="605"/>
        <v>1721</v>
      </c>
      <c r="D568" s="2">
        <f t="shared" si="606"/>
        <v>1691</v>
      </c>
      <c r="E568" s="3">
        <f t="shared" si="607"/>
        <v>11837</v>
      </c>
      <c r="F568" s="17">
        <f t="shared" si="608"/>
        <v>394.53333333333336</v>
      </c>
      <c r="G568" s="17">
        <f t="shared" si="609"/>
        <v>394.33333333333331</v>
      </c>
      <c r="H568" s="17">
        <f t="shared" si="610"/>
        <v>394.2</v>
      </c>
      <c r="I568" s="17">
        <f t="shared" si="611"/>
        <v>394.13333333333333</v>
      </c>
      <c r="J568" s="17">
        <f t="shared" si="612"/>
        <v>394</v>
      </c>
      <c r="K568" s="17">
        <f t="shared" si="613"/>
        <v>393.93333333333334</v>
      </c>
      <c r="L568" s="17">
        <f t="shared" si="614"/>
        <v>393.8</v>
      </c>
      <c r="M568" s="17">
        <f t="shared" si="615"/>
        <v>393.6</v>
      </c>
    </row>
    <row r="569" spans="1:13" x14ac:dyDescent="0.35">
      <c r="B569" s="2">
        <v>30</v>
      </c>
      <c r="C569" s="2">
        <f t="shared" si="605"/>
        <v>1723</v>
      </c>
      <c r="D569" s="2">
        <f t="shared" si="606"/>
        <v>1693</v>
      </c>
      <c r="E569" s="3">
        <f t="shared" si="607"/>
        <v>11851</v>
      </c>
      <c r="F569" s="17">
        <f t="shared" si="608"/>
        <v>395</v>
      </c>
      <c r="G569" s="17">
        <f t="shared" si="609"/>
        <v>394.8</v>
      </c>
      <c r="H569" s="17">
        <f t="shared" si="610"/>
        <v>394.66666666666669</v>
      </c>
      <c r="I569" s="17">
        <f t="shared" si="611"/>
        <v>394.6</v>
      </c>
      <c r="J569" s="17">
        <f t="shared" si="612"/>
        <v>394.46666666666664</v>
      </c>
      <c r="K569" s="17">
        <f t="shared" si="613"/>
        <v>394.4</v>
      </c>
      <c r="L569" s="17">
        <f t="shared" si="614"/>
        <v>394.26666666666665</v>
      </c>
      <c r="M569" s="17">
        <f t="shared" si="615"/>
        <v>394.06666666666666</v>
      </c>
    </row>
    <row r="570" spans="1:13" x14ac:dyDescent="0.35">
      <c r="B570" s="2">
        <v>30</v>
      </c>
      <c r="C570" s="2">
        <f t="shared" si="605"/>
        <v>1727</v>
      </c>
      <c r="D570" s="2">
        <f t="shared" si="606"/>
        <v>1697</v>
      </c>
      <c r="E570" s="3">
        <f t="shared" si="607"/>
        <v>11879</v>
      </c>
      <c r="F570" s="17">
        <f t="shared" si="608"/>
        <v>395.93333333333334</v>
      </c>
      <c r="G570" s="17">
        <f t="shared" si="609"/>
        <v>395.73333333333335</v>
      </c>
      <c r="H570" s="17">
        <f t="shared" si="610"/>
        <v>395.6</v>
      </c>
      <c r="I570" s="17">
        <f t="shared" si="611"/>
        <v>395.53333333333336</v>
      </c>
      <c r="J570" s="17">
        <f t="shared" si="612"/>
        <v>395.4</v>
      </c>
      <c r="K570" s="17">
        <f t="shared" si="613"/>
        <v>395.33333333333331</v>
      </c>
      <c r="L570" s="17">
        <f t="shared" si="614"/>
        <v>395.2</v>
      </c>
      <c r="M570" s="17">
        <f t="shared" si="615"/>
        <v>395</v>
      </c>
    </row>
    <row r="571" spans="1:13" x14ac:dyDescent="0.35">
      <c r="B571" s="2">
        <v>30</v>
      </c>
      <c r="C571" s="2">
        <f t="shared" si="605"/>
        <v>1729</v>
      </c>
      <c r="D571" s="2">
        <f t="shared" si="606"/>
        <v>1699</v>
      </c>
      <c r="E571" s="3">
        <f t="shared" si="607"/>
        <v>11893</v>
      </c>
      <c r="F571" s="17">
        <f t="shared" si="608"/>
        <v>396.4</v>
      </c>
      <c r="G571" s="17">
        <f t="shared" si="609"/>
        <v>396.2</v>
      </c>
      <c r="H571" s="17">
        <f t="shared" si="610"/>
        <v>396.06666666666666</v>
      </c>
      <c r="I571" s="17">
        <f t="shared" si="611"/>
        <v>396</v>
      </c>
      <c r="J571" s="17">
        <f t="shared" si="612"/>
        <v>395.86666666666667</v>
      </c>
      <c r="K571" s="17">
        <f t="shared" si="613"/>
        <v>395.8</v>
      </c>
      <c r="L571" s="17">
        <f t="shared" si="614"/>
        <v>395.66666666666669</v>
      </c>
      <c r="M571" s="17">
        <f t="shared" si="615"/>
        <v>395.46666666666664</v>
      </c>
    </row>
    <row r="572" spans="1:13" x14ac:dyDescent="0.35">
      <c r="B572" s="2">
        <v>30</v>
      </c>
      <c r="C572" s="2">
        <f t="shared" si="605"/>
        <v>1733</v>
      </c>
      <c r="D572" s="2">
        <f t="shared" si="606"/>
        <v>1703</v>
      </c>
      <c r="E572" s="3">
        <f t="shared" si="607"/>
        <v>11921</v>
      </c>
      <c r="F572" s="17">
        <f t="shared" si="608"/>
        <v>397.33333333333331</v>
      </c>
      <c r="G572" s="17">
        <f t="shared" si="609"/>
        <v>397.13333333333333</v>
      </c>
      <c r="H572" s="17">
        <f t="shared" si="610"/>
        <v>397</v>
      </c>
      <c r="I572" s="17">
        <f t="shared" si="611"/>
        <v>396.93333333333334</v>
      </c>
      <c r="J572" s="17">
        <f t="shared" si="612"/>
        <v>396.8</v>
      </c>
      <c r="K572" s="17">
        <f t="shared" si="613"/>
        <v>396.73333333333335</v>
      </c>
      <c r="L572" s="17">
        <f t="shared" si="614"/>
        <v>396.6</v>
      </c>
      <c r="M572" s="17">
        <f t="shared" si="615"/>
        <v>396.4</v>
      </c>
    </row>
    <row r="573" spans="1:13" x14ac:dyDescent="0.35">
      <c r="B573" s="2">
        <v>30</v>
      </c>
      <c r="C573" s="2">
        <f t="shared" si="605"/>
        <v>1739</v>
      </c>
      <c r="D573" s="2">
        <f t="shared" si="606"/>
        <v>1709</v>
      </c>
      <c r="E573" s="3">
        <f t="shared" si="607"/>
        <v>11963</v>
      </c>
      <c r="F573" s="17">
        <f t="shared" si="608"/>
        <v>398.73333333333335</v>
      </c>
      <c r="G573" s="17">
        <f t="shared" si="609"/>
        <v>398.53333333333336</v>
      </c>
      <c r="H573" s="17">
        <f t="shared" si="610"/>
        <v>398.4</v>
      </c>
      <c r="I573" s="17">
        <f t="shared" si="611"/>
        <v>398.33333333333331</v>
      </c>
      <c r="J573" s="17">
        <f t="shared" si="612"/>
        <v>398.2</v>
      </c>
      <c r="K573" s="17">
        <f t="shared" si="613"/>
        <v>398.13333333333333</v>
      </c>
      <c r="L573" s="17">
        <f t="shared" si="614"/>
        <v>398</v>
      </c>
      <c r="M573" s="17">
        <f t="shared" si="615"/>
        <v>397.8</v>
      </c>
    </row>
    <row r="574" spans="1:13" ht="16.8" thickBot="1" x14ac:dyDescent="0.4">
      <c r="F574" s="17"/>
      <c r="G574" s="17"/>
      <c r="H574" s="17"/>
      <c r="I574" s="17"/>
      <c r="J574" s="17"/>
      <c r="K574" s="17"/>
      <c r="L574" s="17"/>
      <c r="M574" s="17"/>
    </row>
    <row r="575" spans="1:13" ht="16.8" thickBot="1" x14ac:dyDescent="0.4">
      <c r="A575" s="1">
        <f>A565+1</f>
        <v>58</v>
      </c>
      <c r="C575" s="18" t="s">
        <v>2</v>
      </c>
      <c r="E575" s="13">
        <f>E556</f>
        <v>11557</v>
      </c>
      <c r="F575" s="19">
        <v>1</v>
      </c>
      <c r="G575" s="20">
        <v>7</v>
      </c>
      <c r="H575" s="20">
        <v>11</v>
      </c>
      <c r="I575" s="20">
        <v>13</v>
      </c>
      <c r="J575" s="20">
        <v>17</v>
      </c>
      <c r="K575" s="20">
        <v>19</v>
      </c>
      <c r="L575" s="20">
        <v>23</v>
      </c>
      <c r="M575" s="21">
        <v>29</v>
      </c>
    </row>
    <row r="576" spans="1:13" x14ac:dyDescent="0.35">
      <c r="B576" s="2">
        <v>30</v>
      </c>
      <c r="C576" s="2">
        <f>D576+B576</f>
        <v>1741</v>
      </c>
      <c r="D576" s="2">
        <f>C566</f>
        <v>1711</v>
      </c>
      <c r="E576" s="3">
        <f>D576*$E$5</f>
        <v>11977</v>
      </c>
      <c r="F576" s="17">
        <f>(E576-1)/30</f>
        <v>399.2</v>
      </c>
      <c r="G576" s="17">
        <f>($E576-7)/30</f>
        <v>399</v>
      </c>
      <c r="H576" s="17">
        <f>($E576-11)/30</f>
        <v>398.86666666666667</v>
      </c>
      <c r="I576" s="17">
        <f>($E576-13)/30</f>
        <v>398.8</v>
      </c>
      <c r="J576" s="17">
        <f>($E576-17)/30</f>
        <v>398.66666666666669</v>
      </c>
      <c r="K576" s="17">
        <f>($E576-19)/30</f>
        <v>398.6</v>
      </c>
      <c r="L576" s="17">
        <f>($E576-23)/30</f>
        <v>398.46666666666664</v>
      </c>
      <c r="M576" s="17">
        <f>($E576-29)/30</f>
        <v>398.26666666666665</v>
      </c>
    </row>
    <row r="577" spans="1:13" x14ac:dyDescent="0.35">
      <c r="B577" s="2">
        <v>30</v>
      </c>
      <c r="C577" s="2">
        <f t="shared" ref="C577:C583" si="616">D577+B577</f>
        <v>1747</v>
      </c>
      <c r="D577" s="2">
        <f t="shared" ref="D577:D583" si="617">C567</f>
        <v>1717</v>
      </c>
      <c r="E577" s="3">
        <f t="shared" ref="E577:E583" si="618">D577*$E$5</f>
        <v>12019</v>
      </c>
      <c r="F577" s="17">
        <f t="shared" ref="F577:F583" si="619">(E577-1)/30</f>
        <v>400.6</v>
      </c>
      <c r="G577" s="17">
        <f t="shared" ref="G577:G583" si="620">($E577-7)/30</f>
        <v>400.4</v>
      </c>
      <c r="H577" s="17">
        <f t="shared" ref="H577:H583" si="621">($E577-11)/30</f>
        <v>400.26666666666665</v>
      </c>
      <c r="I577" s="17">
        <f t="shared" ref="I577:I583" si="622">($E577-13)/30</f>
        <v>400.2</v>
      </c>
      <c r="J577" s="17">
        <f t="shared" ref="J577:J583" si="623">($E577-17)/30</f>
        <v>400.06666666666666</v>
      </c>
      <c r="K577" s="17">
        <f t="shared" ref="K577:K583" si="624">($E577-19)/30</f>
        <v>400</v>
      </c>
      <c r="L577" s="17">
        <f t="shared" ref="L577:L583" si="625">($E577-23)/30</f>
        <v>399.86666666666667</v>
      </c>
      <c r="M577" s="17">
        <f t="shared" ref="M577:M583" si="626">($E577-29)/30</f>
        <v>399.66666666666669</v>
      </c>
    </row>
    <row r="578" spans="1:13" x14ac:dyDescent="0.35">
      <c r="B578" s="2">
        <v>30</v>
      </c>
      <c r="C578" s="2">
        <f t="shared" si="616"/>
        <v>1751</v>
      </c>
      <c r="D578" s="2">
        <f t="shared" si="617"/>
        <v>1721</v>
      </c>
      <c r="E578" s="3">
        <f t="shared" si="618"/>
        <v>12047</v>
      </c>
      <c r="F578" s="17">
        <f t="shared" si="619"/>
        <v>401.53333333333336</v>
      </c>
      <c r="G578" s="17">
        <f t="shared" si="620"/>
        <v>401.33333333333331</v>
      </c>
      <c r="H578" s="17">
        <f t="shared" si="621"/>
        <v>401.2</v>
      </c>
      <c r="I578" s="17">
        <f t="shared" si="622"/>
        <v>401.13333333333333</v>
      </c>
      <c r="J578" s="17">
        <f t="shared" si="623"/>
        <v>401</v>
      </c>
      <c r="K578" s="17">
        <f t="shared" si="624"/>
        <v>400.93333333333334</v>
      </c>
      <c r="L578" s="17">
        <f t="shared" si="625"/>
        <v>400.8</v>
      </c>
      <c r="M578" s="17">
        <f t="shared" si="626"/>
        <v>400.6</v>
      </c>
    </row>
    <row r="579" spans="1:13" x14ac:dyDescent="0.35">
      <c r="B579" s="2">
        <v>30</v>
      </c>
      <c r="C579" s="2">
        <f t="shared" si="616"/>
        <v>1753</v>
      </c>
      <c r="D579" s="2">
        <f t="shared" si="617"/>
        <v>1723</v>
      </c>
      <c r="E579" s="3">
        <f t="shared" si="618"/>
        <v>12061</v>
      </c>
      <c r="F579" s="17">
        <f t="shared" si="619"/>
        <v>402</v>
      </c>
      <c r="G579" s="17">
        <f t="shared" si="620"/>
        <v>401.8</v>
      </c>
      <c r="H579" s="17">
        <f t="shared" si="621"/>
        <v>401.66666666666669</v>
      </c>
      <c r="I579" s="17">
        <f t="shared" si="622"/>
        <v>401.6</v>
      </c>
      <c r="J579" s="17">
        <f t="shared" si="623"/>
        <v>401.46666666666664</v>
      </c>
      <c r="K579" s="17">
        <f t="shared" si="624"/>
        <v>401.4</v>
      </c>
      <c r="L579" s="17">
        <f t="shared" si="625"/>
        <v>401.26666666666665</v>
      </c>
      <c r="M579" s="17">
        <f t="shared" si="626"/>
        <v>401.06666666666666</v>
      </c>
    </row>
    <row r="580" spans="1:13" x14ac:dyDescent="0.35">
      <c r="B580" s="2">
        <v>30</v>
      </c>
      <c r="C580" s="2">
        <f t="shared" si="616"/>
        <v>1757</v>
      </c>
      <c r="D580" s="2">
        <f t="shared" si="617"/>
        <v>1727</v>
      </c>
      <c r="E580" s="3">
        <f t="shared" si="618"/>
        <v>12089</v>
      </c>
      <c r="F580" s="17">
        <f t="shared" si="619"/>
        <v>402.93333333333334</v>
      </c>
      <c r="G580" s="17">
        <f t="shared" si="620"/>
        <v>402.73333333333335</v>
      </c>
      <c r="H580" s="17">
        <f t="shared" si="621"/>
        <v>402.6</v>
      </c>
      <c r="I580" s="17">
        <f t="shared" si="622"/>
        <v>402.53333333333336</v>
      </c>
      <c r="J580" s="17">
        <f t="shared" si="623"/>
        <v>402.4</v>
      </c>
      <c r="K580" s="17">
        <f t="shared" si="624"/>
        <v>402.33333333333331</v>
      </c>
      <c r="L580" s="17">
        <f t="shared" si="625"/>
        <v>402.2</v>
      </c>
      <c r="M580" s="17">
        <f t="shared" si="626"/>
        <v>402</v>
      </c>
    </row>
    <row r="581" spans="1:13" x14ac:dyDescent="0.35">
      <c r="B581" s="2">
        <v>30</v>
      </c>
      <c r="C581" s="2">
        <f t="shared" si="616"/>
        <v>1759</v>
      </c>
      <c r="D581" s="2">
        <f t="shared" si="617"/>
        <v>1729</v>
      </c>
      <c r="E581" s="3">
        <f t="shared" si="618"/>
        <v>12103</v>
      </c>
      <c r="F581" s="17">
        <f t="shared" si="619"/>
        <v>403.4</v>
      </c>
      <c r="G581" s="17">
        <f t="shared" si="620"/>
        <v>403.2</v>
      </c>
      <c r="H581" s="17">
        <f t="shared" si="621"/>
        <v>403.06666666666666</v>
      </c>
      <c r="I581" s="17">
        <f t="shared" si="622"/>
        <v>403</v>
      </c>
      <c r="J581" s="17">
        <f t="shared" si="623"/>
        <v>402.86666666666667</v>
      </c>
      <c r="K581" s="17">
        <f t="shared" si="624"/>
        <v>402.8</v>
      </c>
      <c r="L581" s="17">
        <f t="shared" si="625"/>
        <v>402.66666666666669</v>
      </c>
      <c r="M581" s="17">
        <f t="shared" si="626"/>
        <v>402.46666666666664</v>
      </c>
    </row>
    <row r="582" spans="1:13" x14ac:dyDescent="0.35">
      <c r="B582" s="2">
        <v>30</v>
      </c>
      <c r="C582" s="2">
        <f t="shared" si="616"/>
        <v>1763</v>
      </c>
      <c r="D582" s="2">
        <f t="shared" si="617"/>
        <v>1733</v>
      </c>
      <c r="E582" s="3">
        <f t="shared" si="618"/>
        <v>12131</v>
      </c>
      <c r="F582" s="17">
        <f t="shared" si="619"/>
        <v>404.33333333333331</v>
      </c>
      <c r="G582" s="17">
        <f t="shared" si="620"/>
        <v>404.13333333333333</v>
      </c>
      <c r="H582" s="17">
        <f t="shared" si="621"/>
        <v>404</v>
      </c>
      <c r="I582" s="17">
        <f t="shared" si="622"/>
        <v>403.93333333333334</v>
      </c>
      <c r="J582" s="17">
        <f t="shared" si="623"/>
        <v>403.8</v>
      </c>
      <c r="K582" s="17">
        <f t="shared" si="624"/>
        <v>403.73333333333335</v>
      </c>
      <c r="L582" s="17">
        <f t="shared" si="625"/>
        <v>403.6</v>
      </c>
      <c r="M582" s="17">
        <f t="shared" si="626"/>
        <v>403.4</v>
      </c>
    </row>
    <row r="583" spans="1:13" x14ac:dyDescent="0.35">
      <c r="B583" s="2">
        <v>30</v>
      </c>
      <c r="C583" s="2">
        <f t="shared" si="616"/>
        <v>1769</v>
      </c>
      <c r="D583" s="2">
        <f t="shared" si="617"/>
        <v>1739</v>
      </c>
      <c r="E583" s="3">
        <f t="shared" si="618"/>
        <v>12173</v>
      </c>
      <c r="F583" s="17">
        <f t="shared" si="619"/>
        <v>405.73333333333335</v>
      </c>
      <c r="G583" s="17">
        <f t="shared" si="620"/>
        <v>405.53333333333336</v>
      </c>
      <c r="H583" s="17">
        <f t="shared" si="621"/>
        <v>405.4</v>
      </c>
      <c r="I583" s="17">
        <f t="shared" si="622"/>
        <v>405.33333333333331</v>
      </c>
      <c r="J583" s="17">
        <f t="shared" si="623"/>
        <v>405.2</v>
      </c>
      <c r="K583" s="17">
        <f t="shared" si="624"/>
        <v>405.13333333333333</v>
      </c>
      <c r="L583" s="17">
        <f t="shared" si="625"/>
        <v>405</v>
      </c>
      <c r="M583" s="17">
        <f t="shared" si="626"/>
        <v>404.8</v>
      </c>
    </row>
    <row r="584" spans="1:13" ht="16.8" thickBot="1" x14ac:dyDescent="0.4">
      <c r="F584" s="17"/>
      <c r="G584" s="17"/>
      <c r="H584" s="17"/>
      <c r="I584" s="17"/>
      <c r="J584" s="17"/>
      <c r="K584" s="17"/>
      <c r="L584" s="17"/>
      <c r="M584" s="17"/>
    </row>
    <row r="585" spans="1:13" ht="16.8" thickBot="1" x14ac:dyDescent="0.4">
      <c r="A585" s="1">
        <f>A575+1</f>
        <v>59</v>
      </c>
      <c r="C585" s="18" t="s">
        <v>2</v>
      </c>
      <c r="E585" s="13">
        <f>E566</f>
        <v>11767</v>
      </c>
      <c r="F585" s="19">
        <v>1</v>
      </c>
      <c r="G585" s="20">
        <v>7</v>
      </c>
      <c r="H585" s="20">
        <v>11</v>
      </c>
      <c r="I585" s="20">
        <v>13</v>
      </c>
      <c r="J585" s="20">
        <v>17</v>
      </c>
      <c r="K585" s="20">
        <v>19</v>
      </c>
      <c r="L585" s="20">
        <v>23</v>
      </c>
      <c r="M585" s="21">
        <v>29</v>
      </c>
    </row>
    <row r="586" spans="1:13" x14ac:dyDescent="0.35">
      <c r="B586" s="2">
        <v>30</v>
      </c>
      <c r="C586" s="2">
        <f>D586+B586</f>
        <v>1771</v>
      </c>
      <c r="D586" s="2">
        <f>C576</f>
        <v>1741</v>
      </c>
      <c r="E586" s="3">
        <f>D586*$E$5</f>
        <v>12187</v>
      </c>
      <c r="F586" s="17">
        <f>(E586-1)/30</f>
        <v>406.2</v>
      </c>
      <c r="G586" s="17">
        <f>($E586-7)/30</f>
        <v>406</v>
      </c>
      <c r="H586" s="17">
        <f>($E586-11)/30</f>
        <v>405.86666666666667</v>
      </c>
      <c r="I586" s="17">
        <f>($E586-13)/30</f>
        <v>405.8</v>
      </c>
      <c r="J586" s="17">
        <f>($E586-17)/30</f>
        <v>405.66666666666669</v>
      </c>
      <c r="K586" s="17">
        <f>($E586-19)/30</f>
        <v>405.6</v>
      </c>
      <c r="L586" s="17">
        <f>($E586-23)/30</f>
        <v>405.46666666666664</v>
      </c>
      <c r="M586" s="17">
        <f>($E586-29)/30</f>
        <v>405.26666666666665</v>
      </c>
    </row>
    <row r="587" spans="1:13" x14ac:dyDescent="0.35">
      <c r="B587" s="2">
        <v>30</v>
      </c>
      <c r="C587" s="2">
        <f t="shared" ref="C587:C593" si="627">D587+B587</f>
        <v>1777</v>
      </c>
      <c r="D587" s="2">
        <f t="shared" ref="D587:D593" si="628">C577</f>
        <v>1747</v>
      </c>
      <c r="E587" s="3">
        <f t="shared" ref="E587:E593" si="629">D587*$E$5</f>
        <v>12229</v>
      </c>
      <c r="F587" s="17">
        <f t="shared" ref="F587:F593" si="630">(E587-1)/30</f>
        <v>407.6</v>
      </c>
      <c r="G587" s="17">
        <f t="shared" ref="G587:G593" si="631">($E587-7)/30</f>
        <v>407.4</v>
      </c>
      <c r="H587" s="17">
        <f t="shared" ref="H587:H593" si="632">($E587-11)/30</f>
        <v>407.26666666666665</v>
      </c>
      <c r="I587" s="17">
        <f t="shared" ref="I587:I593" si="633">($E587-13)/30</f>
        <v>407.2</v>
      </c>
      <c r="J587" s="17">
        <f t="shared" ref="J587:J593" si="634">($E587-17)/30</f>
        <v>407.06666666666666</v>
      </c>
      <c r="K587" s="17">
        <f t="shared" ref="K587:K593" si="635">($E587-19)/30</f>
        <v>407</v>
      </c>
      <c r="L587" s="17">
        <f t="shared" ref="L587:L593" si="636">($E587-23)/30</f>
        <v>406.86666666666667</v>
      </c>
      <c r="M587" s="17">
        <f t="shared" ref="M587:M593" si="637">($E587-29)/30</f>
        <v>406.66666666666669</v>
      </c>
    </row>
    <row r="588" spans="1:13" x14ac:dyDescent="0.35">
      <c r="B588" s="2">
        <v>30</v>
      </c>
      <c r="C588" s="2">
        <f t="shared" si="627"/>
        <v>1781</v>
      </c>
      <c r="D588" s="2">
        <f t="shared" si="628"/>
        <v>1751</v>
      </c>
      <c r="E588" s="3">
        <f t="shared" si="629"/>
        <v>12257</v>
      </c>
      <c r="F588" s="17">
        <f t="shared" si="630"/>
        <v>408.53333333333336</v>
      </c>
      <c r="G588" s="17">
        <f t="shared" si="631"/>
        <v>408.33333333333331</v>
      </c>
      <c r="H588" s="17">
        <f t="shared" si="632"/>
        <v>408.2</v>
      </c>
      <c r="I588" s="17">
        <f t="shared" si="633"/>
        <v>408.13333333333333</v>
      </c>
      <c r="J588" s="17">
        <f t="shared" si="634"/>
        <v>408</v>
      </c>
      <c r="K588" s="17">
        <f t="shared" si="635"/>
        <v>407.93333333333334</v>
      </c>
      <c r="L588" s="17">
        <f t="shared" si="636"/>
        <v>407.8</v>
      </c>
      <c r="M588" s="17">
        <f t="shared" si="637"/>
        <v>407.6</v>
      </c>
    </row>
    <row r="589" spans="1:13" x14ac:dyDescent="0.35">
      <c r="B589" s="2">
        <v>30</v>
      </c>
      <c r="C589" s="2">
        <f t="shared" si="627"/>
        <v>1783</v>
      </c>
      <c r="D589" s="2">
        <f t="shared" si="628"/>
        <v>1753</v>
      </c>
      <c r="E589" s="3">
        <f t="shared" si="629"/>
        <v>12271</v>
      </c>
      <c r="F589" s="17">
        <f t="shared" si="630"/>
        <v>409</v>
      </c>
      <c r="G589" s="17">
        <f t="shared" si="631"/>
        <v>408.8</v>
      </c>
      <c r="H589" s="17">
        <f t="shared" si="632"/>
        <v>408.66666666666669</v>
      </c>
      <c r="I589" s="17">
        <f t="shared" si="633"/>
        <v>408.6</v>
      </c>
      <c r="J589" s="17">
        <f t="shared" si="634"/>
        <v>408.46666666666664</v>
      </c>
      <c r="K589" s="17">
        <f t="shared" si="635"/>
        <v>408.4</v>
      </c>
      <c r="L589" s="17">
        <f t="shared" si="636"/>
        <v>408.26666666666665</v>
      </c>
      <c r="M589" s="17">
        <f t="shared" si="637"/>
        <v>408.06666666666666</v>
      </c>
    </row>
    <row r="590" spans="1:13" x14ac:dyDescent="0.35">
      <c r="B590" s="2">
        <v>30</v>
      </c>
      <c r="C590" s="2">
        <f t="shared" si="627"/>
        <v>1787</v>
      </c>
      <c r="D590" s="2">
        <f t="shared" si="628"/>
        <v>1757</v>
      </c>
      <c r="E590" s="3">
        <f t="shared" si="629"/>
        <v>12299</v>
      </c>
      <c r="F590" s="17">
        <f t="shared" si="630"/>
        <v>409.93333333333334</v>
      </c>
      <c r="G590" s="17">
        <f t="shared" si="631"/>
        <v>409.73333333333335</v>
      </c>
      <c r="H590" s="17">
        <f t="shared" si="632"/>
        <v>409.6</v>
      </c>
      <c r="I590" s="17">
        <f t="shared" si="633"/>
        <v>409.53333333333336</v>
      </c>
      <c r="J590" s="17">
        <f t="shared" si="634"/>
        <v>409.4</v>
      </c>
      <c r="K590" s="17">
        <f t="shared" si="635"/>
        <v>409.33333333333331</v>
      </c>
      <c r="L590" s="17">
        <f t="shared" si="636"/>
        <v>409.2</v>
      </c>
      <c r="M590" s="17">
        <f t="shared" si="637"/>
        <v>409</v>
      </c>
    </row>
    <row r="591" spans="1:13" x14ac:dyDescent="0.35">
      <c r="B591" s="2">
        <v>30</v>
      </c>
      <c r="C591" s="2">
        <f t="shared" si="627"/>
        <v>1789</v>
      </c>
      <c r="D591" s="2">
        <f t="shared" si="628"/>
        <v>1759</v>
      </c>
      <c r="E591" s="3">
        <f t="shared" si="629"/>
        <v>12313</v>
      </c>
      <c r="F591" s="17">
        <f t="shared" si="630"/>
        <v>410.4</v>
      </c>
      <c r="G591" s="17">
        <f t="shared" si="631"/>
        <v>410.2</v>
      </c>
      <c r="H591" s="17">
        <f t="shared" si="632"/>
        <v>410.06666666666666</v>
      </c>
      <c r="I591" s="17">
        <f t="shared" si="633"/>
        <v>410</v>
      </c>
      <c r="J591" s="17">
        <f t="shared" si="634"/>
        <v>409.86666666666667</v>
      </c>
      <c r="K591" s="17">
        <f t="shared" si="635"/>
        <v>409.8</v>
      </c>
      <c r="L591" s="17">
        <f t="shared" si="636"/>
        <v>409.66666666666669</v>
      </c>
      <c r="M591" s="17">
        <f t="shared" si="637"/>
        <v>409.46666666666664</v>
      </c>
    </row>
    <row r="592" spans="1:13" x14ac:dyDescent="0.35">
      <c r="B592" s="2">
        <v>30</v>
      </c>
      <c r="C592" s="2">
        <f t="shared" si="627"/>
        <v>1793</v>
      </c>
      <c r="D592" s="2">
        <f t="shared" si="628"/>
        <v>1763</v>
      </c>
      <c r="E592" s="3">
        <f t="shared" si="629"/>
        <v>12341</v>
      </c>
      <c r="F592" s="17">
        <f t="shared" si="630"/>
        <v>411.33333333333331</v>
      </c>
      <c r="G592" s="17">
        <f t="shared" si="631"/>
        <v>411.13333333333333</v>
      </c>
      <c r="H592" s="17">
        <f t="shared" si="632"/>
        <v>411</v>
      </c>
      <c r="I592" s="17">
        <f t="shared" si="633"/>
        <v>410.93333333333334</v>
      </c>
      <c r="J592" s="17">
        <f t="shared" si="634"/>
        <v>410.8</v>
      </c>
      <c r="K592" s="17">
        <f t="shared" si="635"/>
        <v>410.73333333333335</v>
      </c>
      <c r="L592" s="17">
        <f t="shared" si="636"/>
        <v>410.6</v>
      </c>
      <c r="M592" s="17">
        <f t="shared" si="637"/>
        <v>410.4</v>
      </c>
    </row>
    <row r="593" spans="1:13" x14ac:dyDescent="0.35">
      <c r="B593" s="2">
        <v>30</v>
      </c>
      <c r="C593" s="2">
        <f t="shared" si="627"/>
        <v>1799</v>
      </c>
      <c r="D593" s="2">
        <f t="shared" si="628"/>
        <v>1769</v>
      </c>
      <c r="E593" s="3">
        <f t="shared" si="629"/>
        <v>12383</v>
      </c>
      <c r="F593" s="17">
        <f t="shared" si="630"/>
        <v>412.73333333333335</v>
      </c>
      <c r="G593" s="17">
        <f t="shared" si="631"/>
        <v>412.53333333333336</v>
      </c>
      <c r="H593" s="17">
        <f t="shared" si="632"/>
        <v>412.4</v>
      </c>
      <c r="I593" s="17">
        <f t="shared" si="633"/>
        <v>412.33333333333331</v>
      </c>
      <c r="J593" s="17">
        <f t="shared" si="634"/>
        <v>412.2</v>
      </c>
      <c r="K593" s="17">
        <f t="shared" si="635"/>
        <v>412.13333333333333</v>
      </c>
      <c r="L593" s="17">
        <f t="shared" si="636"/>
        <v>412</v>
      </c>
      <c r="M593" s="17">
        <f t="shared" si="637"/>
        <v>411.8</v>
      </c>
    </row>
    <row r="594" spans="1:13" ht="16.8" thickBot="1" x14ac:dyDescent="0.4">
      <c r="F594" s="17"/>
      <c r="G594" s="17"/>
      <c r="H594" s="17"/>
      <c r="I594" s="17"/>
      <c r="J594" s="17"/>
      <c r="K594" s="17"/>
      <c r="L594" s="17"/>
      <c r="M594" s="17"/>
    </row>
    <row r="595" spans="1:13" ht="16.8" thickBot="1" x14ac:dyDescent="0.4">
      <c r="A595" s="1">
        <f>A585+1</f>
        <v>60</v>
      </c>
      <c r="C595" s="18" t="s">
        <v>2</v>
      </c>
      <c r="E595" s="13">
        <f>E576</f>
        <v>11977</v>
      </c>
      <c r="F595" s="19">
        <v>1</v>
      </c>
      <c r="G595" s="20">
        <v>7</v>
      </c>
      <c r="H595" s="20">
        <v>11</v>
      </c>
      <c r="I595" s="20">
        <v>13</v>
      </c>
      <c r="J595" s="20">
        <v>17</v>
      </c>
      <c r="K595" s="20">
        <v>19</v>
      </c>
      <c r="L595" s="20">
        <v>23</v>
      </c>
      <c r="M595" s="21">
        <v>29</v>
      </c>
    </row>
    <row r="596" spans="1:13" x14ac:dyDescent="0.35">
      <c r="B596" s="2">
        <v>30</v>
      </c>
      <c r="C596" s="2">
        <f>D596+B596</f>
        <v>1801</v>
      </c>
      <c r="D596" s="2">
        <f>C586</f>
        <v>1771</v>
      </c>
      <c r="E596" s="3">
        <f>D596*$E$5</f>
        <v>12397</v>
      </c>
      <c r="F596" s="17">
        <f>(E596-1)/30</f>
        <v>413.2</v>
      </c>
      <c r="G596" s="17">
        <f>($E596-7)/30</f>
        <v>413</v>
      </c>
      <c r="H596" s="17">
        <f>($E596-11)/30</f>
        <v>412.86666666666667</v>
      </c>
      <c r="I596" s="17">
        <f>($E596-13)/30</f>
        <v>412.8</v>
      </c>
      <c r="J596" s="17">
        <f>($E596-17)/30</f>
        <v>412.66666666666669</v>
      </c>
      <c r="K596" s="17">
        <f>($E596-19)/30</f>
        <v>412.6</v>
      </c>
      <c r="L596" s="17">
        <f>($E596-23)/30</f>
        <v>412.46666666666664</v>
      </c>
      <c r="M596" s="17">
        <f>($E596-29)/30</f>
        <v>412.26666666666665</v>
      </c>
    </row>
    <row r="597" spans="1:13" x14ac:dyDescent="0.35">
      <c r="B597" s="2">
        <v>30</v>
      </c>
      <c r="C597" s="2">
        <f t="shared" ref="C597:C603" si="638">D597+B597</f>
        <v>1807</v>
      </c>
      <c r="D597" s="2">
        <f t="shared" ref="D597:D603" si="639">C587</f>
        <v>1777</v>
      </c>
      <c r="E597" s="3">
        <f t="shared" ref="E597:E603" si="640">D597*$E$5</f>
        <v>12439</v>
      </c>
      <c r="F597" s="17">
        <f t="shared" ref="F597:F603" si="641">(E597-1)/30</f>
        <v>414.6</v>
      </c>
      <c r="G597" s="17">
        <f t="shared" ref="G597:G603" si="642">($E597-7)/30</f>
        <v>414.4</v>
      </c>
      <c r="H597" s="17">
        <f t="shared" ref="H597:H603" si="643">($E597-11)/30</f>
        <v>414.26666666666665</v>
      </c>
      <c r="I597" s="17">
        <f t="shared" ref="I597:I603" si="644">($E597-13)/30</f>
        <v>414.2</v>
      </c>
      <c r="J597" s="17">
        <f t="shared" ref="J597:J603" si="645">($E597-17)/30</f>
        <v>414.06666666666666</v>
      </c>
      <c r="K597" s="17">
        <f t="shared" ref="K597:K603" si="646">($E597-19)/30</f>
        <v>414</v>
      </c>
      <c r="L597" s="17">
        <f t="shared" ref="L597:L603" si="647">($E597-23)/30</f>
        <v>413.86666666666667</v>
      </c>
      <c r="M597" s="17">
        <f t="shared" ref="M597:M603" si="648">($E597-29)/30</f>
        <v>413.66666666666669</v>
      </c>
    </row>
    <row r="598" spans="1:13" x14ac:dyDescent="0.35">
      <c r="B598" s="2">
        <v>30</v>
      </c>
      <c r="C598" s="2">
        <f t="shared" si="638"/>
        <v>1811</v>
      </c>
      <c r="D598" s="2">
        <f t="shared" si="639"/>
        <v>1781</v>
      </c>
      <c r="E598" s="3">
        <f t="shared" si="640"/>
        <v>12467</v>
      </c>
      <c r="F598" s="17">
        <f t="shared" si="641"/>
        <v>415.53333333333336</v>
      </c>
      <c r="G598" s="17">
        <f t="shared" si="642"/>
        <v>415.33333333333331</v>
      </c>
      <c r="H598" s="17">
        <f t="shared" si="643"/>
        <v>415.2</v>
      </c>
      <c r="I598" s="17">
        <f t="shared" si="644"/>
        <v>415.13333333333333</v>
      </c>
      <c r="J598" s="17">
        <f t="shared" si="645"/>
        <v>415</v>
      </c>
      <c r="K598" s="17">
        <f t="shared" si="646"/>
        <v>414.93333333333334</v>
      </c>
      <c r="L598" s="17">
        <f t="shared" si="647"/>
        <v>414.8</v>
      </c>
      <c r="M598" s="17">
        <f t="shared" si="648"/>
        <v>414.6</v>
      </c>
    </row>
    <row r="599" spans="1:13" x14ac:dyDescent="0.35">
      <c r="B599" s="2">
        <v>30</v>
      </c>
      <c r="C599" s="2">
        <f t="shared" si="638"/>
        <v>1813</v>
      </c>
      <c r="D599" s="2">
        <f t="shared" si="639"/>
        <v>1783</v>
      </c>
      <c r="E599" s="3">
        <f t="shared" si="640"/>
        <v>12481</v>
      </c>
      <c r="F599" s="17">
        <f t="shared" si="641"/>
        <v>416</v>
      </c>
      <c r="G599" s="17">
        <f t="shared" si="642"/>
        <v>415.8</v>
      </c>
      <c r="H599" s="17">
        <f t="shared" si="643"/>
        <v>415.66666666666669</v>
      </c>
      <c r="I599" s="17">
        <f t="shared" si="644"/>
        <v>415.6</v>
      </c>
      <c r="J599" s="17">
        <f t="shared" si="645"/>
        <v>415.46666666666664</v>
      </c>
      <c r="K599" s="17">
        <f t="shared" si="646"/>
        <v>415.4</v>
      </c>
      <c r="L599" s="17">
        <f t="shared" si="647"/>
        <v>415.26666666666665</v>
      </c>
      <c r="M599" s="17">
        <f t="shared" si="648"/>
        <v>415.06666666666666</v>
      </c>
    </row>
    <row r="600" spans="1:13" x14ac:dyDescent="0.35">
      <c r="B600" s="2">
        <v>30</v>
      </c>
      <c r="C600" s="2">
        <f t="shared" si="638"/>
        <v>1817</v>
      </c>
      <c r="D600" s="2">
        <f t="shared" si="639"/>
        <v>1787</v>
      </c>
      <c r="E600" s="3">
        <f t="shared" si="640"/>
        <v>12509</v>
      </c>
      <c r="F600" s="17">
        <f t="shared" si="641"/>
        <v>416.93333333333334</v>
      </c>
      <c r="G600" s="17">
        <f t="shared" si="642"/>
        <v>416.73333333333335</v>
      </c>
      <c r="H600" s="17">
        <f t="shared" si="643"/>
        <v>416.6</v>
      </c>
      <c r="I600" s="17">
        <f t="shared" si="644"/>
        <v>416.53333333333336</v>
      </c>
      <c r="J600" s="17">
        <f t="shared" si="645"/>
        <v>416.4</v>
      </c>
      <c r="K600" s="17">
        <f t="shared" si="646"/>
        <v>416.33333333333331</v>
      </c>
      <c r="L600" s="17">
        <f t="shared" si="647"/>
        <v>416.2</v>
      </c>
      <c r="M600" s="17">
        <f t="shared" si="648"/>
        <v>416</v>
      </c>
    </row>
    <row r="601" spans="1:13" x14ac:dyDescent="0.35">
      <c r="B601" s="2">
        <v>30</v>
      </c>
      <c r="C601" s="2">
        <f t="shared" si="638"/>
        <v>1819</v>
      </c>
      <c r="D601" s="2">
        <f t="shared" si="639"/>
        <v>1789</v>
      </c>
      <c r="E601" s="3">
        <f t="shared" si="640"/>
        <v>12523</v>
      </c>
      <c r="F601" s="17">
        <f t="shared" si="641"/>
        <v>417.4</v>
      </c>
      <c r="G601" s="17">
        <f t="shared" si="642"/>
        <v>417.2</v>
      </c>
      <c r="H601" s="17">
        <f t="shared" si="643"/>
        <v>417.06666666666666</v>
      </c>
      <c r="I601" s="17">
        <f t="shared" si="644"/>
        <v>417</v>
      </c>
      <c r="J601" s="17">
        <f t="shared" si="645"/>
        <v>416.86666666666667</v>
      </c>
      <c r="K601" s="17">
        <f t="shared" si="646"/>
        <v>416.8</v>
      </c>
      <c r="L601" s="17">
        <f t="shared" si="647"/>
        <v>416.66666666666669</v>
      </c>
      <c r="M601" s="17">
        <f t="shared" si="648"/>
        <v>416.46666666666664</v>
      </c>
    </row>
    <row r="602" spans="1:13" x14ac:dyDescent="0.35">
      <c r="B602" s="2">
        <v>30</v>
      </c>
      <c r="C602" s="2">
        <f t="shared" si="638"/>
        <v>1823</v>
      </c>
      <c r="D602" s="2">
        <f t="shared" si="639"/>
        <v>1793</v>
      </c>
      <c r="E602" s="3">
        <f t="shared" si="640"/>
        <v>12551</v>
      </c>
      <c r="F602" s="17">
        <f t="shared" si="641"/>
        <v>418.33333333333331</v>
      </c>
      <c r="G602" s="17">
        <f t="shared" si="642"/>
        <v>418.13333333333333</v>
      </c>
      <c r="H602" s="17">
        <f t="shared" si="643"/>
        <v>418</v>
      </c>
      <c r="I602" s="17">
        <f t="shared" si="644"/>
        <v>417.93333333333334</v>
      </c>
      <c r="J602" s="17">
        <f t="shared" si="645"/>
        <v>417.8</v>
      </c>
      <c r="K602" s="17">
        <f t="shared" si="646"/>
        <v>417.73333333333335</v>
      </c>
      <c r="L602" s="17">
        <f t="shared" si="647"/>
        <v>417.6</v>
      </c>
      <c r="M602" s="17">
        <f t="shared" si="648"/>
        <v>417.4</v>
      </c>
    </row>
    <row r="603" spans="1:13" x14ac:dyDescent="0.35">
      <c r="B603" s="2">
        <v>30</v>
      </c>
      <c r="C603" s="2">
        <f t="shared" si="638"/>
        <v>1829</v>
      </c>
      <c r="D603" s="2">
        <f t="shared" si="639"/>
        <v>1799</v>
      </c>
      <c r="E603" s="3">
        <f t="shared" si="640"/>
        <v>12593</v>
      </c>
      <c r="F603" s="17">
        <f t="shared" si="641"/>
        <v>419.73333333333335</v>
      </c>
      <c r="G603" s="17">
        <f t="shared" si="642"/>
        <v>419.53333333333336</v>
      </c>
      <c r="H603" s="17">
        <f t="shared" si="643"/>
        <v>419.4</v>
      </c>
      <c r="I603" s="17">
        <f t="shared" si="644"/>
        <v>419.33333333333331</v>
      </c>
      <c r="J603" s="17">
        <f t="shared" si="645"/>
        <v>419.2</v>
      </c>
      <c r="K603" s="17">
        <f t="shared" si="646"/>
        <v>419.13333333333333</v>
      </c>
      <c r="L603" s="17">
        <f t="shared" si="647"/>
        <v>419</v>
      </c>
      <c r="M603" s="17">
        <f t="shared" si="648"/>
        <v>418.8</v>
      </c>
    </row>
    <row r="604" spans="1:13" ht="16.8" thickBot="1" x14ac:dyDescent="0.4">
      <c r="F604" s="17"/>
      <c r="G604" s="17"/>
      <c r="H604" s="17"/>
      <c r="I604" s="17"/>
      <c r="J604" s="17"/>
      <c r="K604" s="17"/>
      <c r="L604" s="17"/>
      <c r="M604" s="17"/>
    </row>
    <row r="605" spans="1:13" ht="16.8" thickBot="1" x14ac:dyDescent="0.4">
      <c r="A605" s="1">
        <f>A595+1</f>
        <v>61</v>
      </c>
      <c r="C605" s="18" t="s">
        <v>2</v>
      </c>
      <c r="E605" s="13">
        <f>E586</f>
        <v>12187</v>
      </c>
      <c r="F605" s="19">
        <v>1</v>
      </c>
      <c r="G605" s="20">
        <v>7</v>
      </c>
      <c r="H605" s="20">
        <v>11</v>
      </c>
      <c r="I605" s="20">
        <v>13</v>
      </c>
      <c r="J605" s="20">
        <v>17</v>
      </c>
      <c r="K605" s="20">
        <v>19</v>
      </c>
      <c r="L605" s="20">
        <v>23</v>
      </c>
      <c r="M605" s="21">
        <v>29</v>
      </c>
    </row>
    <row r="606" spans="1:13" x14ac:dyDescent="0.35">
      <c r="B606" s="2">
        <v>30</v>
      </c>
      <c r="C606" s="2">
        <f>D606+B606</f>
        <v>1831</v>
      </c>
      <c r="D606" s="2">
        <f>C596</f>
        <v>1801</v>
      </c>
      <c r="E606" s="3">
        <f>D606*$E$5</f>
        <v>12607</v>
      </c>
      <c r="F606" s="17">
        <f>(E606-1)/30</f>
        <v>420.2</v>
      </c>
      <c r="G606" s="17">
        <f>($E606-7)/30</f>
        <v>420</v>
      </c>
      <c r="H606" s="17">
        <f>($E606-11)/30</f>
        <v>419.86666666666667</v>
      </c>
      <c r="I606" s="17">
        <f>($E606-13)/30</f>
        <v>419.8</v>
      </c>
      <c r="J606" s="17">
        <f>($E606-17)/30</f>
        <v>419.66666666666669</v>
      </c>
      <c r="K606" s="17">
        <f>($E606-19)/30</f>
        <v>419.6</v>
      </c>
      <c r="L606" s="17">
        <f>($E606-23)/30</f>
        <v>419.46666666666664</v>
      </c>
      <c r="M606" s="17">
        <f>($E606-29)/30</f>
        <v>419.26666666666665</v>
      </c>
    </row>
    <row r="607" spans="1:13" x14ac:dyDescent="0.35">
      <c r="B607" s="2">
        <v>30</v>
      </c>
      <c r="C607" s="2">
        <f t="shared" ref="C607:C613" si="649">D607+B607</f>
        <v>1837</v>
      </c>
      <c r="D607" s="2">
        <f t="shared" ref="D607:D613" si="650">C597</f>
        <v>1807</v>
      </c>
      <c r="E607" s="3">
        <f t="shared" ref="E607:E613" si="651">D607*$E$5</f>
        <v>12649</v>
      </c>
      <c r="F607" s="17">
        <f t="shared" ref="F607:F613" si="652">(E607-1)/30</f>
        <v>421.6</v>
      </c>
      <c r="G607" s="17">
        <f t="shared" ref="G607:G613" si="653">($E607-7)/30</f>
        <v>421.4</v>
      </c>
      <c r="H607" s="17">
        <f t="shared" ref="H607:H613" si="654">($E607-11)/30</f>
        <v>421.26666666666665</v>
      </c>
      <c r="I607" s="17">
        <f t="shared" ref="I607:I613" si="655">($E607-13)/30</f>
        <v>421.2</v>
      </c>
      <c r="J607" s="17">
        <f t="shared" ref="J607:J613" si="656">($E607-17)/30</f>
        <v>421.06666666666666</v>
      </c>
      <c r="K607" s="17">
        <f t="shared" ref="K607:K613" si="657">($E607-19)/30</f>
        <v>421</v>
      </c>
      <c r="L607" s="17">
        <f t="shared" ref="L607:L613" si="658">($E607-23)/30</f>
        <v>420.86666666666667</v>
      </c>
      <c r="M607" s="17">
        <f t="shared" ref="M607:M613" si="659">($E607-29)/30</f>
        <v>420.66666666666669</v>
      </c>
    </row>
    <row r="608" spans="1:13" x14ac:dyDescent="0.35">
      <c r="B608" s="2">
        <v>30</v>
      </c>
      <c r="C608" s="2">
        <f t="shared" si="649"/>
        <v>1841</v>
      </c>
      <c r="D608" s="2">
        <f t="shared" si="650"/>
        <v>1811</v>
      </c>
      <c r="E608" s="3">
        <f t="shared" si="651"/>
        <v>12677</v>
      </c>
      <c r="F608" s="17">
        <f t="shared" si="652"/>
        <v>422.53333333333336</v>
      </c>
      <c r="G608" s="17">
        <f t="shared" si="653"/>
        <v>422.33333333333331</v>
      </c>
      <c r="H608" s="17">
        <f t="shared" si="654"/>
        <v>422.2</v>
      </c>
      <c r="I608" s="17">
        <f t="shared" si="655"/>
        <v>422.13333333333333</v>
      </c>
      <c r="J608" s="17">
        <f t="shared" si="656"/>
        <v>422</v>
      </c>
      <c r="K608" s="17">
        <f t="shared" si="657"/>
        <v>421.93333333333334</v>
      </c>
      <c r="L608" s="17">
        <f t="shared" si="658"/>
        <v>421.8</v>
      </c>
      <c r="M608" s="17">
        <f t="shared" si="659"/>
        <v>421.6</v>
      </c>
    </row>
    <row r="609" spans="1:13" x14ac:dyDescent="0.35">
      <c r="B609" s="2">
        <v>30</v>
      </c>
      <c r="C609" s="2">
        <f t="shared" si="649"/>
        <v>1843</v>
      </c>
      <c r="D609" s="2">
        <f t="shared" si="650"/>
        <v>1813</v>
      </c>
      <c r="E609" s="3">
        <f t="shared" si="651"/>
        <v>12691</v>
      </c>
      <c r="F609" s="17">
        <f t="shared" si="652"/>
        <v>423</v>
      </c>
      <c r="G609" s="17">
        <f t="shared" si="653"/>
        <v>422.8</v>
      </c>
      <c r="H609" s="17">
        <f t="shared" si="654"/>
        <v>422.66666666666669</v>
      </c>
      <c r="I609" s="17">
        <f t="shared" si="655"/>
        <v>422.6</v>
      </c>
      <c r="J609" s="17">
        <f t="shared" si="656"/>
        <v>422.46666666666664</v>
      </c>
      <c r="K609" s="17">
        <f t="shared" si="657"/>
        <v>422.4</v>
      </c>
      <c r="L609" s="17">
        <f t="shared" si="658"/>
        <v>422.26666666666665</v>
      </c>
      <c r="M609" s="17">
        <f t="shared" si="659"/>
        <v>422.06666666666666</v>
      </c>
    </row>
    <row r="610" spans="1:13" x14ac:dyDescent="0.35">
      <c r="B610" s="2">
        <v>30</v>
      </c>
      <c r="C610" s="2">
        <f t="shared" si="649"/>
        <v>1847</v>
      </c>
      <c r="D610" s="2">
        <f t="shared" si="650"/>
        <v>1817</v>
      </c>
      <c r="E610" s="3">
        <f t="shared" si="651"/>
        <v>12719</v>
      </c>
      <c r="F610" s="17">
        <f t="shared" si="652"/>
        <v>423.93333333333334</v>
      </c>
      <c r="G610" s="17">
        <f t="shared" si="653"/>
        <v>423.73333333333335</v>
      </c>
      <c r="H610" s="17">
        <f t="shared" si="654"/>
        <v>423.6</v>
      </c>
      <c r="I610" s="17">
        <f t="shared" si="655"/>
        <v>423.53333333333336</v>
      </c>
      <c r="J610" s="17">
        <f t="shared" si="656"/>
        <v>423.4</v>
      </c>
      <c r="K610" s="17">
        <f t="shared" si="657"/>
        <v>423.33333333333331</v>
      </c>
      <c r="L610" s="17">
        <f t="shared" si="658"/>
        <v>423.2</v>
      </c>
      <c r="M610" s="17">
        <f t="shared" si="659"/>
        <v>423</v>
      </c>
    </row>
    <row r="611" spans="1:13" x14ac:dyDescent="0.35">
      <c r="B611" s="2">
        <v>30</v>
      </c>
      <c r="C611" s="2">
        <f t="shared" si="649"/>
        <v>1849</v>
      </c>
      <c r="D611" s="2">
        <f t="shared" si="650"/>
        <v>1819</v>
      </c>
      <c r="E611" s="3">
        <f t="shared" si="651"/>
        <v>12733</v>
      </c>
      <c r="F611" s="17">
        <f t="shared" si="652"/>
        <v>424.4</v>
      </c>
      <c r="G611" s="17">
        <f t="shared" si="653"/>
        <v>424.2</v>
      </c>
      <c r="H611" s="17">
        <f t="shared" si="654"/>
        <v>424.06666666666666</v>
      </c>
      <c r="I611" s="17">
        <f t="shared" si="655"/>
        <v>424</v>
      </c>
      <c r="J611" s="17">
        <f t="shared" si="656"/>
        <v>423.86666666666667</v>
      </c>
      <c r="K611" s="17">
        <f t="shared" si="657"/>
        <v>423.8</v>
      </c>
      <c r="L611" s="17">
        <f t="shared" si="658"/>
        <v>423.66666666666669</v>
      </c>
      <c r="M611" s="17">
        <f t="shared" si="659"/>
        <v>423.46666666666664</v>
      </c>
    </row>
    <row r="612" spans="1:13" x14ac:dyDescent="0.35">
      <c r="B612" s="2">
        <v>30</v>
      </c>
      <c r="C612" s="2">
        <f t="shared" si="649"/>
        <v>1853</v>
      </c>
      <c r="D612" s="2">
        <f t="shared" si="650"/>
        <v>1823</v>
      </c>
      <c r="E612" s="3">
        <f t="shared" si="651"/>
        <v>12761</v>
      </c>
      <c r="F612" s="17">
        <f t="shared" si="652"/>
        <v>425.33333333333331</v>
      </c>
      <c r="G612" s="17">
        <f t="shared" si="653"/>
        <v>425.13333333333333</v>
      </c>
      <c r="H612" s="17">
        <f t="shared" si="654"/>
        <v>425</v>
      </c>
      <c r="I612" s="17">
        <f t="shared" si="655"/>
        <v>424.93333333333334</v>
      </c>
      <c r="J612" s="17">
        <f t="shared" si="656"/>
        <v>424.8</v>
      </c>
      <c r="K612" s="17">
        <f t="shared" si="657"/>
        <v>424.73333333333335</v>
      </c>
      <c r="L612" s="17">
        <f t="shared" si="658"/>
        <v>424.6</v>
      </c>
      <c r="M612" s="17">
        <f t="shared" si="659"/>
        <v>424.4</v>
      </c>
    </row>
    <row r="613" spans="1:13" x14ac:dyDescent="0.35">
      <c r="B613" s="2">
        <v>30</v>
      </c>
      <c r="C613" s="2">
        <f t="shared" si="649"/>
        <v>1859</v>
      </c>
      <c r="D613" s="2">
        <f t="shared" si="650"/>
        <v>1829</v>
      </c>
      <c r="E613" s="3">
        <f t="shared" si="651"/>
        <v>12803</v>
      </c>
      <c r="F613" s="17">
        <f t="shared" si="652"/>
        <v>426.73333333333335</v>
      </c>
      <c r="G613" s="17">
        <f t="shared" si="653"/>
        <v>426.53333333333336</v>
      </c>
      <c r="H613" s="17">
        <f t="shared" si="654"/>
        <v>426.4</v>
      </c>
      <c r="I613" s="17">
        <f t="shared" si="655"/>
        <v>426.33333333333331</v>
      </c>
      <c r="J613" s="17">
        <f t="shared" si="656"/>
        <v>426.2</v>
      </c>
      <c r="K613" s="17">
        <f t="shared" si="657"/>
        <v>426.13333333333333</v>
      </c>
      <c r="L613" s="17">
        <f t="shared" si="658"/>
        <v>426</v>
      </c>
      <c r="M613" s="17">
        <f t="shared" si="659"/>
        <v>425.8</v>
      </c>
    </row>
    <row r="614" spans="1:13" ht="16.8" thickBot="1" x14ac:dyDescent="0.4">
      <c r="F614" s="17"/>
      <c r="G614" s="17"/>
      <c r="H614" s="17"/>
      <c r="I614" s="17"/>
      <c r="J614" s="17"/>
      <c r="K614" s="17"/>
      <c r="L614" s="17"/>
      <c r="M614" s="17"/>
    </row>
    <row r="615" spans="1:13" ht="16.8" thickBot="1" x14ac:dyDescent="0.4">
      <c r="A615" s="1">
        <f>A605+1</f>
        <v>62</v>
      </c>
      <c r="C615" s="18" t="s">
        <v>2</v>
      </c>
      <c r="E615" s="13">
        <f>E596</f>
        <v>12397</v>
      </c>
      <c r="F615" s="19">
        <v>1</v>
      </c>
      <c r="G615" s="20">
        <v>7</v>
      </c>
      <c r="H615" s="20">
        <v>11</v>
      </c>
      <c r="I615" s="20">
        <v>13</v>
      </c>
      <c r="J615" s="20">
        <v>17</v>
      </c>
      <c r="K615" s="20">
        <v>19</v>
      </c>
      <c r="L615" s="20">
        <v>23</v>
      </c>
      <c r="M615" s="21">
        <v>29</v>
      </c>
    </row>
    <row r="616" spans="1:13" x14ac:dyDescent="0.35">
      <c r="B616" s="2">
        <v>30</v>
      </c>
      <c r="C616" s="2">
        <f>D616+B616</f>
        <v>1861</v>
      </c>
      <c r="D616" s="2">
        <f>C606</f>
        <v>1831</v>
      </c>
      <c r="E616" s="3">
        <f>D616*$E$5</f>
        <v>12817</v>
      </c>
      <c r="F616" s="17">
        <f>(E616-1)/30</f>
        <v>427.2</v>
      </c>
      <c r="G616" s="17">
        <f>($E616-7)/30</f>
        <v>427</v>
      </c>
      <c r="H616" s="17">
        <f>($E616-11)/30</f>
        <v>426.86666666666667</v>
      </c>
      <c r="I616" s="17">
        <f>($E616-13)/30</f>
        <v>426.8</v>
      </c>
      <c r="J616" s="17">
        <f>($E616-17)/30</f>
        <v>426.66666666666669</v>
      </c>
      <c r="K616" s="17">
        <f>($E616-19)/30</f>
        <v>426.6</v>
      </c>
      <c r="L616" s="17">
        <f>($E616-23)/30</f>
        <v>426.46666666666664</v>
      </c>
      <c r="M616" s="17">
        <f>($E616-29)/30</f>
        <v>426.26666666666665</v>
      </c>
    </row>
    <row r="617" spans="1:13" x14ac:dyDescent="0.35">
      <c r="B617" s="2">
        <v>30</v>
      </c>
      <c r="C617" s="2">
        <f t="shared" ref="C617:C623" si="660">D617+B617</f>
        <v>1867</v>
      </c>
      <c r="D617" s="2">
        <f t="shared" ref="D617:D623" si="661">C607</f>
        <v>1837</v>
      </c>
      <c r="E617" s="3">
        <f t="shared" ref="E617:E623" si="662">D617*$E$5</f>
        <v>12859</v>
      </c>
      <c r="F617" s="17">
        <f t="shared" ref="F617:F623" si="663">(E617-1)/30</f>
        <v>428.6</v>
      </c>
      <c r="G617" s="17">
        <f t="shared" ref="G617:G623" si="664">($E617-7)/30</f>
        <v>428.4</v>
      </c>
      <c r="H617" s="17">
        <f t="shared" ref="H617:H623" si="665">($E617-11)/30</f>
        <v>428.26666666666665</v>
      </c>
      <c r="I617" s="17">
        <f t="shared" ref="I617:I623" si="666">($E617-13)/30</f>
        <v>428.2</v>
      </c>
      <c r="J617" s="17">
        <f t="shared" ref="J617:J623" si="667">($E617-17)/30</f>
        <v>428.06666666666666</v>
      </c>
      <c r="K617" s="17">
        <f t="shared" ref="K617:K623" si="668">($E617-19)/30</f>
        <v>428</v>
      </c>
      <c r="L617" s="17">
        <f t="shared" ref="L617:L623" si="669">($E617-23)/30</f>
        <v>427.86666666666667</v>
      </c>
      <c r="M617" s="17">
        <f t="shared" ref="M617:M623" si="670">($E617-29)/30</f>
        <v>427.66666666666669</v>
      </c>
    </row>
    <row r="618" spans="1:13" x14ac:dyDescent="0.35">
      <c r="B618" s="2">
        <v>30</v>
      </c>
      <c r="C618" s="2">
        <f t="shared" si="660"/>
        <v>1871</v>
      </c>
      <c r="D618" s="2">
        <f t="shared" si="661"/>
        <v>1841</v>
      </c>
      <c r="E618" s="3">
        <f t="shared" si="662"/>
        <v>12887</v>
      </c>
      <c r="F618" s="17">
        <f t="shared" si="663"/>
        <v>429.53333333333336</v>
      </c>
      <c r="G618" s="17">
        <f t="shared" si="664"/>
        <v>429.33333333333331</v>
      </c>
      <c r="H618" s="17">
        <f t="shared" si="665"/>
        <v>429.2</v>
      </c>
      <c r="I618" s="17">
        <f t="shared" si="666"/>
        <v>429.13333333333333</v>
      </c>
      <c r="J618" s="17">
        <f t="shared" si="667"/>
        <v>429</v>
      </c>
      <c r="K618" s="17">
        <f t="shared" si="668"/>
        <v>428.93333333333334</v>
      </c>
      <c r="L618" s="17">
        <f t="shared" si="669"/>
        <v>428.8</v>
      </c>
      <c r="M618" s="17">
        <f t="shared" si="670"/>
        <v>428.6</v>
      </c>
    </row>
    <row r="619" spans="1:13" x14ac:dyDescent="0.35">
      <c r="B619" s="2">
        <v>30</v>
      </c>
      <c r="C619" s="2">
        <f t="shared" si="660"/>
        <v>1873</v>
      </c>
      <c r="D619" s="2">
        <f t="shared" si="661"/>
        <v>1843</v>
      </c>
      <c r="E619" s="3">
        <f t="shared" si="662"/>
        <v>12901</v>
      </c>
      <c r="F619" s="17">
        <f t="shared" si="663"/>
        <v>430</v>
      </c>
      <c r="G619" s="17">
        <f t="shared" si="664"/>
        <v>429.8</v>
      </c>
      <c r="H619" s="17">
        <f t="shared" si="665"/>
        <v>429.66666666666669</v>
      </c>
      <c r="I619" s="17">
        <f t="shared" si="666"/>
        <v>429.6</v>
      </c>
      <c r="J619" s="17">
        <f t="shared" si="667"/>
        <v>429.46666666666664</v>
      </c>
      <c r="K619" s="17">
        <f t="shared" si="668"/>
        <v>429.4</v>
      </c>
      <c r="L619" s="17">
        <f t="shared" si="669"/>
        <v>429.26666666666665</v>
      </c>
      <c r="M619" s="17">
        <f t="shared" si="670"/>
        <v>429.06666666666666</v>
      </c>
    </row>
    <row r="620" spans="1:13" x14ac:dyDescent="0.35">
      <c r="B620" s="2">
        <v>30</v>
      </c>
      <c r="C620" s="2">
        <f t="shared" si="660"/>
        <v>1877</v>
      </c>
      <c r="D620" s="2">
        <f t="shared" si="661"/>
        <v>1847</v>
      </c>
      <c r="E620" s="3">
        <f t="shared" si="662"/>
        <v>12929</v>
      </c>
      <c r="F620" s="17">
        <f t="shared" si="663"/>
        <v>430.93333333333334</v>
      </c>
      <c r="G620" s="17">
        <f t="shared" si="664"/>
        <v>430.73333333333335</v>
      </c>
      <c r="H620" s="17">
        <f t="shared" si="665"/>
        <v>430.6</v>
      </c>
      <c r="I620" s="17">
        <f t="shared" si="666"/>
        <v>430.53333333333336</v>
      </c>
      <c r="J620" s="17">
        <f t="shared" si="667"/>
        <v>430.4</v>
      </c>
      <c r="K620" s="17">
        <f t="shared" si="668"/>
        <v>430.33333333333331</v>
      </c>
      <c r="L620" s="17">
        <f t="shared" si="669"/>
        <v>430.2</v>
      </c>
      <c r="M620" s="17">
        <f t="shared" si="670"/>
        <v>430</v>
      </c>
    </row>
    <row r="621" spans="1:13" x14ac:dyDescent="0.35">
      <c r="B621" s="2">
        <v>30</v>
      </c>
      <c r="C621" s="2">
        <f t="shared" si="660"/>
        <v>1879</v>
      </c>
      <c r="D621" s="2">
        <f t="shared" si="661"/>
        <v>1849</v>
      </c>
      <c r="E621" s="3">
        <f t="shared" si="662"/>
        <v>12943</v>
      </c>
      <c r="F621" s="17">
        <f t="shared" si="663"/>
        <v>431.4</v>
      </c>
      <c r="G621" s="17">
        <f t="shared" si="664"/>
        <v>431.2</v>
      </c>
      <c r="H621" s="17">
        <f t="shared" si="665"/>
        <v>431.06666666666666</v>
      </c>
      <c r="I621" s="17">
        <f t="shared" si="666"/>
        <v>431</v>
      </c>
      <c r="J621" s="17">
        <f t="shared" si="667"/>
        <v>430.86666666666667</v>
      </c>
      <c r="K621" s="17">
        <f t="shared" si="668"/>
        <v>430.8</v>
      </c>
      <c r="L621" s="17">
        <f t="shared" si="669"/>
        <v>430.66666666666669</v>
      </c>
      <c r="M621" s="17">
        <f t="shared" si="670"/>
        <v>430.46666666666664</v>
      </c>
    </row>
    <row r="622" spans="1:13" x14ac:dyDescent="0.35">
      <c r="B622" s="2">
        <v>30</v>
      </c>
      <c r="C622" s="2">
        <f t="shared" si="660"/>
        <v>1883</v>
      </c>
      <c r="D622" s="2">
        <f t="shared" si="661"/>
        <v>1853</v>
      </c>
      <c r="E622" s="3">
        <f t="shared" si="662"/>
        <v>12971</v>
      </c>
      <c r="F622" s="17">
        <f t="shared" si="663"/>
        <v>432.33333333333331</v>
      </c>
      <c r="G622" s="17">
        <f t="shared" si="664"/>
        <v>432.13333333333333</v>
      </c>
      <c r="H622" s="17">
        <f t="shared" si="665"/>
        <v>432</v>
      </c>
      <c r="I622" s="17">
        <f t="shared" si="666"/>
        <v>431.93333333333334</v>
      </c>
      <c r="J622" s="17">
        <f t="shared" si="667"/>
        <v>431.8</v>
      </c>
      <c r="K622" s="17">
        <f t="shared" si="668"/>
        <v>431.73333333333335</v>
      </c>
      <c r="L622" s="17">
        <f t="shared" si="669"/>
        <v>431.6</v>
      </c>
      <c r="M622" s="17">
        <f t="shared" si="670"/>
        <v>431.4</v>
      </c>
    </row>
    <row r="623" spans="1:13" x14ac:dyDescent="0.35">
      <c r="B623" s="2">
        <v>30</v>
      </c>
      <c r="C623" s="2">
        <f t="shared" si="660"/>
        <v>1889</v>
      </c>
      <c r="D623" s="2">
        <f t="shared" si="661"/>
        <v>1859</v>
      </c>
      <c r="E623" s="3">
        <f t="shared" si="662"/>
        <v>13013</v>
      </c>
      <c r="F623" s="17">
        <f t="shared" si="663"/>
        <v>433.73333333333335</v>
      </c>
      <c r="G623" s="17">
        <f t="shared" si="664"/>
        <v>433.53333333333336</v>
      </c>
      <c r="H623" s="17">
        <f t="shared" si="665"/>
        <v>433.4</v>
      </c>
      <c r="I623" s="17">
        <f t="shared" si="666"/>
        <v>433.33333333333331</v>
      </c>
      <c r="J623" s="17">
        <f t="shared" si="667"/>
        <v>433.2</v>
      </c>
      <c r="K623" s="17">
        <f t="shared" si="668"/>
        <v>433.13333333333333</v>
      </c>
      <c r="L623" s="17">
        <f t="shared" si="669"/>
        <v>433</v>
      </c>
      <c r="M623" s="17">
        <f t="shared" si="670"/>
        <v>432.8</v>
      </c>
    </row>
    <row r="624" spans="1:13" ht="16.8" thickBot="1" x14ac:dyDescent="0.4">
      <c r="F624" s="17"/>
      <c r="G624" s="17"/>
      <c r="H624" s="17"/>
      <c r="I624" s="17"/>
      <c r="J624" s="17"/>
      <c r="K624" s="17"/>
      <c r="L624" s="17"/>
      <c r="M624" s="17"/>
    </row>
    <row r="625" spans="1:13" ht="16.8" thickBot="1" x14ac:dyDescent="0.4">
      <c r="A625" s="1">
        <f>A615+1</f>
        <v>63</v>
      </c>
      <c r="C625" s="18" t="s">
        <v>2</v>
      </c>
      <c r="E625" s="13">
        <f>E606</f>
        <v>12607</v>
      </c>
      <c r="F625" s="19">
        <v>1</v>
      </c>
      <c r="G625" s="20">
        <v>7</v>
      </c>
      <c r="H625" s="20">
        <v>11</v>
      </c>
      <c r="I625" s="20">
        <v>13</v>
      </c>
      <c r="J625" s="20">
        <v>17</v>
      </c>
      <c r="K625" s="20">
        <v>19</v>
      </c>
      <c r="L625" s="20">
        <v>23</v>
      </c>
      <c r="M625" s="21">
        <v>29</v>
      </c>
    </row>
    <row r="626" spans="1:13" x14ac:dyDescent="0.35">
      <c r="B626" s="2">
        <v>30</v>
      </c>
      <c r="C626" s="2">
        <f>D626+B626</f>
        <v>1891</v>
      </c>
      <c r="D626" s="2">
        <f>C616</f>
        <v>1861</v>
      </c>
      <c r="E626" s="3">
        <f>D626*$E$5</f>
        <v>13027</v>
      </c>
      <c r="F626" s="17">
        <f>(E626-1)/30</f>
        <v>434.2</v>
      </c>
      <c r="G626" s="17">
        <f>($E626-7)/30</f>
        <v>434</v>
      </c>
      <c r="H626" s="17">
        <f>($E626-11)/30</f>
        <v>433.86666666666667</v>
      </c>
      <c r="I626" s="17">
        <f>($E626-13)/30</f>
        <v>433.8</v>
      </c>
      <c r="J626" s="17">
        <f>($E626-17)/30</f>
        <v>433.66666666666669</v>
      </c>
      <c r="K626" s="17">
        <f>($E626-19)/30</f>
        <v>433.6</v>
      </c>
      <c r="L626" s="17">
        <f>($E626-23)/30</f>
        <v>433.46666666666664</v>
      </c>
      <c r="M626" s="17">
        <f>($E626-29)/30</f>
        <v>433.26666666666665</v>
      </c>
    </row>
    <row r="627" spans="1:13" x14ac:dyDescent="0.35">
      <c r="B627" s="2">
        <v>30</v>
      </c>
      <c r="C627" s="2">
        <f t="shared" ref="C627:C633" si="671">D627+B627</f>
        <v>1897</v>
      </c>
      <c r="D627" s="2">
        <f t="shared" ref="D627:D633" si="672">C617</f>
        <v>1867</v>
      </c>
      <c r="E627" s="3">
        <f t="shared" ref="E627:E633" si="673">D627*$E$5</f>
        <v>13069</v>
      </c>
      <c r="F627" s="17">
        <f t="shared" ref="F627:F633" si="674">(E627-1)/30</f>
        <v>435.6</v>
      </c>
      <c r="G627" s="17">
        <f t="shared" ref="G627:G633" si="675">($E627-7)/30</f>
        <v>435.4</v>
      </c>
      <c r="H627" s="17">
        <f t="shared" ref="H627:H633" si="676">($E627-11)/30</f>
        <v>435.26666666666665</v>
      </c>
      <c r="I627" s="17">
        <f t="shared" ref="I627:I633" si="677">($E627-13)/30</f>
        <v>435.2</v>
      </c>
      <c r="J627" s="17">
        <f t="shared" ref="J627:J633" si="678">($E627-17)/30</f>
        <v>435.06666666666666</v>
      </c>
      <c r="K627" s="17">
        <f t="shared" ref="K627:K633" si="679">($E627-19)/30</f>
        <v>435</v>
      </c>
      <c r="L627" s="17">
        <f t="shared" ref="L627:L633" si="680">($E627-23)/30</f>
        <v>434.86666666666667</v>
      </c>
      <c r="M627" s="17">
        <f t="shared" ref="M627:M633" si="681">($E627-29)/30</f>
        <v>434.66666666666669</v>
      </c>
    </row>
    <row r="628" spans="1:13" x14ac:dyDescent="0.35">
      <c r="B628" s="2">
        <v>30</v>
      </c>
      <c r="C628" s="2">
        <f t="shared" si="671"/>
        <v>1901</v>
      </c>
      <c r="D628" s="2">
        <f t="shared" si="672"/>
        <v>1871</v>
      </c>
      <c r="E628" s="3">
        <f t="shared" si="673"/>
        <v>13097</v>
      </c>
      <c r="F628" s="17">
        <f t="shared" si="674"/>
        <v>436.53333333333336</v>
      </c>
      <c r="G628" s="17">
        <f t="shared" si="675"/>
        <v>436.33333333333331</v>
      </c>
      <c r="H628" s="17">
        <f t="shared" si="676"/>
        <v>436.2</v>
      </c>
      <c r="I628" s="17">
        <f t="shared" si="677"/>
        <v>436.13333333333333</v>
      </c>
      <c r="J628" s="17">
        <f t="shared" si="678"/>
        <v>436</v>
      </c>
      <c r="K628" s="17">
        <f t="shared" si="679"/>
        <v>435.93333333333334</v>
      </c>
      <c r="L628" s="17">
        <f t="shared" si="680"/>
        <v>435.8</v>
      </c>
      <c r="M628" s="17">
        <f t="shared" si="681"/>
        <v>435.6</v>
      </c>
    </row>
    <row r="629" spans="1:13" x14ac:dyDescent="0.35">
      <c r="B629" s="2">
        <v>30</v>
      </c>
      <c r="C629" s="2">
        <f t="shared" si="671"/>
        <v>1903</v>
      </c>
      <c r="D629" s="2">
        <f t="shared" si="672"/>
        <v>1873</v>
      </c>
      <c r="E629" s="3">
        <f t="shared" si="673"/>
        <v>13111</v>
      </c>
      <c r="F629" s="17">
        <f t="shared" si="674"/>
        <v>437</v>
      </c>
      <c r="G629" s="17">
        <f t="shared" si="675"/>
        <v>436.8</v>
      </c>
      <c r="H629" s="17">
        <f t="shared" si="676"/>
        <v>436.66666666666669</v>
      </c>
      <c r="I629" s="17">
        <f t="shared" si="677"/>
        <v>436.6</v>
      </c>
      <c r="J629" s="17">
        <f t="shared" si="678"/>
        <v>436.46666666666664</v>
      </c>
      <c r="K629" s="17">
        <f t="shared" si="679"/>
        <v>436.4</v>
      </c>
      <c r="L629" s="17">
        <f t="shared" si="680"/>
        <v>436.26666666666665</v>
      </c>
      <c r="M629" s="17">
        <f t="shared" si="681"/>
        <v>436.06666666666666</v>
      </c>
    </row>
    <row r="630" spans="1:13" x14ac:dyDescent="0.35">
      <c r="B630" s="2">
        <v>30</v>
      </c>
      <c r="C630" s="2">
        <f t="shared" si="671"/>
        <v>1907</v>
      </c>
      <c r="D630" s="2">
        <f t="shared" si="672"/>
        <v>1877</v>
      </c>
      <c r="E630" s="3">
        <f t="shared" si="673"/>
        <v>13139</v>
      </c>
      <c r="F630" s="17">
        <f t="shared" si="674"/>
        <v>437.93333333333334</v>
      </c>
      <c r="G630" s="17">
        <f t="shared" si="675"/>
        <v>437.73333333333335</v>
      </c>
      <c r="H630" s="17">
        <f t="shared" si="676"/>
        <v>437.6</v>
      </c>
      <c r="I630" s="17">
        <f t="shared" si="677"/>
        <v>437.53333333333336</v>
      </c>
      <c r="J630" s="17">
        <f t="shared" si="678"/>
        <v>437.4</v>
      </c>
      <c r="K630" s="17">
        <f t="shared" si="679"/>
        <v>437.33333333333331</v>
      </c>
      <c r="L630" s="17">
        <f t="shared" si="680"/>
        <v>437.2</v>
      </c>
      <c r="M630" s="17">
        <f t="shared" si="681"/>
        <v>437</v>
      </c>
    </row>
    <row r="631" spans="1:13" x14ac:dyDescent="0.35">
      <c r="B631" s="2">
        <v>30</v>
      </c>
      <c r="C631" s="2">
        <f t="shared" si="671"/>
        <v>1909</v>
      </c>
      <c r="D631" s="2">
        <f t="shared" si="672"/>
        <v>1879</v>
      </c>
      <c r="E631" s="3">
        <f t="shared" si="673"/>
        <v>13153</v>
      </c>
      <c r="F631" s="17">
        <f t="shared" si="674"/>
        <v>438.4</v>
      </c>
      <c r="G631" s="17">
        <f t="shared" si="675"/>
        <v>438.2</v>
      </c>
      <c r="H631" s="17">
        <f t="shared" si="676"/>
        <v>438.06666666666666</v>
      </c>
      <c r="I631" s="17">
        <f t="shared" si="677"/>
        <v>438</v>
      </c>
      <c r="J631" s="17">
        <f t="shared" si="678"/>
        <v>437.86666666666667</v>
      </c>
      <c r="K631" s="17">
        <f t="shared" si="679"/>
        <v>437.8</v>
      </c>
      <c r="L631" s="17">
        <f t="shared" si="680"/>
        <v>437.66666666666669</v>
      </c>
      <c r="M631" s="17">
        <f t="shared" si="681"/>
        <v>437.46666666666664</v>
      </c>
    </row>
    <row r="632" spans="1:13" x14ac:dyDescent="0.35">
      <c r="B632" s="2">
        <v>30</v>
      </c>
      <c r="C632" s="2">
        <f t="shared" si="671"/>
        <v>1913</v>
      </c>
      <c r="D632" s="2">
        <f t="shared" si="672"/>
        <v>1883</v>
      </c>
      <c r="E632" s="3">
        <f t="shared" si="673"/>
        <v>13181</v>
      </c>
      <c r="F632" s="17">
        <f t="shared" si="674"/>
        <v>439.33333333333331</v>
      </c>
      <c r="G632" s="17">
        <f t="shared" si="675"/>
        <v>439.13333333333333</v>
      </c>
      <c r="H632" s="17">
        <f t="shared" si="676"/>
        <v>439</v>
      </c>
      <c r="I632" s="17">
        <f t="shared" si="677"/>
        <v>438.93333333333334</v>
      </c>
      <c r="J632" s="17">
        <f t="shared" si="678"/>
        <v>438.8</v>
      </c>
      <c r="K632" s="17">
        <f t="shared" si="679"/>
        <v>438.73333333333335</v>
      </c>
      <c r="L632" s="17">
        <f t="shared" si="680"/>
        <v>438.6</v>
      </c>
      <c r="M632" s="17">
        <f t="shared" si="681"/>
        <v>438.4</v>
      </c>
    </row>
    <row r="633" spans="1:13" x14ac:dyDescent="0.35">
      <c r="B633" s="2">
        <v>30</v>
      </c>
      <c r="C633" s="2">
        <f t="shared" si="671"/>
        <v>1919</v>
      </c>
      <c r="D633" s="2">
        <f t="shared" si="672"/>
        <v>1889</v>
      </c>
      <c r="E633" s="3">
        <f t="shared" si="673"/>
        <v>13223</v>
      </c>
      <c r="F633" s="17">
        <f t="shared" si="674"/>
        <v>440.73333333333335</v>
      </c>
      <c r="G633" s="17">
        <f t="shared" si="675"/>
        <v>440.53333333333336</v>
      </c>
      <c r="H633" s="17">
        <f t="shared" si="676"/>
        <v>440.4</v>
      </c>
      <c r="I633" s="17">
        <f t="shared" si="677"/>
        <v>440.33333333333331</v>
      </c>
      <c r="J633" s="17">
        <f t="shared" si="678"/>
        <v>440.2</v>
      </c>
      <c r="K633" s="17">
        <f t="shared" si="679"/>
        <v>440.13333333333333</v>
      </c>
      <c r="L633" s="17">
        <f t="shared" si="680"/>
        <v>440</v>
      </c>
      <c r="M633" s="17">
        <f t="shared" si="681"/>
        <v>439.8</v>
      </c>
    </row>
    <row r="634" spans="1:13" ht="16.8" thickBot="1" x14ac:dyDescent="0.4">
      <c r="F634" s="17"/>
      <c r="G634" s="17"/>
      <c r="H634" s="17"/>
      <c r="I634" s="17"/>
      <c r="J634" s="17"/>
      <c r="K634" s="17"/>
      <c r="L634" s="17"/>
      <c r="M634" s="17"/>
    </row>
    <row r="635" spans="1:13" ht="16.8" thickBot="1" x14ac:dyDescent="0.4">
      <c r="A635" s="1">
        <f>A625+1</f>
        <v>64</v>
      </c>
      <c r="C635" s="18" t="s">
        <v>2</v>
      </c>
      <c r="E635" s="13">
        <f>E616</f>
        <v>12817</v>
      </c>
      <c r="F635" s="19">
        <v>1</v>
      </c>
      <c r="G635" s="20">
        <v>7</v>
      </c>
      <c r="H635" s="20">
        <v>11</v>
      </c>
      <c r="I635" s="20">
        <v>13</v>
      </c>
      <c r="J635" s="20">
        <v>17</v>
      </c>
      <c r="K635" s="20">
        <v>19</v>
      </c>
      <c r="L635" s="20">
        <v>23</v>
      </c>
      <c r="M635" s="21">
        <v>29</v>
      </c>
    </row>
    <row r="636" spans="1:13" x14ac:dyDescent="0.35">
      <c r="B636" s="2">
        <v>30</v>
      </c>
      <c r="C636" s="2">
        <f>D636+B636</f>
        <v>1921</v>
      </c>
      <c r="D636" s="2">
        <f>C626</f>
        <v>1891</v>
      </c>
      <c r="E636" s="3">
        <f>D636*$E$5</f>
        <v>13237</v>
      </c>
      <c r="F636" s="17">
        <f>(E636-1)/30</f>
        <v>441.2</v>
      </c>
      <c r="G636" s="17">
        <f>($E636-7)/30</f>
        <v>441</v>
      </c>
      <c r="H636" s="17">
        <f>($E636-11)/30</f>
        <v>440.86666666666667</v>
      </c>
      <c r="I636" s="17">
        <f>($E636-13)/30</f>
        <v>440.8</v>
      </c>
      <c r="J636" s="17">
        <f>($E636-17)/30</f>
        <v>440.66666666666669</v>
      </c>
      <c r="K636" s="17">
        <f>($E636-19)/30</f>
        <v>440.6</v>
      </c>
      <c r="L636" s="17">
        <f>($E636-23)/30</f>
        <v>440.46666666666664</v>
      </c>
      <c r="M636" s="17">
        <f>($E636-29)/30</f>
        <v>440.26666666666665</v>
      </c>
    </row>
    <row r="637" spans="1:13" x14ac:dyDescent="0.35">
      <c r="B637" s="2">
        <v>30</v>
      </c>
      <c r="C637" s="2">
        <f t="shared" ref="C637:C643" si="682">D637+B637</f>
        <v>1927</v>
      </c>
      <c r="D637" s="2">
        <f t="shared" ref="D637:D643" si="683">C627</f>
        <v>1897</v>
      </c>
      <c r="E637" s="3">
        <f t="shared" ref="E637:E643" si="684">D637*$E$5</f>
        <v>13279</v>
      </c>
      <c r="F637" s="17">
        <f t="shared" ref="F637:F643" si="685">(E637-1)/30</f>
        <v>442.6</v>
      </c>
      <c r="G637" s="17">
        <f t="shared" ref="G637:G643" si="686">($E637-7)/30</f>
        <v>442.4</v>
      </c>
      <c r="H637" s="17">
        <f t="shared" ref="H637:H643" si="687">($E637-11)/30</f>
        <v>442.26666666666665</v>
      </c>
      <c r="I637" s="17">
        <f t="shared" ref="I637:I643" si="688">($E637-13)/30</f>
        <v>442.2</v>
      </c>
      <c r="J637" s="17">
        <f t="shared" ref="J637:J643" si="689">($E637-17)/30</f>
        <v>442.06666666666666</v>
      </c>
      <c r="K637" s="17">
        <f t="shared" ref="K637:K643" si="690">($E637-19)/30</f>
        <v>442</v>
      </c>
      <c r="L637" s="17">
        <f t="shared" ref="L637:L643" si="691">($E637-23)/30</f>
        <v>441.86666666666667</v>
      </c>
      <c r="M637" s="17">
        <f t="shared" ref="M637:M643" si="692">($E637-29)/30</f>
        <v>441.66666666666669</v>
      </c>
    </row>
    <row r="638" spans="1:13" x14ac:dyDescent="0.35">
      <c r="B638" s="2">
        <v>30</v>
      </c>
      <c r="C638" s="2">
        <f t="shared" si="682"/>
        <v>1931</v>
      </c>
      <c r="D638" s="2">
        <f t="shared" si="683"/>
        <v>1901</v>
      </c>
      <c r="E638" s="3">
        <f t="shared" si="684"/>
        <v>13307</v>
      </c>
      <c r="F638" s="17">
        <f t="shared" si="685"/>
        <v>443.53333333333336</v>
      </c>
      <c r="G638" s="17">
        <f t="shared" si="686"/>
        <v>443.33333333333331</v>
      </c>
      <c r="H638" s="17">
        <f t="shared" si="687"/>
        <v>443.2</v>
      </c>
      <c r="I638" s="17">
        <f t="shared" si="688"/>
        <v>443.13333333333333</v>
      </c>
      <c r="J638" s="17">
        <f t="shared" si="689"/>
        <v>443</v>
      </c>
      <c r="K638" s="17">
        <f t="shared" si="690"/>
        <v>442.93333333333334</v>
      </c>
      <c r="L638" s="17">
        <f t="shared" si="691"/>
        <v>442.8</v>
      </c>
      <c r="M638" s="17">
        <f t="shared" si="692"/>
        <v>442.6</v>
      </c>
    </row>
    <row r="639" spans="1:13" x14ac:dyDescent="0.35">
      <c r="B639" s="2">
        <v>30</v>
      </c>
      <c r="C639" s="2">
        <f t="shared" si="682"/>
        <v>1933</v>
      </c>
      <c r="D639" s="2">
        <f t="shared" si="683"/>
        <v>1903</v>
      </c>
      <c r="E639" s="3">
        <f t="shared" si="684"/>
        <v>13321</v>
      </c>
      <c r="F639" s="17">
        <f t="shared" si="685"/>
        <v>444</v>
      </c>
      <c r="G639" s="17">
        <f t="shared" si="686"/>
        <v>443.8</v>
      </c>
      <c r="H639" s="17">
        <f t="shared" si="687"/>
        <v>443.66666666666669</v>
      </c>
      <c r="I639" s="17">
        <f t="shared" si="688"/>
        <v>443.6</v>
      </c>
      <c r="J639" s="17">
        <f t="shared" si="689"/>
        <v>443.46666666666664</v>
      </c>
      <c r="K639" s="17">
        <f t="shared" si="690"/>
        <v>443.4</v>
      </c>
      <c r="L639" s="17">
        <f t="shared" si="691"/>
        <v>443.26666666666665</v>
      </c>
      <c r="M639" s="17">
        <f t="shared" si="692"/>
        <v>443.06666666666666</v>
      </c>
    </row>
    <row r="640" spans="1:13" x14ac:dyDescent="0.35">
      <c r="B640" s="2">
        <v>30</v>
      </c>
      <c r="C640" s="2">
        <f t="shared" si="682"/>
        <v>1937</v>
      </c>
      <c r="D640" s="2">
        <f t="shared" si="683"/>
        <v>1907</v>
      </c>
      <c r="E640" s="3">
        <f t="shared" si="684"/>
        <v>13349</v>
      </c>
      <c r="F640" s="17">
        <f t="shared" si="685"/>
        <v>444.93333333333334</v>
      </c>
      <c r="G640" s="17">
        <f t="shared" si="686"/>
        <v>444.73333333333335</v>
      </c>
      <c r="H640" s="17">
        <f t="shared" si="687"/>
        <v>444.6</v>
      </c>
      <c r="I640" s="17">
        <f t="shared" si="688"/>
        <v>444.53333333333336</v>
      </c>
      <c r="J640" s="17">
        <f t="shared" si="689"/>
        <v>444.4</v>
      </c>
      <c r="K640" s="17">
        <f t="shared" si="690"/>
        <v>444.33333333333331</v>
      </c>
      <c r="L640" s="17">
        <f t="shared" si="691"/>
        <v>444.2</v>
      </c>
      <c r="M640" s="17">
        <f t="shared" si="692"/>
        <v>444</v>
      </c>
    </row>
    <row r="641" spans="1:13" x14ac:dyDescent="0.35">
      <c r="B641" s="2">
        <v>30</v>
      </c>
      <c r="C641" s="2">
        <f t="shared" si="682"/>
        <v>1939</v>
      </c>
      <c r="D641" s="2">
        <f t="shared" si="683"/>
        <v>1909</v>
      </c>
      <c r="E641" s="3">
        <f t="shared" si="684"/>
        <v>13363</v>
      </c>
      <c r="F641" s="17">
        <f t="shared" si="685"/>
        <v>445.4</v>
      </c>
      <c r="G641" s="17">
        <f t="shared" si="686"/>
        <v>445.2</v>
      </c>
      <c r="H641" s="17">
        <f t="shared" si="687"/>
        <v>445.06666666666666</v>
      </c>
      <c r="I641" s="17">
        <f t="shared" si="688"/>
        <v>445</v>
      </c>
      <c r="J641" s="17">
        <f t="shared" si="689"/>
        <v>444.86666666666667</v>
      </c>
      <c r="K641" s="17">
        <f t="shared" si="690"/>
        <v>444.8</v>
      </c>
      <c r="L641" s="17">
        <f t="shared" si="691"/>
        <v>444.66666666666669</v>
      </c>
      <c r="M641" s="17">
        <f t="shared" si="692"/>
        <v>444.46666666666664</v>
      </c>
    </row>
    <row r="642" spans="1:13" x14ac:dyDescent="0.35">
      <c r="B642" s="2">
        <v>30</v>
      </c>
      <c r="C642" s="2">
        <f t="shared" si="682"/>
        <v>1943</v>
      </c>
      <c r="D642" s="2">
        <f t="shared" si="683"/>
        <v>1913</v>
      </c>
      <c r="E642" s="3">
        <f t="shared" si="684"/>
        <v>13391</v>
      </c>
      <c r="F642" s="17">
        <f t="shared" si="685"/>
        <v>446.33333333333331</v>
      </c>
      <c r="G642" s="17">
        <f t="shared" si="686"/>
        <v>446.13333333333333</v>
      </c>
      <c r="H642" s="17">
        <f t="shared" si="687"/>
        <v>446</v>
      </c>
      <c r="I642" s="17">
        <f t="shared" si="688"/>
        <v>445.93333333333334</v>
      </c>
      <c r="J642" s="17">
        <f t="shared" si="689"/>
        <v>445.8</v>
      </c>
      <c r="K642" s="17">
        <f t="shared" si="690"/>
        <v>445.73333333333335</v>
      </c>
      <c r="L642" s="17">
        <f t="shared" si="691"/>
        <v>445.6</v>
      </c>
      <c r="M642" s="17">
        <f t="shared" si="692"/>
        <v>445.4</v>
      </c>
    </row>
    <row r="643" spans="1:13" x14ac:dyDescent="0.35">
      <c r="B643" s="2">
        <v>30</v>
      </c>
      <c r="C643" s="2">
        <f t="shared" si="682"/>
        <v>1949</v>
      </c>
      <c r="D643" s="2">
        <f t="shared" si="683"/>
        <v>1919</v>
      </c>
      <c r="E643" s="3">
        <f t="shared" si="684"/>
        <v>13433</v>
      </c>
      <c r="F643" s="17">
        <f t="shared" si="685"/>
        <v>447.73333333333335</v>
      </c>
      <c r="G643" s="17">
        <f t="shared" si="686"/>
        <v>447.53333333333336</v>
      </c>
      <c r="H643" s="17">
        <f t="shared" si="687"/>
        <v>447.4</v>
      </c>
      <c r="I643" s="17">
        <f t="shared" si="688"/>
        <v>447.33333333333331</v>
      </c>
      <c r="J643" s="17">
        <f t="shared" si="689"/>
        <v>447.2</v>
      </c>
      <c r="K643" s="17">
        <f t="shared" si="690"/>
        <v>447.13333333333333</v>
      </c>
      <c r="L643" s="17">
        <f t="shared" si="691"/>
        <v>447</v>
      </c>
      <c r="M643" s="17">
        <f t="shared" si="692"/>
        <v>446.8</v>
      </c>
    </row>
    <row r="644" spans="1:13" ht="16.8" thickBot="1" x14ac:dyDescent="0.4">
      <c r="F644" s="17"/>
      <c r="G644" s="17"/>
      <c r="H644" s="17"/>
      <c r="I644" s="17"/>
      <c r="J644" s="17"/>
      <c r="K644" s="17"/>
      <c r="L644" s="17"/>
      <c r="M644" s="17"/>
    </row>
    <row r="645" spans="1:13" ht="16.8" thickBot="1" x14ac:dyDescent="0.4">
      <c r="A645" s="1">
        <f>A635+1</f>
        <v>65</v>
      </c>
      <c r="C645" s="18" t="s">
        <v>2</v>
      </c>
      <c r="E645" s="13">
        <f>E626</f>
        <v>13027</v>
      </c>
      <c r="F645" s="19">
        <v>1</v>
      </c>
      <c r="G645" s="20">
        <v>7</v>
      </c>
      <c r="H645" s="20">
        <v>11</v>
      </c>
      <c r="I645" s="20">
        <v>13</v>
      </c>
      <c r="J645" s="20">
        <v>17</v>
      </c>
      <c r="K645" s="20">
        <v>19</v>
      </c>
      <c r="L645" s="20">
        <v>23</v>
      </c>
      <c r="M645" s="21">
        <v>29</v>
      </c>
    </row>
    <row r="646" spans="1:13" x14ac:dyDescent="0.35">
      <c r="B646" s="2">
        <v>30</v>
      </c>
      <c r="C646" s="2">
        <f>D646+B646</f>
        <v>1951</v>
      </c>
      <c r="D646" s="2">
        <f>C636</f>
        <v>1921</v>
      </c>
      <c r="E646" s="3">
        <f>D646*$E$5</f>
        <v>13447</v>
      </c>
      <c r="F646" s="17">
        <f>(E646-1)/30</f>
        <v>448.2</v>
      </c>
      <c r="G646" s="17">
        <f>($E646-7)/30</f>
        <v>448</v>
      </c>
      <c r="H646" s="17">
        <f>($E646-11)/30</f>
        <v>447.86666666666667</v>
      </c>
      <c r="I646" s="17">
        <f>($E646-13)/30</f>
        <v>447.8</v>
      </c>
      <c r="J646" s="17">
        <f>($E646-17)/30</f>
        <v>447.66666666666669</v>
      </c>
      <c r="K646" s="17">
        <f>($E646-19)/30</f>
        <v>447.6</v>
      </c>
      <c r="L646" s="17">
        <f>($E646-23)/30</f>
        <v>447.46666666666664</v>
      </c>
      <c r="M646" s="17">
        <f>($E646-29)/30</f>
        <v>447.26666666666665</v>
      </c>
    </row>
    <row r="647" spans="1:13" x14ac:dyDescent="0.35">
      <c r="B647" s="2">
        <v>30</v>
      </c>
      <c r="C647" s="2">
        <f t="shared" ref="C647:C653" si="693">D647+B647</f>
        <v>1957</v>
      </c>
      <c r="D647" s="2">
        <f t="shared" ref="D647:D653" si="694">C637</f>
        <v>1927</v>
      </c>
      <c r="E647" s="3">
        <f t="shared" ref="E647:E653" si="695">D647*$E$5</f>
        <v>13489</v>
      </c>
      <c r="F647" s="17">
        <f t="shared" ref="F647:F653" si="696">(E647-1)/30</f>
        <v>449.6</v>
      </c>
      <c r="G647" s="17">
        <f t="shared" ref="G647:G653" si="697">($E647-7)/30</f>
        <v>449.4</v>
      </c>
      <c r="H647" s="17">
        <f t="shared" ref="H647:H653" si="698">($E647-11)/30</f>
        <v>449.26666666666665</v>
      </c>
      <c r="I647" s="17">
        <f t="shared" ref="I647:I653" si="699">($E647-13)/30</f>
        <v>449.2</v>
      </c>
      <c r="J647" s="17">
        <f t="shared" ref="J647:J653" si="700">($E647-17)/30</f>
        <v>449.06666666666666</v>
      </c>
      <c r="K647" s="17">
        <f t="shared" ref="K647:K653" si="701">($E647-19)/30</f>
        <v>449</v>
      </c>
      <c r="L647" s="17">
        <f t="shared" ref="L647:L653" si="702">($E647-23)/30</f>
        <v>448.86666666666667</v>
      </c>
      <c r="M647" s="17">
        <f t="shared" ref="M647:M653" si="703">($E647-29)/30</f>
        <v>448.66666666666669</v>
      </c>
    </row>
    <row r="648" spans="1:13" x14ac:dyDescent="0.35">
      <c r="B648" s="2">
        <v>30</v>
      </c>
      <c r="C648" s="2">
        <f t="shared" si="693"/>
        <v>1961</v>
      </c>
      <c r="D648" s="2">
        <f t="shared" si="694"/>
        <v>1931</v>
      </c>
      <c r="E648" s="3">
        <f t="shared" si="695"/>
        <v>13517</v>
      </c>
      <c r="F648" s="17">
        <f t="shared" si="696"/>
        <v>450.53333333333336</v>
      </c>
      <c r="G648" s="17">
        <f t="shared" si="697"/>
        <v>450.33333333333331</v>
      </c>
      <c r="H648" s="17">
        <f t="shared" si="698"/>
        <v>450.2</v>
      </c>
      <c r="I648" s="17">
        <f t="shared" si="699"/>
        <v>450.13333333333333</v>
      </c>
      <c r="J648" s="17">
        <f t="shared" si="700"/>
        <v>450</v>
      </c>
      <c r="K648" s="17">
        <f t="shared" si="701"/>
        <v>449.93333333333334</v>
      </c>
      <c r="L648" s="17">
        <f t="shared" si="702"/>
        <v>449.8</v>
      </c>
      <c r="M648" s="17">
        <f t="shared" si="703"/>
        <v>449.6</v>
      </c>
    </row>
    <row r="649" spans="1:13" x14ac:dyDescent="0.35">
      <c r="B649" s="2">
        <v>30</v>
      </c>
      <c r="C649" s="2">
        <f t="shared" si="693"/>
        <v>1963</v>
      </c>
      <c r="D649" s="2">
        <f t="shared" si="694"/>
        <v>1933</v>
      </c>
      <c r="E649" s="3">
        <f t="shared" si="695"/>
        <v>13531</v>
      </c>
      <c r="F649" s="17">
        <f t="shared" si="696"/>
        <v>451</v>
      </c>
      <c r="G649" s="17">
        <f t="shared" si="697"/>
        <v>450.8</v>
      </c>
      <c r="H649" s="17">
        <f t="shared" si="698"/>
        <v>450.66666666666669</v>
      </c>
      <c r="I649" s="17">
        <f t="shared" si="699"/>
        <v>450.6</v>
      </c>
      <c r="J649" s="17">
        <f t="shared" si="700"/>
        <v>450.46666666666664</v>
      </c>
      <c r="K649" s="17">
        <f t="shared" si="701"/>
        <v>450.4</v>
      </c>
      <c r="L649" s="17">
        <f t="shared" si="702"/>
        <v>450.26666666666665</v>
      </c>
      <c r="M649" s="17">
        <f t="shared" si="703"/>
        <v>450.06666666666666</v>
      </c>
    </row>
    <row r="650" spans="1:13" x14ac:dyDescent="0.35">
      <c r="B650" s="2">
        <v>30</v>
      </c>
      <c r="C650" s="2">
        <f t="shared" si="693"/>
        <v>1967</v>
      </c>
      <c r="D650" s="2">
        <f t="shared" si="694"/>
        <v>1937</v>
      </c>
      <c r="E650" s="3">
        <f t="shared" si="695"/>
        <v>13559</v>
      </c>
      <c r="F650" s="17">
        <f t="shared" si="696"/>
        <v>451.93333333333334</v>
      </c>
      <c r="G650" s="17">
        <f t="shared" si="697"/>
        <v>451.73333333333335</v>
      </c>
      <c r="H650" s="17">
        <f t="shared" si="698"/>
        <v>451.6</v>
      </c>
      <c r="I650" s="17">
        <f t="shared" si="699"/>
        <v>451.53333333333336</v>
      </c>
      <c r="J650" s="17">
        <f t="shared" si="700"/>
        <v>451.4</v>
      </c>
      <c r="K650" s="17">
        <f t="shared" si="701"/>
        <v>451.33333333333331</v>
      </c>
      <c r="L650" s="17">
        <f t="shared" si="702"/>
        <v>451.2</v>
      </c>
      <c r="M650" s="17">
        <f t="shared" si="703"/>
        <v>451</v>
      </c>
    </row>
    <row r="651" spans="1:13" x14ac:dyDescent="0.35">
      <c r="B651" s="2">
        <v>30</v>
      </c>
      <c r="C651" s="2">
        <f t="shared" si="693"/>
        <v>1969</v>
      </c>
      <c r="D651" s="2">
        <f t="shared" si="694"/>
        <v>1939</v>
      </c>
      <c r="E651" s="3">
        <f t="shared" si="695"/>
        <v>13573</v>
      </c>
      <c r="F651" s="17">
        <f t="shared" si="696"/>
        <v>452.4</v>
      </c>
      <c r="G651" s="17">
        <f t="shared" si="697"/>
        <v>452.2</v>
      </c>
      <c r="H651" s="17">
        <f t="shared" si="698"/>
        <v>452.06666666666666</v>
      </c>
      <c r="I651" s="17">
        <f t="shared" si="699"/>
        <v>452</v>
      </c>
      <c r="J651" s="17">
        <f t="shared" si="700"/>
        <v>451.86666666666667</v>
      </c>
      <c r="K651" s="17">
        <f t="shared" si="701"/>
        <v>451.8</v>
      </c>
      <c r="L651" s="17">
        <f t="shared" si="702"/>
        <v>451.66666666666669</v>
      </c>
      <c r="M651" s="17">
        <f t="shared" si="703"/>
        <v>451.46666666666664</v>
      </c>
    </row>
    <row r="652" spans="1:13" x14ac:dyDescent="0.35">
      <c r="B652" s="2">
        <v>30</v>
      </c>
      <c r="C652" s="2">
        <f t="shared" si="693"/>
        <v>1973</v>
      </c>
      <c r="D652" s="2">
        <f t="shared" si="694"/>
        <v>1943</v>
      </c>
      <c r="E652" s="3">
        <f t="shared" si="695"/>
        <v>13601</v>
      </c>
      <c r="F652" s="17">
        <f t="shared" si="696"/>
        <v>453.33333333333331</v>
      </c>
      <c r="G652" s="17">
        <f t="shared" si="697"/>
        <v>453.13333333333333</v>
      </c>
      <c r="H652" s="17">
        <f t="shared" si="698"/>
        <v>453</v>
      </c>
      <c r="I652" s="17">
        <f t="shared" si="699"/>
        <v>452.93333333333334</v>
      </c>
      <c r="J652" s="17">
        <f t="shared" si="700"/>
        <v>452.8</v>
      </c>
      <c r="K652" s="17">
        <f t="shared" si="701"/>
        <v>452.73333333333335</v>
      </c>
      <c r="L652" s="17">
        <f t="shared" si="702"/>
        <v>452.6</v>
      </c>
      <c r="M652" s="17">
        <f t="shared" si="703"/>
        <v>452.4</v>
      </c>
    </row>
    <row r="653" spans="1:13" x14ac:dyDescent="0.35">
      <c r="B653" s="2">
        <v>30</v>
      </c>
      <c r="C653" s="2">
        <f t="shared" si="693"/>
        <v>1979</v>
      </c>
      <c r="D653" s="2">
        <f t="shared" si="694"/>
        <v>1949</v>
      </c>
      <c r="E653" s="3">
        <f t="shared" si="695"/>
        <v>13643</v>
      </c>
      <c r="F653" s="17">
        <f t="shared" si="696"/>
        <v>454.73333333333335</v>
      </c>
      <c r="G653" s="17">
        <f t="shared" si="697"/>
        <v>454.53333333333336</v>
      </c>
      <c r="H653" s="17">
        <f t="shared" si="698"/>
        <v>454.4</v>
      </c>
      <c r="I653" s="17">
        <f t="shared" si="699"/>
        <v>454.33333333333331</v>
      </c>
      <c r="J653" s="17">
        <f t="shared" si="700"/>
        <v>454.2</v>
      </c>
      <c r="K653" s="17">
        <f t="shared" si="701"/>
        <v>454.13333333333333</v>
      </c>
      <c r="L653" s="17">
        <f t="shared" si="702"/>
        <v>454</v>
      </c>
      <c r="M653" s="17">
        <f t="shared" si="703"/>
        <v>453.8</v>
      </c>
    </row>
    <row r="654" spans="1:13" ht="16.8" thickBot="1" x14ac:dyDescent="0.4">
      <c r="F654" s="17"/>
      <c r="G654" s="17"/>
      <c r="H654" s="17"/>
      <c r="I654" s="17"/>
      <c r="J654" s="17"/>
      <c r="K654" s="17"/>
      <c r="L654" s="17"/>
      <c r="M654" s="17"/>
    </row>
    <row r="655" spans="1:13" ht="16.8" thickBot="1" x14ac:dyDescent="0.4">
      <c r="A655" s="1">
        <f>A645+1</f>
        <v>66</v>
      </c>
      <c r="C655" s="18" t="s">
        <v>2</v>
      </c>
      <c r="E655" s="13">
        <f>E636</f>
        <v>13237</v>
      </c>
      <c r="F655" s="19">
        <v>1</v>
      </c>
      <c r="G655" s="20">
        <v>7</v>
      </c>
      <c r="H655" s="20">
        <v>11</v>
      </c>
      <c r="I655" s="20">
        <v>13</v>
      </c>
      <c r="J655" s="20">
        <v>17</v>
      </c>
      <c r="K655" s="20">
        <v>19</v>
      </c>
      <c r="L655" s="20">
        <v>23</v>
      </c>
      <c r="M655" s="21">
        <v>29</v>
      </c>
    </row>
    <row r="656" spans="1:13" x14ac:dyDescent="0.35">
      <c r="B656" s="2">
        <v>30</v>
      </c>
      <c r="C656" s="2">
        <f>D656+B656</f>
        <v>1981</v>
      </c>
      <c r="D656" s="2">
        <f>C646</f>
        <v>1951</v>
      </c>
      <c r="E656" s="3">
        <f>D656*$E$5</f>
        <v>13657</v>
      </c>
      <c r="F656" s="17">
        <f>(E656-1)/30</f>
        <v>455.2</v>
      </c>
      <c r="G656" s="17">
        <f>($E656-7)/30</f>
        <v>455</v>
      </c>
      <c r="H656" s="17">
        <f>($E656-11)/30</f>
        <v>454.86666666666667</v>
      </c>
      <c r="I656" s="17">
        <f>($E656-13)/30</f>
        <v>454.8</v>
      </c>
      <c r="J656" s="17">
        <f>($E656-17)/30</f>
        <v>454.66666666666669</v>
      </c>
      <c r="K656" s="17">
        <f>($E656-19)/30</f>
        <v>454.6</v>
      </c>
      <c r="L656" s="17">
        <f>($E656-23)/30</f>
        <v>454.46666666666664</v>
      </c>
      <c r="M656" s="17">
        <f>($E656-29)/30</f>
        <v>454.26666666666665</v>
      </c>
    </row>
    <row r="657" spans="1:13" x14ac:dyDescent="0.35">
      <c r="B657" s="2">
        <v>30</v>
      </c>
      <c r="C657" s="2">
        <f t="shared" ref="C657:C663" si="704">D657+B657</f>
        <v>1987</v>
      </c>
      <c r="D657" s="2">
        <f t="shared" ref="D657:D663" si="705">C647</f>
        <v>1957</v>
      </c>
      <c r="E657" s="3">
        <f t="shared" ref="E657:E663" si="706">D657*$E$5</f>
        <v>13699</v>
      </c>
      <c r="F657" s="17">
        <f t="shared" ref="F657:F663" si="707">(E657-1)/30</f>
        <v>456.6</v>
      </c>
      <c r="G657" s="17">
        <f t="shared" ref="G657:G663" si="708">($E657-7)/30</f>
        <v>456.4</v>
      </c>
      <c r="H657" s="17">
        <f t="shared" ref="H657:H663" si="709">($E657-11)/30</f>
        <v>456.26666666666665</v>
      </c>
      <c r="I657" s="17">
        <f t="shared" ref="I657:I663" si="710">($E657-13)/30</f>
        <v>456.2</v>
      </c>
      <c r="J657" s="17">
        <f t="shared" ref="J657:J663" si="711">($E657-17)/30</f>
        <v>456.06666666666666</v>
      </c>
      <c r="K657" s="17">
        <f t="shared" ref="K657:K663" si="712">($E657-19)/30</f>
        <v>456</v>
      </c>
      <c r="L657" s="17">
        <f t="shared" ref="L657:L663" si="713">($E657-23)/30</f>
        <v>455.86666666666667</v>
      </c>
      <c r="M657" s="17">
        <f t="shared" ref="M657:M663" si="714">($E657-29)/30</f>
        <v>455.66666666666669</v>
      </c>
    </row>
    <row r="658" spans="1:13" x14ac:dyDescent="0.35">
      <c r="B658" s="2">
        <v>30</v>
      </c>
      <c r="C658" s="2">
        <f t="shared" si="704"/>
        <v>1991</v>
      </c>
      <c r="D658" s="2">
        <f t="shared" si="705"/>
        <v>1961</v>
      </c>
      <c r="E658" s="3">
        <f t="shared" si="706"/>
        <v>13727</v>
      </c>
      <c r="F658" s="17">
        <f t="shared" si="707"/>
        <v>457.53333333333336</v>
      </c>
      <c r="G658" s="17">
        <f t="shared" si="708"/>
        <v>457.33333333333331</v>
      </c>
      <c r="H658" s="17">
        <f t="shared" si="709"/>
        <v>457.2</v>
      </c>
      <c r="I658" s="17">
        <f t="shared" si="710"/>
        <v>457.13333333333333</v>
      </c>
      <c r="J658" s="17">
        <f t="shared" si="711"/>
        <v>457</v>
      </c>
      <c r="K658" s="17">
        <f t="shared" si="712"/>
        <v>456.93333333333334</v>
      </c>
      <c r="L658" s="17">
        <f t="shared" si="713"/>
        <v>456.8</v>
      </c>
      <c r="M658" s="17">
        <f t="shared" si="714"/>
        <v>456.6</v>
      </c>
    </row>
    <row r="659" spans="1:13" x14ac:dyDescent="0.35">
      <c r="B659" s="2">
        <v>30</v>
      </c>
      <c r="C659" s="2">
        <f t="shared" si="704"/>
        <v>1993</v>
      </c>
      <c r="D659" s="2">
        <f t="shared" si="705"/>
        <v>1963</v>
      </c>
      <c r="E659" s="3">
        <f t="shared" si="706"/>
        <v>13741</v>
      </c>
      <c r="F659" s="17">
        <f t="shared" si="707"/>
        <v>458</v>
      </c>
      <c r="G659" s="17">
        <f t="shared" si="708"/>
        <v>457.8</v>
      </c>
      <c r="H659" s="17">
        <f t="shared" si="709"/>
        <v>457.66666666666669</v>
      </c>
      <c r="I659" s="17">
        <f t="shared" si="710"/>
        <v>457.6</v>
      </c>
      <c r="J659" s="17">
        <f t="shared" si="711"/>
        <v>457.46666666666664</v>
      </c>
      <c r="K659" s="17">
        <f t="shared" si="712"/>
        <v>457.4</v>
      </c>
      <c r="L659" s="17">
        <f t="shared" si="713"/>
        <v>457.26666666666665</v>
      </c>
      <c r="M659" s="17">
        <f t="shared" si="714"/>
        <v>457.06666666666666</v>
      </c>
    </row>
    <row r="660" spans="1:13" x14ac:dyDescent="0.35">
      <c r="B660" s="2">
        <v>30</v>
      </c>
      <c r="C660" s="2">
        <f t="shared" si="704"/>
        <v>1997</v>
      </c>
      <c r="D660" s="2">
        <f t="shared" si="705"/>
        <v>1967</v>
      </c>
      <c r="E660" s="3">
        <f t="shared" si="706"/>
        <v>13769</v>
      </c>
      <c r="F660" s="17">
        <f t="shared" si="707"/>
        <v>458.93333333333334</v>
      </c>
      <c r="G660" s="17">
        <f t="shared" si="708"/>
        <v>458.73333333333335</v>
      </c>
      <c r="H660" s="17">
        <f t="shared" si="709"/>
        <v>458.6</v>
      </c>
      <c r="I660" s="17">
        <f t="shared" si="710"/>
        <v>458.53333333333336</v>
      </c>
      <c r="J660" s="17">
        <f t="shared" si="711"/>
        <v>458.4</v>
      </c>
      <c r="K660" s="17">
        <f t="shared" si="712"/>
        <v>458.33333333333331</v>
      </c>
      <c r="L660" s="17">
        <f t="shared" si="713"/>
        <v>458.2</v>
      </c>
      <c r="M660" s="17">
        <f t="shared" si="714"/>
        <v>458</v>
      </c>
    </row>
    <row r="661" spans="1:13" x14ac:dyDescent="0.35">
      <c r="B661" s="2">
        <v>30</v>
      </c>
      <c r="C661" s="2">
        <f t="shared" si="704"/>
        <v>1999</v>
      </c>
      <c r="D661" s="2">
        <f t="shared" si="705"/>
        <v>1969</v>
      </c>
      <c r="E661" s="3">
        <f t="shared" si="706"/>
        <v>13783</v>
      </c>
      <c r="F661" s="17">
        <f t="shared" si="707"/>
        <v>459.4</v>
      </c>
      <c r="G661" s="17">
        <f t="shared" si="708"/>
        <v>459.2</v>
      </c>
      <c r="H661" s="17">
        <f t="shared" si="709"/>
        <v>459.06666666666666</v>
      </c>
      <c r="I661" s="17">
        <f t="shared" si="710"/>
        <v>459</v>
      </c>
      <c r="J661" s="17">
        <f t="shared" si="711"/>
        <v>458.86666666666667</v>
      </c>
      <c r="K661" s="17">
        <f t="shared" si="712"/>
        <v>458.8</v>
      </c>
      <c r="L661" s="17">
        <f t="shared" si="713"/>
        <v>458.66666666666669</v>
      </c>
      <c r="M661" s="17">
        <f t="shared" si="714"/>
        <v>458.46666666666664</v>
      </c>
    </row>
    <row r="662" spans="1:13" x14ac:dyDescent="0.35">
      <c r="B662" s="2">
        <v>30</v>
      </c>
      <c r="C662" s="2">
        <f t="shared" si="704"/>
        <v>2003</v>
      </c>
      <c r="D662" s="2">
        <f t="shared" si="705"/>
        <v>1973</v>
      </c>
      <c r="E662" s="3">
        <f t="shared" si="706"/>
        <v>13811</v>
      </c>
      <c r="F662" s="17">
        <f t="shared" si="707"/>
        <v>460.33333333333331</v>
      </c>
      <c r="G662" s="17">
        <f t="shared" si="708"/>
        <v>460.13333333333333</v>
      </c>
      <c r="H662" s="17">
        <f t="shared" si="709"/>
        <v>460</v>
      </c>
      <c r="I662" s="17">
        <f t="shared" si="710"/>
        <v>459.93333333333334</v>
      </c>
      <c r="J662" s="17">
        <f t="shared" si="711"/>
        <v>459.8</v>
      </c>
      <c r="K662" s="17">
        <f t="shared" si="712"/>
        <v>459.73333333333335</v>
      </c>
      <c r="L662" s="17">
        <f t="shared" si="713"/>
        <v>459.6</v>
      </c>
      <c r="M662" s="17">
        <f t="shared" si="714"/>
        <v>459.4</v>
      </c>
    </row>
    <row r="663" spans="1:13" x14ac:dyDescent="0.35">
      <c r="B663" s="2">
        <v>30</v>
      </c>
      <c r="C663" s="2">
        <f t="shared" si="704"/>
        <v>2009</v>
      </c>
      <c r="D663" s="2">
        <f t="shared" si="705"/>
        <v>1979</v>
      </c>
      <c r="E663" s="3">
        <f t="shared" si="706"/>
        <v>13853</v>
      </c>
      <c r="F663" s="17">
        <f t="shared" si="707"/>
        <v>461.73333333333335</v>
      </c>
      <c r="G663" s="17">
        <f t="shared" si="708"/>
        <v>461.53333333333336</v>
      </c>
      <c r="H663" s="17">
        <f t="shared" si="709"/>
        <v>461.4</v>
      </c>
      <c r="I663" s="17">
        <f t="shared" si="710"/>
        <v>461.33333333333331</v>
      </c>
      <c r="J663" s="17">
        <f t="shared" si="711"/>
        <v>461.2</v>
      </c>
      <c r="K663" s="17">
        <f t="shared" si="712"/>
        <v>461.13333333333333</v>
      </c>
      <c r="L663" s="17">
        <f t="shared" si="713"/>
        <v>461</v>
      </c>
      <c r="M663" s="17">
        <f t="shared" si="714"/>
        <v>460.8</v>
      </c>
    </row>
    <row r="664" spans="1:13" ht="16.8" thickBot="1" x14ac:dyDescent="0.4">
      <c r="F664" s="17"/>
      <c r="G664" s="17"/>
      <c r="H664" s="17"/>
      <c r="I664" s="17"/>
      <c r="J664" s="17"/>
      <c r="K664" s="17"/>
      <c r="L664" s="17"/>
      <c r="M664" s="17"/>
    </row>
    <row r="665" spans="1:13" ht="16.8" thickBot="1" x14ac:dyDescent="0.4">
      <c r="A665" s="1">
        <f>A655+1</f>
        <v>67</v>
      </c>
      <c r="C665" s="18" t="s">
        <v>2</v>
      </c>
      <c r="E665" s="13">
        <f>E646</f>
        <v>13447</v>
      </c>
      <c r="F665" s="19">
        <v>1</v>
      </c>
      <c r="G665" s="20">
        <v>7</v>
      </c>
      <c r="H665" s="20">
        <v>11</v>
      </c>
      <c r="I665" s="20">
        <v>13</v>
      </c>
      <c r="J665" s="20">
        <v>17</v>
      </c>
      <c r="K665" s="20">
        <v>19</v>
      </c>
      <c r="L665" s="20">
        <v>23</v>
      </c>
      <c r="M665" s="21">
        <v>29</v>
      </c>
    </row>
    <row r="666" spans="1:13" x14ac:dyDescent="0.35">
      <c r="B666" s="2">
        <v>30</v>
      </c>
      <c r="C666" s="2">
        <f>D666+B666</f>
        <v>2011</v>
      </c>
      <c r="D666" s="2">
        <f>C656</f>
        <v>1981</v>
      </c>
      <c r="E666" s="3">
        <f>D666*$E$5</f>
        <v>13867</v>
      </c>
      <c r="F666" s="17">
        <f>(E666-1)/30</f>
        <v>462.2</v>
      </c>
      <c r="G666" s="17">
        <f>($E666-7)/30</f>
        <v>462</v>
      </c>
      <c r="H666" s="17">
        <f>($E666-11)/30</f>
        <v>461.86666666666667</v>
      </c>
      <c r="I666" s="17">
        <f>($E666-13)/30</f>
        <v>461.8</v>
      </c>
      <c r="J666" s="17">
        <f>($E666-17)/30</f>
        <v>461.66666666666669</v>
      </c>
      <c r="K666" s="17">
        <f>($E666-19)/30</f>
        <v>461.6</v>
      </c>
      <c r="L666" s="17">
        <f>($E666-23)/30</f>
        <v>461.46666666666664</v>
      </c>
      <c r="M666" s="17">
        <f>($E666-29)/30</f>
        <v>461.26666666666665</v>
      </c>
    </row>
    <row r="667" spans="1:13" x14ac:dyDescent="0.35">
      <c r="B667" s="2">
        <v>30</v>
      </c>
      <c r="C667" s="2">
        <f t="shared" ref="C667:C673" si="715">D667+B667</f>
        <v>2017</v>
      </c>
      <c r="D667" s="2">
        <f t="shared" ref="D667:D673" si="716">C657</f>
        <v>1987</v>
      </c>
      <c r="E667" s="3">
        <f t="shared" ref="E667:E673" si="717">D667*$E$5</f>
        <v>13909</v>
      </c>
      <c r="F667" s="17">
        <f t="shared" ref="F667:F673" si="718">(E667-1)/30</f>
        <v>463.6</v>
      </c>
      <c r="G667" s="17">
        <f t="shared" ref="G667:G673" si="719">($E667-7)/30</f>
        <v>463.4</v>
      </c>
      <c r="H667" s="17">
        <f t="shared" ref="H667:H673" si="720">($E667-11)/30</f>
        <v>463.26666666666665</v>
      </c>
      <c r="I667" s="17">
        <f t="shared" ref="I667:I673" si="721">($E667-13)/30</f>
        <v>463.2</v>
      </c>
      <c r="J667" s="17">
        <f t="shared" ref="J667:J673" si="722">($E667-17)/30</f>
        <v>463.06666666666666</v>
      </c>
      <c r="K667" s="17">
        <f t="shared" ref="K667:K673" si="723">($E667-19)/30</f>
        <v>463</v>
      </c>
      <c r="L667" s="17">
        <f t="shared" ref="L667:L673" si="724">($E667-23)/30</f>
        <v>462.86666666666667</v>
      </c>
      <c r="M667" s="17">
        <f t="shared" ref="M667:M673" si="725">($E667-29)/30</f>
        <v>462.66666666666669</v>
      </c>
    </row>
    <row r="668" spans="1:13" x14ac:dyDescent="0.35">
      <c r="B668" s="2">
        <v>30</v>
      </c>
      <c r="C668" s="2">
        <f t="shared" si="715"/>
        <v>2021</v>
      </c>
      <c r="D668" s="2">
        <f t="shared" si="716"/>
        <v>1991</v>
      </c>
      <c r="E668" s="3">
        <f t="shared" si="717"/>
        <v>13937</v>
      </c>
      <c r="F668" s="17">
        <f t="shared" si="718"/>
        <v>464.53333333333336</v>
      </c>
      <c r="G668" s="17">
        <f t="shared" si="719"/>
        <v>464.33333333333331</v>
      </c>
      <c r="H668" s="17">
        <f t="shared" si="720"/>
        <v>464.2</v>
      </c>
      <c r="I668" s="17">
        <f t="shared" si="721"/>
        <v>464.13333333333333</v>
      </c>
      <c r="J668" s="17">
        <f t="shared" si="722"/>
        <v>464</v>
      </c>
      <c r="K668" s="17">
        <f t="shared" si="723"/>
        <v>463.93333333333334</v>
      </c>
      <c r="L668" s="17">
        <f t="shared" si="724"/>
        <v>463.8</v>
      </c>
      <c r="M668" s="17">
        <f t="shared" si="725"/>
        <v>463.6</v>
      </c>
    </row>
    <row r="669" spans="1:13" x14ac:dyDescent="0.35">
      <c r="B669" s="2">
        <v>30</v>
      </c>
      <c r="C669" s="2">
        <f t="shared" si="715"/>
        <v>2023</v>
      </c>
      <c r="D669" s="2">
        <f t="shared" si="716"/>
        <v>1993</v>
      </c>
      <c r="E669" s="3">
        <f t="shared" si="717"/>
        <v>13951</v>
      </c>
      <c r="F669" s="17">
        <f t="shared" si="718"/>
        <v>465</v>
      </c>
      <c r="G669" s="17">
        <f t="shared" si="719"/>
        <v>464.8</v>
      </c>
      <c r="H669" s="17">
        <f t="shared" si="720"/>
        <v>464.66666666666669</v>
      </c>
      <c r="I669" s="17">
        <f t="shared" si="721"/>
        <v>464.6</v>
      </c>
      <c r="J669" s="17">
        <f t="shared" si="722"/>
        <v>464.46666666666664</v>
      </c>
      <c r="K669" s="17">
        <f t="shared" si="723"/>
        <v>464.4</v>
      </c>
      <c r="L669" s="17">
        <f t="shared" si="724"/>
        <v>464.26666666666665</v>
      </c>
      <c r="M669" s="17">
        <f t="shared" si="725"/>
        <v>464.06666666666666</v>
      </c>
    </row>
    <row r="670" spans="1:13" x14ac:dyDescent="0.35">
      <c r="B670" s="2">
        <v>30</v>
      </c>
      <c r="C670" s="2">
        <f t="shared" si="715"/>
        <v>2027</v>
      </c>
      <c r="D670" s="2">
        <f t="shared" si="716"/>
        <v>1997</v>
      </c>
      <c r="E670" s="3">
        <f t="shared" si="717"/>
        <v>13979</v>
      </c>
      <c r="F670" s="17">
        <f t="shared" si="718"/>
        <v>465.93333333333334</v>
      </c>
      <c r="G670" s="17">
        <f t="shared" si="719"/>
        <v>465.73333333333335</v>
      </c>
      <c r="H670" s="17">
        <f t="shared" si="720"/>
        <v>465.6</v>
      </c>
      <c r="I670" s="17">
        <f t="shared" si="721"/>
        <v>465.53333333333336</v>
      </c>
      <c r="J670" s="17">
        <f t="shared" si="722"/>
        <v>465.4</v>
      </c>
      <c r="K670" s="17">
        <f t="shared" si="723"/>
        <v>465.33333333333331</v>
      </c>
      <c r="L670" s="17">
        <f t="shared" si="724"/>
        <v>465.2</v>
      </c>
      <c r="M670" s="17">
        <f t="shared" si="725"/>
        <v>465</v>
      </c>
    </row>
    <row r="671" spans="1:13" x14ac:dyDescent="0.35">
      <c r="B671" s="2">
        <v>30</v>
      </c>
      <c r="C671" s="2">
        <f t="shared" si="715"/>
        <v>2029</v>
      </c>
      <c r="D671" s="2">
        <f t="shared" si="716"/>
        <v>1999</v>
      </c>
      <c r="E671" s="3">
        <f t="shared" si="717"/>
        <v>13993</v>
      </c>
      <c r="F671" s="17">
        <f t="shared" si="718"/>
        <v>466.4</v>
      </c>
      <c r="G671" s="17">
        <f t="shared" si="719"/>
        <v>466.2</v>
      </c>
      <c r="H671" s="17">
        <f t="shared" si="720"/>
        <v>466.06666666666666</v>
      </c>
      <c r="I671" s="17">
        <f t="shared" si="721"/>
        <v>466</v>
      </c>
      <c r="J671" s="17">
        <f t="shared" si="722"/>
        <v>465.86666666666667</v>
      </c>
      <c r="K671" s="17">
        <f t="shared" si="723"/>
        <v>465.8</v>
      </c>
      <c r="L671" s="17">
        <f t="shared" si="724"/>
        <v>465.66666666666669</v>
      </c>
      <c r="M671" s="17">
        <f t="shared" si="725"/>
        <v>465.46666666666664</v>
      </c>
    </row>
    <row r="672" spans="1:13" x14ac:dyDescent="0.35">
      <c r="B672" s="2">
        <v>30</v>
      </c>
      <c r="C672" s="2">
        <f t="shared" si="715"/>
        <v>2033</v>
      </c>
      <c r="D672" s="2">
        <f t="shared" si="716"/>
        <v>2003</v>
      </c>
      <c r="E672" s="3">
        <f t="shared" si="717"/>
        <v>14021</v>
      </c>
      <c r="F672" s="17">
        <f t="shared" si="718"/>
        <v>467.33333333333331</v>
      </c>
      <c r="G672" s="17">
        <f t="shared" si="719"/>
        <v>467.13333333333333</v>
      </c>
      <c r="H672" s="17">
        <f t="shared" si="720"/>
        <v>467</v>
      </c>
      <c r="I672" s="17">
        <f t="shared" si="721"/>
        <v>466.93333333333334</v>
      </c>
      <c r="J672" s="17">
        <f t="shared" si="722"/>
        <v>466.8</v>
      </c>
      <c r="K672" s="17">
        <f t="shared" si="723"/>
        <v>466.73333333333335</v>
      </c>
      <c r="L672" s="17">
        <f t="shared" si="724"/>
        <v>466.6</v>
      </c>
      <c r="M672" s="17">
        <f t="shared" si="725"/>
        <v>466.4</v>
      </c>
    </row>
    <row r="673" spans="1:13" x14ac:dyDescent="0.35">
      <c r="B673" s="2">
        <v>30</v>
      </c>
      <c r="C673" s="2">
        <f t="shared" si="715"/>
        <v>2039</v>
      </c>
      <c r="D673" s="2">
        <f t="shared" si="716"/>
        <v>2009</v>
      </c>
      <c r="E673" s="3">
        <f t="shared" si="717"/>
        <v>14063</v>
      </c>
      <c r="F673" s="17">
        <f t="shared" si="718"/>
        <v>468.73333333333335</v>
      </c>
      <c r="G673" s="17">
        <f t="shared" si="719"/>
        <v>468.53333333333336</v>
      </c>
      <c r="H673" s="17">
        <f t="shared" si="720"/>
        <v>468.4</v>
      </c>
      <c r="I673" s="17">
        <f t="shared" si="721"/>
        <v>468.33333333333331</v>
      </c>
      <c r="J673" s="17">
        <f t="shared" si="722"/>
        <v>468.2</v>
      </c>
      <c r="K673" s="17">
        <f t="shared" si="723"/>
        <v>468.13333333333333</v>
      </c>
      <c r="L673" s="17">
        <f t="shared" si="724"/>
        <v>468</v>
      </c>
      <c r="M673" s="17">
        <f t="shared" si="725"/>
        <v>467.8</v>
      </c>
    </row>
    <row r="674" spans="1:13" ht="16.8" thickBot="1" x14ac:dyDescent="0.4">
      <c r="F674" s="17"/>
      <c r="G674" s="17"/>
      <c r="H674" s="17"/>
      <c r="I674" s="17"/>
      <c r="J674" s="17"/>
      <c r="K674" s="17"/>
      <c r="L674" s="17"/>
      <c r="M674" s="17"/>
    </row>
    <row r="675" spans="1:13" ht="16.8" thickBot="1" x14ac:dyDescent="0.4">
      <c r="A675" s="1">
        <f>A665+1</f>
        <v>68</v>
      </c>
      <c r="C675" s="18" t="s">
        <v>2</v>
      </c>
      <c r="E675" s="13">
        <f>E656</f>
        <v>13657</v>
      </c>
      <c r="F675" s="19">
        <v>1</v>
      </c>
      <c r="G675" s="20">
        <v>7</v>
      </c>
      <c r="H675" s="20">
        <v>11</v>
      </c>
      <c r="I675" s="20">
        <v>13</v>
      </c>
      <c r="J675" s="20">
        <v>17</v>
      </c>
      <c r="K675" s="20">
        <v>19</v>
      </c>
      <c r="L675" s="20">
        <v>23</v>
      </c>
      <c r="M675" s="21">
        <v>29</v>
      </c>
    </row>
    <row r="676" spans="1:13" x14ac:dyDescent="0.35">
      <c r="B676" s="2">
        <v>30</v>
      </c>
      <c r="C676" s="2">
        <f>D676+B676</f>
        <v>2041</v>
      </c>
      <c r="D676" s="2">
        <f>C666</f>
        <v>2011</v>
      </c>
      <c r="E676" s="3">
        <f>D676*$E$5</f>
        <v>14077</v>
      </c>
      <c r="F676" s="17">
        <f>(E676-1)/30</f>
        <v>469.2</v>
      </c>
      <c r="G676" s="17">
        <f>($E676-7)/30</f>
        <v>469</v>
      </c>
      <c r="H676" s="17">
        <f>($E676-11)/30</f>
        <v>468.86666666666667</v>
      </c>
      <c r="I676" s="17">
        <f>($E676-13)/30</f>
        <v>468.8</v>
      </c>
      <c r="J676" s="17">
        <f>($E676-17)/30</f>
        <v>468.66666666666669</v>
      </c>
      <c r="K676" s="17">
        <f>($E676-19)/30</f>
        <v>468.6</v>
      </c>
      <c r="L676" s="17">
        <f>($E676-23)/30</f>
        <v>468.46666666666664</v>
      </c>
      <c r="M676" s="17">
        <f>($E676-29)/30</f>
        <v>468.26666666666665</v>
      </c>
    </row>
    <row r="677" spans="1:13" x14ac:dyDescent="0.35">
      <c r="B677" s="2">
        <v>30</v>
      </c>
      <c r="C677" s="2">
        <f t="shared" ref="C677:C683" si="726">D677+B677</f>
        <v>2047</v>
      </c>
      <c r="D677" s="2">
        <f t="shared" ref="D677:D683" si="727">C667</f>
        <v>2017</v>
      </c>
      <c r="E677" s="3">
        <f t="shared" ref="E677:E683" si="728">D677*$E$5</f>
        <v>14119</v>
      </c>
      <c r="F677" s="17">
        <f t="shared" ref="F677:F683" si="729">(E677-1)/30</f>
        <v>470.6</v>
      </c>
      <c r="G677" s="17">
        <f t="shared" ref="G677:G683" si="730">($E677-7)/30</f>
        <v>470.4</v>
      </c>
      <c r="H677" s="17">
        <f t="shared" ref="H677:H683" si="731">($E677-11)/30</f>
        <v>470.26666666666665</v>
      </c>
      <c r="I677" s="17">
        <f t="shared" ref="I677:I683" si="732">($E677-13)/30</f>
        <v>470.2</v>
      </c>
      <c r="J677" s="17">
        <f t="shared" ref="J677:J683" si="733">($E677-17)/30</f>
        <v>470.06666666666666</v>
      </c>
      <c r="K677" s="17">
        <f t="shared" ref="K677:K683" si="734">($E677-19)/30</f>
        <v>470</v>
      </c>
      <c r="L677" s="17">
        <f t="shared" ref="L677:L683" si="735">($E677-23)/30</f>
        <v>469.86666666666667</v>
      </c>
      <c r="M677" s="17">
        <f t="shared" ref="M677:M683" si="736">($E677-29)/30</f>
        <v>469.66666666666669</v>
      </c>
    </row>
    <row r="678" spans="1:13" x14ac:dyDescent="0.35">
      <c r="B678" s="2">
        <v>30</v>
      </c>
      <c r="C678" s="2">
        <f t="shared" si="726"/>
        <v>2051</v>
      </c>
      <c r="D678" s="2">
        <f t="shared" si="727"/>
        <v>2021</v>
      </c>
      <c r="E678" s="3">
        <f t="shared" si="728"/>
        <v>14147</v>
      </c>
      <c r="F678" s="17">
        <f t="shared" si="729"/>
        <v>471.53333333333336</v>
      </c>
      <c r="G678" s="17">
        <f t="shared" si="730"/>
        <v>471.33333333333331</v>
      </c>
      <c r="H678" s="17">
        <f t="shared" si="731"/>
        <v>471.2</v>
      </c>
      <c r="I678" s="17">
        <f t="shared" si="732"/>
        <v>471.13333333333333</v>
      </c>
      <c r="J678" s="17">
        <f t="shared" si="733"/>
        <v>471</v>
      </c>
      <c r="K678" s="17">
        <f t="shared" si="734"/>
        <v>470.93333333333334</v>
      </c>
      <c r="L678" s="17">
        <f t="shared" si="735"/>
        <v>470.8</v>
      </c>
      <c r="M678" s="17">
        <f t="shared" si="736"/>
        <v>470.6</v>
      </c>
    </row>
    <row r="679" spans="1:13" x14ac:dyDescent="0.35">
      <c r="B679" s="2">
        <v>30</v>
      </c>
      <c r="C679" s="2">
        <f t="shared" si="726"/>
        <v>2053</v>
      </c>
      <c r="D679" s="2">
        <f t="shared" si="727"/>
        <v>2023</v>
      </c>
      <c r="E679" s="3">
        <f t="shared" si="728"/>
        <v>14161</v>
      </c>
      <c r="F679" s="17">
        <f t="shared" si="729"/>
        <v>472</v>
      </c>
      <c r="G679" s="17">
        <f t="shared" si="730"/>
        <v>471.8</v>
      </c>
      <c r="H679" s="17">
        <f t="shared" si="731"/>
        <v>471.66666666666669</v>
      </c>
      <c r="I679" s="17">
        <f t="shared" si="732"/>
        <v>471.6</v>
      </c>
      <c r="J679" s="17">
        <f t="shared" si="733"/>
        <v>471.46666666666664</v>
      </c>
      <c r="K679" s="17">
        <f t="shared" si="734"/>
        <v>471.4</v>
      </c>
      <c r="L679" s="17">
        <f t="shared" si="735"/>
        <v>471.26666666666665</v>
      </c>
      <c r="M679" s="17">
        <f t="shared" si="736"/>
        <v>471.06666666666666</v>
      </c>
    </row>
    <row r="680" spans="1:13" x14ac:dyDescent="0.35">
      <c r="B680" s="2">
        <v>30</v>
      </c>
      <c r="C680" s="2">
        <f t="shared" si="726"/>
        <v>2057</v>
      </c>
      <c r="D680" s="2">
        <f t="shared" si="727"/>
        <v>2027</v>
      </c>
      <c r="E680" s="3">
        <f t="shared" si="728"/>
        <v>14189</v>
      </c>
      <c r="F680" s="17">
        <f t="shared" si="729"/>
        <v>472.93333333333334</v>
      </c>
      <c r="G680" s="17">
        <f t="shared" si="730"/>
        <v>472.73333333333335</v>
      </c>
      <c r="H680" s="17">
        <f t="shared" si="731"/>
        <v>472.6</v>
      </c>
      <c r="I680" s="17">
        <f t="shared" si="732"/>
        <v>472.53333333333336</v>
      </c>
      <c r="J680" s="17">
        <f t="shared" si="733"/>
        <v>472.4</v>
      </c>
      <c r="K680" s="17">
        <f t="shared" si="734"/>
        <v>472.33333333333331</v>
      </c>
      <c r="L680" s="17">
        <f t="shared" si="735"/>
        <v>472.2</v>
      </c>
      <c r="M680" s="17">
        <f t="shared" si="736"/>
        <v>472</v>
      </c>
    </row>
    <row r="681" spans="1:13" x14ac:dyDescent="0.35">
      <c r="B681" s="2">
        <v>30</v>
      </c>
      <c r="C681" s="2">
        <f t="shared" si="726"/>
        <v>2059</v>
      </c>
      <c r="D681" s="2">
        <f t="shared" si="727"/>
        <v>2029</v>
      </c>
      <c r="E681" s="3">
        <f t="shared" si="728"/>
        <v>14203</v>
      </c>
      <c r="F681" s="17">
        <f t="shared" si="729"/>
        <v>473.4</v>
      </c>
      <c r="G681" s="17">
        <f t="shared" si="730"/>
        <v>473.2</v>
      </c>
      <c r="H681" s="17">
        <f t="shared" si="731"/>
        <v>473.06666666666666</v>
      </c>
      <c r="I681" s="17">
        <f t="shared" si="732"/>
        <v>473</v>
      </c>
      <c r="J681" s="17">
        <f t="shared" si="733"/>
        <v>472.86666666666667</v>
      </c>
      <c r="K681" s="17">
        <f t="shared" si="734"/>
        <v>472.8</v>
      </c>
      <c r="L681" s="17">
        <f t="shared" si="735"/>
        <v>472.66666666666669</v>
      </c>
      <c r="M681" s="17">
        <f t="shared" si="736"/>
        <v>472.46666666666664</v>
      </c>
    </row>
    <row r="682" spans="1:13" x14ac:dyDescent="0.35">
      <c r="B682" s="2">
        <v>30</v>
      </c>
      <c r="C682" s="2">
        <f t="shared" si="726"/>
        <v>2063</v>
      </c>
      <c r="D682" s="2">
        <f t="shared" si="727"/>
        <v>2033</v>
      </c>
      <c r="E682" s="3">
        <f t="shared" si="728"/>
        <v>14231</v>
      </c>
      <c r="F682" s="17">
        <f t="shared" si="729"/>
        <v>474.33333333333331</v>
      </c>
      <c r="G682" s="17">
        <f t="shared" si="730"/>
        <v>474.13333333333333</v>
      </c>
      <c r="H682" s="17">
        <f t="shared" si="731"/>
        <v>474</v>
      </c>
      <c r="I682" s="17">
        <f t="shared" si="732"/>
        <v>473.93333333333334</v>
      </c>
      <c r="J682" s="17">
        <f t="shared" si="733"/>
        <v>473.8</v>
      </c>
      <c r="K682" s="17">
        <f t="shared" si="734"/>
        <v>473.73333333333335</v>
      </c>
      <c r="L682" s="17">
        <f t="shared" si="735"/>
        <v>473.6</v>
      </c>
      <c r="M682" s="17">
        <f t="shared" si="736"/>
        <v>473.4</v>
      </c>
    </row>
    <row r="683" spans="1:13" x14ac:dyDescent="0.35">
      <c r="B683" s="2">
        <v>30</v>
      </c>
      <c r="C683" s="2">
        <f t="shared" si="726"/>
        <v>2069</v>
      </c>
      <c r="D683" s="2">
        <f t="shared" si="727"/>
        <v>2039</v>
      </c>
      <c r="E683" s="3">
        <f t="shared" si="728"/>
        <v>14273</v>
      </c>
      <c r="F683" s="17">
        <f t="shared" si="729"/>
        <v>475.73333333333335</v>
      </c>
      <c r="G683" s="17">
        <f t="shared" si="730"/>
        <v>475.53333333333336</v>
      </c>
      <c r="H683" s="17">
        <f t="shared" si="731"/>
        <v>475.4</v>
      </c>
      <c r="I683" s="17">
        <f t="shared" si="732"/>
        <v>475.33333333333331</v>
      </c>
      <c r="J683" s="17">
        <f t="shared" si="733"/>
        <v>475.2</v>
      </c>
      <c r="K683" s="17">
        <f t="shared" si="734"/>
        <v>475.13333333333333</v>
      </c>
      <c r="L683" s="17">
        <f t="shared" si="735"/>
        <v>475</v>
      </c>
      <c r="M683" s="17">
        <f t="shared" si="736"/>
        <v>474.8</v>
      </c>
    </row>
    <row r="684" spans="1:13" ht="16.8" thickBot="1" x14ac:dyDescent="0.4">
      <c r="F684" s="17"/>
      <c r="G684" s="17"/>
      <c r="H684" s="17"/>
      <c r="I684" s="17"/>
      <c r="J684" s="17"/>
      <c r="K684" s="17"/>
      <c r="L684" s="17"/>
      <c r="M684" s="17"/>
    </row>
    <row r="685" spans="1:13" ht="16.8" thickBot="1" x14ac:dyDescent="0.4">
      <c r="A685" s="1">
        <f>A675+1</f>
        <v>69</v>
      </c>
      <c r="C685" s="18" t="s">
        <v>2</v>
      </c>
      <c r="E685" s="13">
        <f>E666</f>
        <v>13867</v>
      </c>
      <c r="F685" s="19">
        <v>1</v>
      </c>
      <c r="G685" s="20">
        <v>7</v>
      </c>
      <c r="H685" s="20">
        <v>11</v>
      </c>
      <c r="I685" s="20">
        <v>13</v>
      </c>
      <c r="J685" s="20">
        <v>17</v>
      </c>
      <c r="K685" s="20">
        <v>19</v>
      </c>
      <c r="L685" s="20">
        <v>23</v>
      </c>
      <c r="M685" s="21">
        <v>29</v>
      </c>
    </row>
    <row r="686" spans="1:13" x14ac:dyDescent="0.35">
      <c r="B686" s="2">
        <v>30</v>
      </c>
      <c r="C686" s="2">
        <f>D686+B686</f>
        <v>2071</v>
      </c>
      <c r="D686" s="2">
        <f>C676</f>
        <v>2041</v>
      </c>
      <c r="E686" s="3">
        <f>D686*$E$5</f>
        <v>14287</v>
      </c>
      <c r="F686" s="17">
        <f>(E686-1)/30</f>
        <v>476.2</v>
      </c>
      <c r="G686" s="17">
        <f>($E686-7)/30</f>
        <v>476</v>
      </c>
      <c r="H686" s="17">
        <f>($E686-11)/30</f>
        <v>475.86666666666667</v>
      </c>
      <c r="I686" s="17">
        <f>($E686-13)/30</f>
        <v>475.8</v>
      </c>
      <c r="J686" s="17">
        <f>($E686-17)/30</f>
        <v>475.66666666666669</v>
      </c>
      <c r="K686" s="17">
        <f>($E686-19)/30</f>
        <v>475.6</v>
      </c>
      <c r="L686" s="17">
        <f>($E686-23)/30</f>
        <v>475.46666666666664</v>
      </c>
      <c r="M686" s="17">
        <f>($E686-29)/30</f>
        <v>475.26666666666665</v>
      </c>
    </row>
    <row r="687" spans="1:13" x14ac:dyDescent="0.35">
      <c r="B687" s="2">
        <v>30</v>
      </c>
      <c r="C687" s="2">
        <f t="shared" ref="C687:C693" si="737">D687+B687</f>
        <v>2077</v>
      </c>
      <c r="D687" s="2">
        <f t="shared" ref="D687:D693" si="738">C677</f>
        <v>2047</v>
      </c>
      <c r="E687" s="3">
        <f t="shared" ref="E687:E693" si="739">D687*$E$5</f>
        <v>14329</v>
      </c>
      <c r="F687" s="17">
        <f t="shared" ref="F687:F693" si="740">(E687-1)/30</f>
        <v>477.6</v>
      </c>
      <c r="G687" s="17">
        <f t="shared" ref="G687:G693" si="741">($E687-7)/30</f>
        <v>477.4</v>
      </c>
      <c r="H687" s="17">
        <f t="shared" ref="H687:H693" si="742">($E687-11)/30</f>
        <v>477.26666666666665</v>
      </c>
      <c r="I687" s="17">
        <f t="shared" ref="I687:I693" si="743">($E687-13)/30</f>
        <v>477.2</v>
      </c>
      <c r="J687" s="17">
        <f t="shared" ref="J687:J693" si="744">($E687-17)/30</f>
        <v>477.06666666666666</v>
      </c>
      <c r="K687" s="17">
        <f t="shared" ref="K687:K693" si="745">($E687-19)/30</f>
        <v>477</v>
      </c>
      <c r="L687" s="17">
        <f t="shared" ref="L687:L693" si="746">($E687-23)/30</f>
        <v>476.86666666666667</v>
      </c>
      <c r="M687" s="17">
        <f t="shared" ref="M687:M693" si="747">($E687-29)/30</f>
        <v>476.66666666666669</v>
      </c>
    </row>
    <row r="688" spans="1:13" x14ac:dyDescent="0.35">
      <c r="B688" s="2">
        <v>30</v>
      </c>
      <c r="C688" s="2">
        <f t="shared" si="737"/>
        <v>2081</v>
      </c>
      <c r="D688" s="2">
        <f t="shared" si="738"/>
        <v>2051</v>
      </c>
      <c r="E688" s="3">
        <f t="shared" si="739"/>
        <v>14357</v>
      </c>
      <c r="F688" s="17">
        <f t="shared" si="740"/>
        <v>478.53333333333336</v>
      </c>
      <c r="G688" s="17">
        <f t="shared" si="741"/>
        <v>478.33333333333331</v>
      </c>
      <c r="H688" s="17">
        <f t="shared" si="742"/>
        <v>478.2</v>
      </c>
      <c r="I688" s="17">
        <f t="shared" si="743"/>
        <v>478.13333333333333</v>
      </c>
      <c r="J688" s="17">
        <f t="shared" si="744"/>
        <v>478</v>
      </c>
      <c r="K688" s="17">
        <f t="shared" si="745"/>
        <v>477.93333333333334</v>
      </c>
      <c r="L688" s="17">
        <f t="shared" si="746"/>
        <v>477.8</v>
      </c>
      <c r="M688" s="17">
        <f t="shared" si="747"/>
        <v>477.6</v>
      </c>
    </row>
    <row r="689" spans="1:13" x14ac:dyDescent="0.35">
      <c r="B689" s="2">
        <v>30</v>
      </c>
      <c r="C689" s="2">
        <f t="shared" si="737"/>
        <v>2083</v>
      </c>
      <c r="D689" s="2">
        <f t="shared" si="738"/>
        <v>2053</v>
      </c>
      <c r="E689" s="3">
        <f t="shared" si="739"/>
        <v>14371</v>
      </c>
      <c r="F689" s="17">
        <f t="shared" si="740"/>
        <v>479</v>
      </c>
      <c r="G689" s="17">
        <f t="shared" si="741"/>
        <v>478.8</v>
      </c>
      <c r="H689" s="17">
        <f t="shared" si="742"/>
        <v>478.66666666666669</v>
      </c>
      <c r="I689" s="17">
        <f t="shared" si="743"/>
        <v>478.6</v>
      </c>
      <c r="J689" s="17">
        <f t="shared" si="744"/>
        <v>478.46666666666664</v>
      </c>
      <c r="K689" s="17">
        <f t="shared" si="745"/>
        <v>478.4</v>
      </c>
      <c r="L689" s="17">
        <f t="shared" si="746"/>
        <v>478.26666666666665</v>
      </c>
      <c r="M689" s="17">
        <f t="shared" si="747"/>
        <v>478.06666666666666</v>
      </c>
    </row>
    <row r="690" spans="1:13" x14ac:dyDescent="0.35">
      <c r="B690" s="2">
        <v>30</v>
      </c>
      <c r="C690" s="2">
        <f t="shared" si="737"/>
        <v>2087</v>
      </c>
      <c r="D690" s="2">
        <f t="shared" si="738"/>
        <v>2057</v>
      </c>
      <c r="E690" s="3">
        <f t="shared" si="739"/>
        <v>14399</v>
      </c>
      <c r="F690" s="17">
        <f t="shared" si="740"/>
        <v>479.93333333333334</v>
      </c>
      <c r="G690" s="17">
        <f t="shared" si="741"/>
        <v>479.73333333333335</v>
      </c>
      <c r="H690" s="17">
        <f t="shared" si="742"/>
        <v>479.6</v>
      </c>
      <c r="I690" s="17">
        <f t="shared" si="743"/>
        <v>479.53333333333336</v>
      </c>
      <c r="J690" s="17">
        <f t="shared" si="744"/>
        <v>479.4</v>
      </c>
      <c r="K690" s="17">
        <f t="shared" si="745"/>
        <v>479.33333333333331</v>
      </c>
      <c r="L690" s="17">
        <f t="shared" si="746"/>
        <v>479.2</v>
      </c>
      <c r="M690" s="17">
        <f t="shared" si="747"/>
        <v>479</v>
      </c>
    </row>
    <row r="691" spans="1:13" x14ac:dyDescent="0.35">
      <c r="B691" s="2">
        <v>30</v>
      </c>
      <c r="C691" s="2">
        <f t="shared" si="737"/>
        <v>2089</v>
      </c>
      <c r="D691" s="2">
        <f t="shared" si="738"/>
        <v>2059</v>
      </c>
      <c r="E691" s="3">
        <f t="shared" si="739"/>
        <v>14413</v>
      </c>
      <c r="F691" s="17">
        <f t="shared" si="740"/>
        <v>480.4</v>
      </c>
      <c r="G691" s="17">
        <f t="shared" si="741"/>
        <v>480.2</v>
      </c>
      <c r="H691" s="17">
        <f t="shared" si="742"/>
        <v>480.06666666666666</v>
      </c>
      <c r="I691" s="17">
        <f t="shared" si="743"/>
        <v>480</v>
      </c>
      <c r="J691" s="17">
        <f t="shared" si="744"/>
        <v>479.86666666666667</v>
      </c>
      <c r="K691" s="17">
        <f t="shared" si="745"/>
        <v>479.8</v>
      </c>
      <c r="L691" s="17">
        <f t="shared" si="746"/>
        <v>479.66666666666669</v>
      </c>
      <c r="M691" s="17">
        <f t="shared" si="747"/>
        <v>479.46666666666664</v>
      </c>
    </row>
    <row r="692" spans="1:13" x14ac:dyDescent="0.35">
      <c r="B692" s="2">
        <v>30</v>
      </c>
      <c r="C692" s="2">
        <f t="shared" si="737"/>
        <v>2093</v>
      </c>
      <c r="D692" s="2">
        <f t="shared" si="738"/>
        <v>2063</v>
      </c>
      <c r="E692" s="3">
        <f t="shared" si="739"/>
        <v>14441</v>
      </c>
      <c r="F692" s="17">
        <f t="shared" si="740"/>
        <v>481.33333333333331</v>
      </c>
      <c r="G692" s="17">
        <f t="shared" si="741"/>
        <v>481.13333333333333</v>
      </c>
      <c r="H692" s="17">
        <f t="shared" si="742"/>
        <v>481</v>
      </c>
      <c r="I692" s="17">
        <f t="shared" si="743"/>
        <v>480.93333333333334</v>
      </c>
      <c r="J692" s="17">
        <f t="shared" si="744"/>
        <v>480.8</v>
      </c>
      <c r="K692" s="17">
        <f t="shared" si="745"/>
        <v>480.73333333333335</v>
      </c>
      <c r="L692" s="17">
        <f t="shared" si="746"/>
        <v>480.6</v>
      </c>
      <c r="M692" s="17">
        <f t="shared" si="747"/>
        <v>480.4</v>
      </c>
    </row>
    <row r="693" spans="1:13" x14ac:dyDescent="0.35">
      <c r="B693" s="2">
        <v>30</v>
      </c>
      <c r="C693" s="2">
        <f t="shared" si="737"/>
        <v>2099</v>
      </c>
      <c r="D693" s="2">
        <f t="shared" si="738"/>
        <v>2069</v>
      </c>
      <c r="E693" s="3">
        <f t="shared" si="739"/>
        <v>14483</v>
      </c>
      <c r="F693" s="17">
        <f t="shared" si="740"/>
        <v>482.73333333333335</v>
      </c>
      <c r="G693" s="17">
        <f t="shared" si="741"/>
        <v>482.53333333333336</v>
      </c>
      <c r="H693" s="17">
        <f t="shared" si="742"/>
        <v>482.4</v>
      </c>
      <c r="I693" s="17">
        <f t="shared" si="743"/>
        <v>482.33333333333331</v>
      </c>
      <c r="J693" s="17">
        <f t="shared" si="744"/>
        <v>482.2</v>
      </c>
      <c r="K693" s="17">
        <f t="shared" si="745"/>
        <v>482.13333333333333</v>
      </c>
      <c r="L693" s="17">
        <f t="shared" si="746"/>
        <v>482</v>
      </c>
      <c r="M693" s="17">
        <f t="shared" si="747"/>
        <v>481.8</v>
      </c>
    </row>
    <row r="694" spans="1:13" ht="16.8" thickBot="1" x14ac:dyDescent="0.4">
      <c r="F694" s="17"/>
      <c r="G694" s="17"/>
      <c r="H694" s="17"/>
      <c r="I694" s="17"/>
      <c r="J694" s="17"/>
      <c r="K694" s="17"/>
      <c r="L694" s="17"/>
      <c r="M694" s="17"/>
    </row>
    <row r="695" spans="1:13" ht="16.8" thickBot="1" x14ac:dyDescent="0.4">
      <c r="A695" s="1">
        <f>A685+1</f>
        <v>70</v>
      </c>
      <c r="C695" s="18" t="s">
        <v>2</v>
      </c>
      <c r="E695" s="13">
        <f>E676</f>
        <v>14077</v>
      </c>
      <c r="F695" s="19">
        <v>1</v>
      </c>
      <c r="G695" s="20">
        <v>7</v>
      </c>
      <c r="H695" s="20">
        <v>11</v>
      </c>
      <c r="I695" s="20">
        <v>13</v>
      </c>
      <c r="J695" s="20">
        <v>17</v>
      </c>
      <c r="K695" s="20">
        <v>19</v>
      </c>
      <c r="L695" s="20">
        <v>23</v>
      </c>
      <c r="M695" s="21">
        <v>29</v>
      </c>
    </row>
    <row r="696" spans="1:13" x14ac:dyDescent="0.35">
      <c r="B696" s="2">
        <v>30</v>
      </c>
      <c r="C696" s="2">
        <f>D696+B696</f>
        <v>2101</v>
      </c>
      <c r="D696" s="2">
        <f>C686</f>
        <v>2071</v>
      </c>
      <c r="E696" s="3">
        <f>D696*$E$5</f>
        <v>14497</v>
      </c>
      <c r="F696" s="17">
        <f>(E696-1)/30</f>
        <v>483.2</v>
      </c>
      <c r="G696" s="17">
        <f>($E696-7)/30</f>
        <v>483</v>
      </c>
      <c r="H696" s="17">
        <f>($E696-11)/30</f>
        <v>482.86666666666667</v>
      </c>
      <c r="I696" s="17">
        <f>($E696-13)/30</f>
        <v>482.8</v>
      </c>
      <c r="J696" s="17">
        <f>($E696-17)/30</f>
        <v>482.66666666666669</v>
      </c>
      <c r="K696" s="17">
        <f>($E696-19)/30</f>
        <v>482.6</v>
      </c>
      <c r="L696" s="17">
        <f>($E696-23)/30</f>
        <v>482.46666666666664</v>
      </c>
      <c r="M696" s="17">
        <f>($E696-29)/30</f>
        <v>482.26666666666665</v>
      </c>
    </row>
    <row r="697" spans="1:13" x14ac:dyDescent="0.35">
      <c r="B697" s="2">
        <v>30</v>
      </c>
      <c r="C697" s="2">
        <f t="shared" ref="C697:C703" si="748">D697+B697</f>
        <v>2107</v>
      </c>
      <c r="D697" s="2">
        <f t="shared" ref="D697:D703" si="749">C687</f>
        <v>2077</v>
      </c>
      <c r="E697" s="3">
        <f t="shared" ref="E697:E703" si="750">D697*$E$5</f>
        <v>14539</v>
      </c>
      <c r="F697" s="17">
        <f t="shared" ref="F697:F703" si="751">(E697-1)/30</f>
        <v>484.6</v>
      </c>
      <c r="G697" s="17">
        <f t="shared" ref="G697:G703" si="752">($E697-7)/30</f>
        <v>484.4</v>
      </c>
      <c r="H697" s="17">
        <f t="shared" ref="H697:H703" si="753">($E697-11)/30</f>
        <v>484.26666666666665</v>
      </c>
      <c r="I697" s="17">
        <f t="shared" ref="I697:I703" si="754">($E697-13)/30</f>
        <v>484.2</v>
      </c>
      <c r="J697" s="17">
        <f t="shared" ref="J697:J703" si="755">($E697-17)/30</f>
        <v>484.06666666666666</v>
      </c>
      <c r="K697" s="17">
        <f t="shared" ref="K697:K703" si="756">($E697-19)/30</f>
        <v>484</v>
      </c>
      <c r="L697" s="17">
        <f t="shared" ref="L697:L703" si="757">($E697-23)/30</f>
        <v>483.86666666666667</v>
      </c>
      <c r="M697" s="17">
        <f t="shared" ref="M697:M703" si="758">($E697-29)/30</f>
        <v>483.66666666666669</v>
      </c>
    </row>
    <row r="698" spans="1:13" x14ac:dyDescent="0.35">
      <c r="B698" s="2">
        <v>30</v>
      </c>
      <c r="C698" s="2">
        <f t="shared" si="748"/>
        <v>2111</v>
      </c>
      <c r="D698" s="2">
        <f t="shared" si="749"/>
        <v>2081</v>
      </c>
      <c r="E698" s="3">
        <f t="shared" si="750"/>
        <v>14567</v>
      </c>
      <c r="F698" s="17">
        <f t="shared" si="751"/>
        <v>485.53333333333336</v>
      </c>
      <c r="G698" s="17">
        <f t="shared" si="752"/>
        <v>485.33333333333331</v>
      </c>
      <c r="H698" s="17">
        <f t="shared" si="753"/>
        <v>485.2</v>
      </c>
      <c r="I698" s="17">
        <f t="shared" si="754"/>
        <v>485.13333333333333</v>
      </c>
      <c r="J698" s="17">
        <f t="shared" si="755"/>
        <v>485</v>
      </c>
      <c r="K698" s="17">
        <f t="shared" si="756"/>
        <v>484.93333333333334</v>
      </c>
      <c r="L698" s="17">
        <f t="shared" si="757"/>
        <v>484.8</v>
      </c>
      <c r="M698" s="17">
        <f t="shared" si="758"/>
        <v>484.6</v>
      </c>
    </row>
    <row r="699" spans="1:13" x14ac:dyDescent="0.35">
      <c r="B699" s="2">
        <v>30</v>
      </c>
      <c r="C699" s="2">
        <f t="shared" si="748"/>
        <v>2113</v>
      </c>
      <c r="D699" s="2">
        <f t="shared" si="749"/>
        <v>2083</v>
      </c>
      <c r="E699" s="3">
        <f t="shared" si="750"/>
        <v>14581</v>
      </c>
      <c r="F699" s="17">
        <f t="shared" si="751"/>
        <v>486</v>
      </c>
      <c r="G699" s="17">
        <f t="shared" si="752"/>
        <v>485.8</v>
      </c>
      <c r="H699" s="17">
        <f t="shared" si="753"/>
        <v>485.66666666666669</v>
      </c>
      <c r="I699" s="17">
        <f t="shared" si="754"/>
        <v>485.6</v>
      </c>
      <c r="J699" s="17">
        <f t="shared" si="755"/>
        <v>485.46666666666664</v>
      </c>
      <c r="K699" s="17">
        <f t="shared" si="756"/>
        <v>485.4</v>
      </c>
      <c r="L699" s="17">
        <f t="shared" si="757"/>
        <v>485.26666666666665</v>
      </c>
      <c r="M699" s="17">
        <f t="shared" si="758"/>
        <v>485.06666666666666</v>
      </c>
    </row>
    <row r="700" spans="1:13" x14ac:dyDescent="0.35">
      <c r="B700" s="2">
        <v>30</v>
      </c>
      <c r="C700" s="2">
        <f t="shared" si="748"/>
        <v>2117</v>
      </c>
      <c r="D700" s="2">
        <f t="shared" si="749"/>
        <v>2087</v>
      </c>
      <c r="E700" s="3">
        <f t="shared" si="750"/>
        <v>14609</v>
      </c>
      <c r="F700" s="17">
        <f t="shared" si="751"/>
        <v>486.93333333333334</v>
      </c>
      <c r="G700" s="17">
        <f t="shared" si="752"/>
        <v>486.73333333333335</v>
      </c>
      <c r="H700" s="17">
        <f t="shared" si="753"/>
        <v>486.6</v>
      </c>
      <c r="I700" s="17">
        <f t="shared" si="754"/>
        <v>486.53333333333336</v>
      </c>
      <c r="J700" s="17">
        <f t="shared" si="755"/>
        <v>486.4</v>
      </c>
      <c r="K700" s="17">
        <f t="shared" si="756"/>
        <v>486.33333333333331</v>
      </c>
      <c r="L700" s="17">
        <f t="shared" si="757"/>
        <v>486.2</v>
      </c>
      <c r="M700" s="17">
        <f t="shared" si="758"/>
        <v>486</v>
      </c>
    </row>
    <row r="701" spans="1:13" x14ac:dyDescent="0.35">
      <c r="B701" s="2">
        <v>30</v>
      </c>
      <c r="C701" s="2">
        <f t="shared" si="748"/>
        <v>2119</v>
      </c>
      <c r="D701" s="2">
        <f t="shared" si="749"/>
        <v>2089</v>
      </c>
      <c r="E701" s="3">
        <f t="shared" si="750"/>
        <v>14623</v>
      </c>
      <c r="F701" s="17">
        <f t="shared" si="751"/>
        <v>487.4</v>
      </c>
      <c r="G701" s="17">
        <f t="shared" si="752"/>
        <v>487.2</v>
      </c>
      <c r="H701" s="17">
        <f t="shared" si="753"/>
        <v>487.06666666666666</v>
      </c>
      <c r="I701" s="17">
        <f t="shared" si="754"/>
        <v>487</v>
      </c>
      <c r="J701" s="17">
        <f t="shared" si="755"/>
        <v>486.86666666666667</v>
      </c>
      <c r="K701" s="17">
        <f t="shared" si="756"/>
        <v>486.8</v>
      </c>
      <c r="L701" s="17">
        <f t="shared" si="757"/>
        <v>486.66666666666669</v>
      </c>
      <c r="M701" s="17">
        <f t="shared" si="758"/>
        <v>486.46666666666664</v>
      </c>
    </row>
    <row r="702" spans="1:13" x14ac:dyDescent="0.35">
      <c r="B702" s="2">
        <v>30</v>
      </c>
      <c r="C702" s="2">
        <f t="shared" si="748"/>
        <v>2123</v>
      </c>
      <c r="D702" s="2">
        <f t="shared" si="749"/>
        <v>2093</v>
      </c>
      <c r="E702" s="3">
        <f t="shared" si="750"/>
        <v>14651</v>
      </c>
      <c r="F702" s="17">
        <f t="shared" si="751"/>
        <v>488.33333333333331</v>
      </c>
      <c r="G702" s="17">
        <f t="shared" si="752"/>
        <v>488.13333333333333</v>
      </c>
      <c r="H702" s="17">
        <f t="shared" si="753"/>
        <v>488</v>
      </c>
      <c r="I702" s="17">
        <f t="shared" si="754"/>
        <v>487.93333333333334</v>
      </c>
      <c r="J702" s="17">
        <f t="shared" si="755"/>
        <v>487.8</v>
      </c>
      <c r="K702" s="17">
        <f t="shared" si="756"/>
        <v>487.73333333333335</v>
      </c>
      <c r="L702" s="17">
        <f t="shared" si="757"/>
        <v>487.6</v>
      </c>
      <c r="M702" s="17">
        <f t="shared" si="758"/>
        <v>487.4</v>
      </c>
    </row>
    <row r="703" spans="1:13" x14ac:dyDescent="0.35">
      <c r="B703" s="2">
        <v>30</v>
      </c>
      <c r="C703" s="2">
        <f t="shared" si="748"/>
        <v>2129</v>
      </c>
      <c r="D703" s="2">
        <f t="shared" si="749"/>
        <v>2099</v>
      </c>
      <c r="E703" s="3">
        <f t="shared" si="750"/>
        <v>14693</v>
      </c>
      <c r="F703" s="17">
        <f t="shared" si="751"/>
        <v>489.73333333333335</v>
      </c>
      <c r="G703" s="17">
        <f t="shared" si="752"/>
        <v>489.53333333333336</v>
      </c>
      <c r="H703" s="17">
        <f t="shared" si="753"/>
        <v>489.4</v>
      </c>
      <c r="I703" s="17">
        <f t="shared" si="754"/>
        <v>489.33333333333331</v>
      </c>
      <c r="J703" s="17">
        <f t="shared" si="755"/>
        <v>489.2</v>
      </c>
      <c r="K703" s="17">
        <f t="shared" si="756"/>
        <v>489.13333333333333</v>
      </c>
      <c r="L703" s="17">
        <f t="shared" si="757"/>
        <v>489</v>
      </c>
      <c r="M703" s="17">
        <f t="shared" si="758"/>
        <v>488.8</v>
      </c>
    </row>
    <row r="704" spans="1:13" ht="16.8" thickBot="1" x14ac:dyDescent="0.4">
      <c r="F704" s="17"/>
      <c r="G704" s="17"/>
      <c r="H704" s="17"/>
      <c r="I704" s="17"/>
      <c r="J704" s="17"/>
      <c r="K704" s="17"/>
      <c r="L704" s="17"/>
      <c r="M704" s="17"/>
    </row>
    <row r="705" spans="1:13" ht="16.8" thickBot="1" x14ac:dyDescent="0.4">
      <c r="A705" s="1">
        <f>A695+1</f>
        <v>71</v>
      </c>
      <c r="C705" s="18" t="s">
        <v>2</v>
      </c>
      <c r="E705" s="13">
        <f>E686</f>
        <v>14287</v>
      </c>
      <c r="F705" s="19">
        <v>1</v>
      </c>
      <c r="G705" s="20">
        <v>7</v>
      </c>
      <c r="H705" s="20">
        <v>11</v>
      </c>
      <c r="I705" s="20">
        <v>13</v>
      </c>
      <c r="J705" s="20">
        <v>17</v>
      </c>
      <c r="K705" s="20">
        <v>19</v>
      </c>
      <c r="L705" s="20">
        <v>23</v>
      </c>
      <c r="M705" s="21">
        <v>29</v>
      </c>
    </row>
    <row r="706" spans="1:13" x14ac:dyDescent="0.35">
      <c r="B706" s="2">
        <v>30</v>
      </c>
      <c r="C706" s="2">
        <f>D706+B706</f>
        <v>2131</v>
      </c>
      <c r="D706" s="2">
        <f>C696</f>
        <v>2101</v>
      </c>
      <c r="E706" s="3">
        <f>D706*$E$5</f>
        <v>14707</v>
      </c>
      <c r="F706" s="17">
        <f>(E706-1)/30</f>
        <v>490.2</v>
      </c>
      <c r="G706" s="17">
        <f>($E706-7)/30</f>
        <v>490</v>
      </c>
      <c r="H706" s="17">
        <f>($E706-11)/30</f>
        <v>489.86666666666667</v>
      </c>
      <c r="I706" s="17">
        <f>($E706-13)/30</f>
        <v>489.8</v>
      </c>
      <c r="J706" s="17">
        <f>($E706-17)/30</f>
        <v>489.66666666666669</v>
      </c>
      <c r="K706" s="17">
        <f>($E706-19)/30</f>
        <v>489.6</v>
      </c>
      <c r="L706" s="17">
        <f>($E706-23)/30</f>
        <v>489.46666666666664</v>
      </c>
      <c r="M706" s="17">
        <f>($E706-29)/30</f>
        <v>489.26666666666665</v>
      </c>
    </row>
    <row r="707" spans="1:13" x14ac:dyDescent="0.35">
      <c r="B707" s="2">
        <v>30</v>
      </c>
      <c r="C707" s="2">
        <f t="shared" ref="C707:C713" si="759">D707+B707</f>
        <v>2137</v>
      </c>
      <c r="D707" s="2">
        <f t="shared" ref="D707:D713" si="760">C697</f>
        <v>2107</v>
      </c>
      <c r="E707" s="3">
        <f t="shared" ref="E707:E713" si="761">D707*$E$5</f>
        <v>14749</v>
      </c>
      <c r="F707" s="17">
        <f t="shared" ref="F707:F713" si="762">(E707-1)/30</f>
        <v>491.6</v>
      </c>
      <c r="G707" s="17">
        <f t="shared" ref="G707:G713" si="763">($E707-7)/30</f>
        <v>491.4</v>
      </c>
      <c r="H707" s="17">
        <f t="shared" ref="H707:H713" si="764">($E707-11)/30</f>
        <v>491.26666666666665</v>
      </c>
      <c r="I707" s="17">
        <f t="shared" ref="I707:I713" si="765">($E707-13)/30</f>
        <v>491.2</v>
      </c>
      <c r="J707" s="17">
        <f t="shared" ref="J707:J713" si="766">($E707-17)/30</f>
        <v>491.06666666666666</v>
      </c>
      <c r="K707" s="17">
        <f t="shared" ref="K707:K713" si="767">($E707-19)/30</f>
        <v>491</v>
      </c>
      <c r="L707" s="17">
        <f t="shared" ref="L707:L713" si="768">($E707-23)/30</f>
        <v>490.86666666666667</v>
      </c>
      <c r="M707" s="17">
        <f t="shared" ref="M707:M713" si="769">($E707-29)/30</f>
        <v>490.66666666666669</v>
      </c>
    </row>
    <row r="708" spans="1:13" x14ac:dyDescent="0.35">
      <c r="B708" s="2">
        <v>30</v>
      </c>
      <c r="C708" s="2">
        <f t="shared" si="759"/>
        <v>2141</v>
      </c>
      <c r="D708" s="2">
        <f t="shared" si="760"/>
        <v>2111</v>
      </c>
      <c r="E708" s="3">
        <f t="shared" si="761"/>
        <v>14777</v>
      </c>
      <c r="F708" s="17">
        <f t="shared" si="762"/>
        <v>492.53333333333336</v>
      </c>
      <c r="G708" s="17">
        <f t="shared" si="763"/>
        <v>492.33333333333331</v>
      </c>
      <c r="H708" s="17">
        <f t="shared" si="764"/>
        <v>492.2</v>
      </c>
      <c r="I708" s="17">
        <f t="shared" si="765"/>
        <v>492.13333333333333</v>
      </c>
      <c r="J708" s="17">
        <f t="shared" si="766"/>
        <v>492</v>
      </c>
      <c r="K708" s="17">
        <f t="shared" si="767"/>
        <v>491.93333333333334</v>
      </c>
      <c r="L708" s="17">
        <f t="shared" si="768"/>
        <v>491.8</v>
      </c>
      <c r="M708" s="17">
        <f t="shared" si="769"/>
        <v>491.6</v>
      </c>
    </row>
    <row r="709" spans="1:13" x14ac:dyDescent="0.35">
      <c r="B709" s="2">
        <v>30</v>
      </c>
      <c r="C709" s="2">
        <f t="shared" si="759"/>
        <v>2143</v>
      </c>
      <c r="D709" s="2">
        <f t="shared" si="760"/>
        <v>2113</v>
      </c>
      <c r="E709" s="3">
        <f t="shared" si="761"/>
        <v>14791</v>
      </c>
      <c r="F709" s="17">
        <f t="shared" si="762"/>
        <v>493</v>
      </c>
      <c r="G709" s="17">
        <f t="shared" si="763"/>
        <v>492.8</v>
      </c>
      <c r="H709" s="17">
        <f t="shared" si="764"/>
        <v>492.66666666666669</v>
      </c>
      <c r="I709" s="17">
        <f t="shared" si="765"/>
        <v>492.6</v>
      </c>
      <c r="J709" s="17">
        <f t="shared" si="766"/>
        <v>492.46666666666664</v>
      </c>
      <c r="K709" s="17">
        <f t="shared" si="767"/>
        <v>492.4</v>
      </c>
      <c r="L709" s="17">
        <f t="shared" si="768"/>
        <v>492.26666666666665</v>
      </c>
      <c r="M709" s="17">
        <f t="shared" si="769"/>
        <v>492.06666666666666</v>
      </c>
    </row>
    <row r="710" spans="1:13" x14ac:dyDescent="0.35">
      <c r="B710" s="2">
        <v>30</v>
      </c>
      <c r="C710" s="2">
        <f t="shared" si="759"/>
        <v>2147</v>
      </c>
      <c r="D710" s="2">
        <f t="shared" si="760"/>
        <v>2117</v>
      </c>
      <c r="E710" s="3">
        <f t="shared" si="761"/>
        <v>14819</v>
      </c>
      <c r="F710" s="17">
        <f t="shared" si="762"/>
        <v>493.93333333333334</v>
      </c>
      <c r="G710" s="17">
        <f t="shared" si="763"/>
        <v>493.73333333333335</v>
      </c>
      <c r="H710" s="17">
        <f t="shared" si="764"/>
        <v>493.6</v>
      </c>
      <c r="I710" s="17">
        <f t="shared" si="765"/>
        <v>493.53333333333336</v>
      </c>
      <c r="J710" s="17">
        <f t="shared" si="766"/>
        <v>493.4</v>
      </c>
      <c r="K710" s="17">
        <f t="shared" si="767"/>
        <v>493.33333333333331</v>
      </c>
      <c r="L710" s="17">
        <f t="shared" si="768"/>
        <v>493.2</v>
      </c>
      <c r="M710" s="17">
        <f t="shared" si="769"/>
        <v>493</v>
      </c>
    </row>
    <row r="711" spans="1:13" x14ac:dyDescent="0.35">
      <c r="B711" s="2">
        <v>30</v>
      </c>
      <c r="C711" s="2">
        <f t="shared" si="759"/>
        <v>2149</v>
      </c>
      <c r="D711" s="2">
        <f t="shared" si="760"/>
        <v>2119</v>
      </c>
      <c r="E711" s="3">
        <f t="shared" si="761"/>
        <v>14833</v>
      </c>
      <c r="F711" s="17">
        <f t="shared" si="762"/>
        <v>494.4</v>
      </c>
      <c r="G711" s="17">
        <f t="shared" si="763"/>
        <v>494.2</v>
      </c>
      <c r="H711" s="17">
        <f t="shared" si="764"/>
        <v>494.06666666666666</v>
      </c>
      <c r="I711" s="17">
        <f t="shared" si="765"/>
        <v>494</v>
      </c>
      <c r="J711" s="17">
        <f t="shared" si="766"/>
        <v>493.86666666666667</v>
      </c>
      <c r="K711" s="17">
        <f t="shared" si="767"/>
        <v>493.8</v>
      </c>
      <c r="L711" s="17">
        <f t="shared" si="768"/>
        <v>493.66666666666669</v>
      </c>
      <c r="M711" s="17">
        <f t="shared" si="769"/>
        <v>493.46666666666664</v>
      </c>
    </row>
    <row r="712" spans="1:13" x14ac:dyDescent="0.35">
      <c r="B712" s="2">
        <v>30</v>
      </c>
      <c r="C712" s="2">
        <f t="shared" si="759"/>
        <v>2153</v>
      </c>
      <c r="D712" s="2">
        <f t="shared" si="760"/>
        <v>2123</v>
      </c>
      <c r="E712" s="3">
        <f t="shared" si="761"/>
        <v>14861</v>
      </c>
      <c r="F712" s="17">
        <f t="shared" si="762"/>
        <v>495.33333333333331</v>
      </c>
      <c r="G712" s="17">
        <f t="shared" si="763"/>
        <v>495.13333333333333</v>
      </c>
      <c r="H712" s="17">
        <f t="shared" si="764"/>
        <v>495</v>
      </c>
      <c r="I712" s="17">
        <f t="shared" si="765"/>
        <v>494.93333333333334</v>
      </c>
      <c r="J712" s="17">
        <f t="shared" si="766"/>
        <v>494.8</v>
      </c>
      <c r="K712" s="17">
        <f t="shared" si="767"/>
        <v>494.73333333333335</v>
      </c>
      <c r="L712" s="17">
        <f t="shared" si="768"/>
        <v>494.6</v>
      </c>
      <c r="M712" s="17">
        <f t="shared" si="769"/>
        <v>494.4</v>
      </c>
    </row>
    <row r="713" spans="1:13" x14ac:dyDescent="0.35">
      <c r="B713" s="2">
        <v>30</v>
      </c>
      <c r="C713" s="2">
        <f t="shared" si="759"/>
        <v>2159</v>
      </c>
      <c r="D713" s="2">
        <f t="shared" si="760"/>
        <v>2129</v>
      </c>
      <c r="E713" s="3">
        <f t="shared" si="761"/>
        <v>14903</v>
      </c>
      <c r="F713" s="17">
        <f t="shared" si="762"/>
        <v>496.73333333333335</v>
      </c>
      <c r="G713" s="17">
        <f t="shared" si="763"/>
        <v>496.53333333333336</v>
      </c>
      <c r="H713" s="17">
        <f t="shared" si="764"/>
        <v>496.4</v>
      </c>
      <c r="I713" s="17">
        <f t="shared" si="765"/>
        <v>496.33333333333331</v>
      </c>
      <c r="J713" s="17">
        <f t="shared" si="766"/>
        <v>496.2</v>
      </c>
      <c r="K713" s="17">
        <f t="shared" si="767"/>
        <v>496.13333333333333</v>
      </c>
      <c r="L713" s="17">
        <f t="shared" si="768"/>
        <v>496</v>
      </c>
      <c r="M713" s="17">
        <f t="shared" si="769"/>
        <v>495.8</v>
      </c>
    </row>
    <row r="714" spans="1:13" ht="16.8" thickBot="1" x14ac:dyDescent="0.4">
      <c r="F714" s="17"/>
      <c r="G714" s="17"/>
      <c r="H714" s="17"/>
      <c r="I714" s="17"/>
      <c r="J714" s="17"/>
      <c r="K714" s="17"/>
      <c r="L714" s="17"/>
      <c r="M714" s="17"/>
    </row>
    <row r="715" spans="1:13" ht="16.8" thickBot="1" x14ac:dyDescent="0.4">
      <c r="A715" s="1">
        <f>A705+1</f>
        <v>72</v>
      </c>
      <c r="C715" s="18" t="s">
        <v>2</v>
      </c>
      <c r="E715" s="13">
        <f>E696</f>
        <v>14497</v>
      </c>
      <c r="F715" s="19">
        <v>1</v>
      </c>
      <c r="G715" s="20">
        <v>7</v>
      </c>
      <c r="H715" s="20">
        <v>11</v>
      </c>
      <c r="I715" s="20">
        <v>13</v>
      </c>
      <c r="J715" s="20">
        <v>17</v>
      </c>
      <c r="K715" s="20">
        <v>19</v>
      </c>
      <c r="L715" s="20">
        <v>23</v>
      </c>
      <c r="M715" s="21">
        <v>29</v>
      </c>
    </row>
    <row r="716" spans="1:13" x14ac:dyDescent="0.35">
      <c r="B716" s="2">
        <v>30</v>
      </c>
      <c r="C716" s="2">
        <f>D716+B716</f>
        <v>2161</v>
      </c>
      <c r="D716" s="2">
        <f>C706</f>
        <v>2131</v>
      </c>
      <c r="E716" s="3">
        <f>D716*$E$5</f>
        <v>14917</v>
      </c>
      <c r="F716" s="17">
        <f>(E716-1)/30</f>
        <v>497.2</v>
      </c>
      <c r="G716" s="17">
        <f>($E716-7)/30</f>
        <v>497</v>
      </c>
      <c r="H716" s="17">
        <f>($E716-11)/30</f>
        <v>496.86666666666667</v>
      </c>
      <c r="I716" s="17">
        <f>($E716-13)/30</f>
        <v>496.8</v>
      </c>
      <c r="J716" s="17">
        <f>($E716-17)/30</f>
        <v>496.66666666666669</v>
      </c>
      <c r="K716" s="17">
        <f>($E716-19)/30</f>
        <v>496.6</v>
      </c>
      <c r="L716" s="17">
        <f>($E716-23)/30</f>
        <v>496.46666666666664</v>
      </c>
      <c r="M716" s="17">
        <f>($E716-29)/30</f>
        <v>496.26666666666665</v>
      </c>
    </row>
    <row r="717" spans="1:13" x14ac:dyDescent="0.35">
      <c r="B717" s="2">
        <v>30</v>
      </c>
      <c r="C717" s="2">
        <f t="shared" ref="C717:C723" si="770">D717+B717</f>
        <v>2167</v>
      </c>
      <c r="D717" s="2">
        <f t="shared" ref="D717:D723" si="771">C707</f>
        <v>2137</v>
      </c>
      <c r="E717" s="3">
        <f t="shared" ref="E717:E723" si="772">D717*$E$5</f>
        <v>14959</v>
      </c>
      <c r="F717" s="17">
        <f t="shared" ref="F717:F723" si="773">(E717-1)/30</f>
        <v>498.6</v>
      </c>
      <c r="G717" s="17">
        <f t="shared" ref="G717:G723" si="774">($E717-7)/30</f>
        <v>498.4</v>
      </c>
      <c r="H717" s="17">
        <f t="shared" ref="H717:H723" si="775">($E717-11)/30</f>
        <v>498.26666666666665</v>
      </c>
      <c r="I717" s="17">
        <f t="shared" ref="I717:I723" si="776">($E717-13)/30</f>
        <v>498.2</v>
      </c>
      <c r="J717" s="17">
        <f t="shared" ref="J717:J723" si="777">($E717-17)/30</f>
        <v>498.06666666666666</v>
      </c>
      <c r="K717" s="17">
        <f t="shared" ref="K717:K723" si="778">($E717-19)/30</f>
        <v>498</v>
      </c>
      <c r="L717" s="17">
        <f t="shared" ref="L717:L723" si="779">($E717-23)/30</f>
        <v>497.86666666666667</v>
      </c>
      <c r="M717" s="17">
        <f t="shared" ref="M717:M723" si="780">($E717-29)/30</f>
        <v>497.66666666666669</v>
      </c>
    </row>
    <row r="718" spans="1:13" x14ac:dyDescent="0.35">
      <c r="B718" s="2">
        <v>30</v>
      </c>
      <c r="C718" s="2">
        <f t="shared" si="770"/>
        <v>2171</v>
      </c>
      <c r="D718" s="2">
        <f t="shared" si="771"/>
        <v>2141</v>
      </c>
      <c r="E718" s="3">
        <f t="shared" si="772"/>
        <v>14987</v>
      </c>
      <c r="F718" s="17">
        <f t="shared" si="773"/>
        <v>499.53333333333336</v>
      </c>
      <c r="G718" s="17">
        <f t="shared" si="774"/>
        <v>499.33333333333331</v>
      </c>
      <c r="H718" s="17">
        <f t="shared" si="775"/>
        <v>499.2</v>
      </c>
      <c r="I718" s="17">
        <f t="shared" si="776"/>
        <v>499.13333333333333</v>
      </c>
      <c r="J718" s="17">
        <f t="shared" si="777"/>
        <v>499</v>
      </c>
      <c r="K718" s="17">
        <f t="shared" si="778"/>
        <v>498.93333333333334</v>
      </c>
      <c r="L718" s="17">
        <f t="shared" si="779"/>
        <v>498.8</v>
      </c>
      <c r="M718" s="17">
        <f t="shared" si="780"/>
        <v>498.6</v>
      </c>
    </row>
    <row r="719" spans="1:13" x14ac:dyDescent="0.35">
      <c r="B719" s="2">
        <v>30</v>
      </c>
      <c r="C719" s="2">
        <f t="shared" si="770"/>
        <v>2173</v>
      </c>
      <c r="D719" s="2">
        <f t="shared" si="771"/>
        <v>2143</v>
      </c>
      <c r="E719" s="3">
        <f t="shared" si="772"/>
        <v>15001</v>
      </c>
      <c r="F719" s="17">
        <f t="shared" si="773"/>
        <v>500</v>
      </c>
      <c r="G719" s="17">
        <f t="shared" si="774"/>
        <v>499.8</v>
      </c>
      <c r="H719" s="17">
        <f t="shared" si="775"/>
        <v>499.66666666666669</v>
      </c>
      <c r="I719" s="17">
        <f t="shared" si="776"/>
        <v>499.6</v>
      </c>
      <c r="J719" s="17">
        <f t="shared" si="777"/>
        <v>499.46666666666664</v>
      </c>
      <c r="K719" s="17">
        <f t="shared" si="778"/>
        <v>499.4</v>
      </c>
      <c r="L719" s="17">
        <f t="shared" si="779"/>
        <v>499.26666666666665</v>
      </c>
      <c r="M719" s="17">
        <f t="shared" si="780"/>
        <v>499.06666666666666</v>
      </c>
    </row>
    <row r="720" spans="1:13" x14ac:dyDescent="0.35">
      <c r="B720" s="2">
        <v>30</v>
      </c>
      <c r="C720" s="2">
        <f t="shared" si="770"/>
        <v>2177</v>
      </c>
      <c r="D720" s="2">
        <f t="shared" si="771"/>
        <v>2147</v>
      </c>
      <c r="E720" s="3">
        <f t="shared" si="772"/>
        <v>15029</v>
      </c>
      <c r="F720" s="17">
        <f t="shared" si="773"/>
        <v>500.93333333333334</v>
      </c>
      <c r="G720" s="17">
        <f t="shared" si="774"/>
        <v>500.73333333333335</v>
      </c>
      <c r="H720" s="17">
        <f t="shared" si="775"/>
        <v>500.6</v>
      </c>
      <c r="I720" s="17">
        <f t="shared" si="776"/>
        <v>500.53333333333336</v>
      </c>
      <c r="J720" s="17">
        <f t="shared" si="777"/>
        <v>500.4</v>
      </c>
      <c r="K720" s="17">
        <f t="shared" si="778"/>
        <v>500.33333333333331</v>
      </c>
      <c r="L720" s="17">
        <f t="shared" si="779"/>
        <v>500.2</v>
      </c>
      <c r="M720" s="17">
        <f t="shared" si="780"/>
        <v>500</v>
      </c>
    </row>
    <row r="721" spans="1:13" x14ac:dyDescent="0.35">
      <c r="B721" s="2">
        <v>30</v>
      </c>
      <c r="C721" s="2">
        <f t="shared" si="770"/>
        <v>2179</v>
      </c>
      <c r="D721" s="2">
        <f t="shared" si="771"/>
        <v>2149</v>
      </c>
      <c r="E721" s="3">
        <f t="shared" si="772"/>
        <v>15043</v>
      </c>
      <c r="F721" s="17">
        <f t="shared" si="773"/>
        <v>501.4</v>
      </c>
      <c r="G721" s="17">
        <f t="shared" si="774"/>
        <v>501.2</v>
      </c>
      <c r="H721" s="17">
        <f t="shared" si="775"/>
        <v>501.06666666666666</v>
      </c>
      <c r="I721" s="17">
        <f t="shared" si="776"/>
        <v>501</v>
      </c>
      <c r="J721" s="17">
        <f t="shared" si="777"/>
        <v>500.86666666666667</v>
      </c>
      <c r="K721" s="17">
        <f t="shared" si="778"/>
        <v>500.8</v>
      </c>
      <c r="L721" s="17">
        <f t="shared" si="779"/>
        <v>500.66666666666669</v>
      </c>
      <c r="M721" s="17">
        <f t="shared" si="780"/>
        <v>500.46666666666664</v>
      </c>
    </row>
    <row r="722" spans="1:13" x14ac:dyDescent="0.35">
      <c r="B722" s="2">
        <v>30</v>
      </c>
      <c r="C722" s="2">
        <f t="shared" si="770"/>
        <v>2183</v>
      </c>
      <c r="D722" s="2">
        <f t="shared" si="771"/>
        <v>2153</v>
      </c>
      <c r="E722" s="3">
        <f t="shared" si="772"/>
        <v>15071</v>
      </c>
      <c r="F722" s="17">
        <f t="shared" si="773"/>
        <v>502.33333333333331</v>
      </c>
      <c r="G722" s="17">
        <f t="shared" si="774"/>
        <v>502.13333333333333</v>
      </c>
      <c r="H722" s="17">
        <f t="shared" si="775"/>
        <v>502</v>
      </c>
      <c r="I722" s="17">
        <f t="shared" si="776"/>
        <v>501.93333333333334</v>
      </c>
      <c r="J722" s="17">
        <f t="shared" si="777"/>
        <v>501.8</v>
      </c>
      <c r="K722" s="17">
        <f t="shared" si="778"/>
        <v>501.73333333333335</v>
      </c>
      <c r="L722" s="17">
        <f t="shared" si="779"/>
        <v>501.6</v>
      </c>
      <c r="M722" s="17">
        <f t="shared" si="780"/>
        <v>501.4</v>
      </c>
    </row>
    <row r="723" spans="1:13" x14ac:dyDescent="0.35">
      <c r="B723" s="2">
        <v>30</v>
      </c>
      <c r="C723" s="2">
        <f t="shared" si="770"/>
        <v>2189</v>
      </c>
      <c r="D723" s="2">
        <f t="shared" si="771"/>
        <v>2159</v>
      </c>
      <c r="E723" s="3">
        <f t="shared" si="772"/>
        <v>15113</v>
      </c>
      <c r="F723" s="17">
        <f t="shared" si="773"/>
        <v>503.73333333333335</v>
      </c>
      <c r="G723" s="17">
        <f t="shared" si="774"/>
        <v>503.53333333333336</v>
      </c>
      <c r="H723" s="17">
        <f t="shared" si="775"/>
        <v>503.4</v>
      </c>
      <c r="I723" s="17">
        <f t="shared" si="776"/>
        <v>503.33333333333331</v>
      </c>
      <c r="J723" s="17">
        <f t="shared" si="777"/>
        <v>503.2</v>
      </c>
      <c r="K723" s="17">
        <f t="shared" si="778"/>
        <v>503.13333333333333</v>
      </c>
      <c r="L723" s="17">
        <f t="shared" si="779"/>
        <v>503</v>
      </c>
      <c r="M723" s="17">
        <f t="shared" si="780"/>
        <v>502.8</v>
      </c>
    </row>
    <row r="724" spans="1:13" ht="16.8" thickBot="1" x14ac:dyDescent="0.4">
      <c r="F724" s="17"/>
      <c r="G724" s="17"/>
      <c r="H724" s="17"/>
      <c r="I724" s="17"/>
      <c r="J724" s="17"/>
      <c r="K724" s="17"/>
      <c r="L724" s="17"/>
      <c r="M724" s="17"/>
    </row>
    <row r="725" spans="1:13" ht="16.8" thickBot="1" x14ac:dyDescent="0.4">
      <c r="A725" s="1">
        <f>A715+1</f>
        <v>73</v>
      </c>
      <c r="C725" s="18" t="s">
        <v>2</v>
      </c>
      <c r="E725" s="13">
        <f>E706</f>
        <v>14707</v>
      </c>
      <c r="F725" s="19">
        <v>1</v>
      </c>
      <c r="G725" s="20">
        <v>7</v>
      </c>
      <c r="H725" s="20">
        <v>11</v>
      </c>
      <c r="I725" s="20">
        <v>13</v>
      </c>
      <c r="J725" s="20">
        <v>17</v>
      </c>
      <c r="K725" s="20">
        <v>19</v>
      </c>
      <c r="L725" s="20">
        <v>23</v>
      </c>
      <c r="M725" s="21">
        <v>29</v>
      </c>
    </row>
    <row r="726" spans="1:13" x14ac:dyDescent="0.35">
      <c r="B726" s="2">
        <v>30</v>
      </c>
      <c r="C726" s="2">
        <f>D726+B726</f>
        <v>2191</v>
      </c>
      <c r="D726" s="2">
        <f>C716</f>
        <v>2161</v>
      </c>
      <c r="E726" s="3">
        <f>D726*$E$5</f>
        <v>15127</v>
      </c>
      <c r="F726" s="17">
        <f>(E726-1)/30</f>
        <v>504.2</v>
      </c>
      <c r="G726" s="17">
        <f>($E726-7)/30</f>
        <v>504</v>
      </c>
      <c r="H726" s="17">
        <f>($E726-11)/30</f>
        <v>503.86666666666667</v>
      </c>
      <c r="I726" s="17">
        <f>($E726-13)/30</f>
        <v>503.8</v>
      </c>
      <c r="J726" s="17">
        <f>($E726-17)/30</f>
        <v>503.66666666666669</v>
      </c>
      <c r="K726" s="17">
        <f>($E726-19)/30</f>
        <v>503.6</v>
      </c>
      <c r="L726" s="17">
        <f>($E726-23)/30</f>
        <v>503.46666666666664</v>
      </c>
      <c r="M726" s="17">
        <f>($E726-29)/30</f>
        <v>503.26666666666665</v>
      </c>
    </row>
    <row r="727" spans="1:13" x14ac:dyDescent="0.35">
      <c r="B727" s="2">
        <v>30</v>
      </c>
      <c r="C727" s="2">
        <f t="shared" ref="C727:C733" si="781">D727+B727</f>
        <v>2197</v>
      </c>
      <c r="D727" s="2">
        <f t="shared" ref="D727:D733" si="782">C717</f>
        <v>2167</v>
      </c>
      <c r="E727" s="3">
        <f t="shared" ref="E727:E733" si="783">D727*$E$5</f>
        <v>15169</v>
      </c>
      <c r="F727" s="17">
        <f t="shared" ref="F727:F733" si="784">(E727-1)/30</f>
        <v>505.6</v>
      </c>
      <c r="G727" s="17">
        <f t="shared" ref="G727:G733" si="785">($E727-7)/30</f>
        <v>505.4</v>
      </c>
      <c r="H727" s="17">
        <f t="shared" ref="H727:H733" si="786">($E727-11)/30</f>
        <v>505.26666666666665</v>
      </c>
      <c r="I727" s="17">
        <f t="shared" ref="I727:I733" si="787">($E727-13)/30</f>
        <v>505.2</v>
      </c>
      <c r="J727" s="17">
        <f t="shared" ref="J727:J733" si="788">($E727-17)/30</f>
        <v>505.06666666666666</v>
      </c>
      <c r="K727" s="17">
        <f t="shared" ref="K727:K733" si="789">($E727-19)/30</f>
        <v>505</v>
      </c>
      <c r="L727" s="17">
        <f t="shared" ref="L727:L733" si="790">($E727-23)/30</f>
        <v>504.86666666666667</v>
      </c>
      <c r="M727" s="17">
        <f t="shared" ref="M727:M733" si="791">($E727-29)/30</f>
        <v>504.66666666666669</v>
      </c>
    </row>
    <row r="728" spans="1:13" x14ac:dyDescent="0.35">
      <c r="B728" s="2">
        <v>30</v>
      </c>
      <c r="C728" s="2">
        <f t="shared" si="781"/>
        <v>2201</v>
      </c>
      <c r="D728" s="2">
        <f t="shared" si="782"/>
        <v>2171</v>
      </c>
      <c r="E728" s="3">
        <f t="shared" si="783"/>
        <v>15197</v>
      </c>
      <c r="F728" s="17">
        <f t="shared" si="784"/>
        <v>506.53333333333336</v>
      </c>
      <c r="G728" s="17">
        <f t="shared" si="785"/>
        <v>506.33333333333331</v>
      </c>
      <c r="H728" s="17">
        <f t="shared" si="786"/>
        <v>506.2</v>
      </c>
      <c r="I728" s="17">
        <f t="shared" si="787"/>
        <v>506.13333333333333</v>
      </c>
      <c r="J728" s="17">
        <f t="shared" si="788"/>
        <v>506</v>
      </c>
      <c r="K728" s="17">
        <f t="shared" si="789"/>
        <v>505.93333333333334</v>
      </c>
      <c r="L728" s="17">
        <f t="shared" si="790"/>
        <v>505.8</v>
      </c>
      <c r="M728" s="17">
        <f t="shared" si="791"/>
        <v>505.6</v>
      </c>
    </row>
    <row r="729" spans="1:13" x14ac:dyDescent="0.35">
      <c r="B729" s="2">
        <v>30</v>
      </c>
      <c r="C729" s="2">
        <f t="shared" si="781"/>
        <v>2203</v>
      </c>
      <c r="D729" s="2">
        <f t="shared" si="782"/>
        <v>2173</v>
      </c>
      <c r="E729" s="3">
        <f t="shared" si="783"/>
        <v>15211</v>
      </c>
      <c r="F729" s="17">
        <f t="shared" si="784"/>
        <v>507</v>
      </c>
      <c r="G729" s="17">
        <f t="shared" si="785"/>
        <v>506.8</v>
      </c>
      <c r="H729" s="17">
        <f t="shared" si="786"/>
        <v>506.66666666666669</v>
      </c>
      <c r="I729" s="17">
        <f t="shared" si="787"/>
        <v>506.6</v>
      </c>
      <c r="J729" s="17">
        <f t="shared" si="788"/>
        <v>506.46666666666664</v>
      </c>
      <c r="K729" s="17">
        <f t="shared" si="789"/>
        <v>506.4</v>
      </c>
      <c r="L729" s="17">
        <f t="shared" si="790"/>
        <v>506.26666666666665</v>
      </c>
      <c r="M729" s="17">
        <f t="shared" si="791"/>
        <v>506.06666666666666</v>
      </c>
    </row>
    <row r="730" spans="1:13" x14ac:dyDescent="0.35">
      <c r="B730" s="2">
        <v>30</v>
      </c>
      <c r="C730" s="2">
        <f t="shared" si="781"/>
        <v>2207</v>
      </c>
      <c r="D730" s="2">
        <f t="shared" si="782"/>
        <v>2177</v>
      </c>
      <c r="E730" s="3">
        <f t="shared" si="783"/>
        <v>15239</v>
      </c>
      <c r="F730" s="17">
        <f t="shared" si="784"/>
        <v>507.93333333333334</v>
      </c>
      <c r="G730" s="17">
        <f t="shared" si="785"/>
        <v>507.73333333333335</v>
      </c>
      <c r="H730" s="17">
        <f t="shared" si="786"/>
        <v>507.6</v>
      </c>
      <c r="I730" s="17">
        <f t="shared" si="787"/>
        <v>507.53333333333336</v>
      </c>
      <c r="J730" s="17">
        <f t="shared" si="788"/>
        <v>507.4</v>
      </c>
      <c r="K730" s="17">
        <f t="shared" si="789"/>
        <v>507.33333333333331</v>
      </c>
      <c r="L730" s="17">
        <f t="shared" si="790"/>
        <v>507.2</v>
      </c>
      <c r="M730" s="17">
        <f t="shared" si="791"/>
        <v>507</v>
      </c>
    </row>
    <row r="731" spans="1:13" x14ac:dyDescent="0.35">
      <c r="B731" s="2">
        <v>30</v>
      </c>
      <c r="C731" s="2">
        <f t="shared" si="781"/>
        <v>2209</v>
      </c>
      <c r="D731" s="2">
        <f t="shared" si="782"/>
        <v>2179</v>
      </c>
      <c r="E731" s="3">
        <f t="shared" si="783"/>
        <v>15253</v>
      </c>
      <c r="F731" s="17">
        <f t="shared" si="784"/>
        <v>508.4</v>
      </c>
      <c r="G731" s="17">
        <f t="shared" si="785"/>
        <v>508.2</v>
      </c>
      <c r="H731" s="17">
        <f t="shared" si="786"/>
        <v>508.06666666666666</v>
      </c>
      <c r="I731" s="17">
        <f t="shared" si="787"/>
        <v>508</v>
      </c>
      <c r="J731" s="17">
        <f t="shared" si="788"/>
        <v>507.86666666666667</v>
      </c>
      <c r="K731" s="17">
        <f t="shared" si="789"/>
        <v>507.8</v>
      </c>
      <c r="L731" s="17">
        <f t="shared" si="790"/>
        <v>507.66666666666669</v>
      </c>
      <c r="M731" s="17">
        <f t="shared" si="791"/>
        <v>507.46666666666664</v>
      </c>
    </row>
    <row r="732" spans="1:13" x14ac:dyDescent="0.35">
      <c r="B732" s="2">
        <v>30</v>
      </c>
      <c r="C732" s="2">
        <f t="shared" si="781"/>
        <v>2213</v>
      </c>
      <c r="D732" s="2">
        <f t="shared" si="782"/>
        <v>2183</v>
      </c>
      <c r="E732" s="3">
        <f t="shared" si="783"/>
        <v>15281</v>
      </c>
      <c r="F732" s="17">
        <f t="shared" si="784"/>
        <v>509.33333333333331</v>
      </c>
      <c r="G732" s="17">
        <f t="shared" si="785"/>
        <v>509.13333333333333</v>
      </c>
      <c r="H732" s="17">
        <f t="shared" si="786"/>
        <v>509</v>
      </c>
      <c r="I732" s="17">
        <f t="shared" si="787"/>
        <v>508.93333333333334</v>
      </c>
      <c r="J732" s="17">
        <f t="shared" si="788"/>
        <v>508.8</v>
      </c>
      <c r="K732" s="17">
        <f t="shared" si="789"/>
        <v>508.73333333333335</v>
      </c>
      <c r="L732" s="17">
        <f t="shared" si="790"/>
        <v>508.6</v>
      </c>
      <c r="M732" s="17">
        <f t="shared" si="791"/>
        <v>508.4</v>
      </c>
    </row>
    <row r="733" spans="1:13" x14ac:dyDescent="0.35">
      <c r="B733" s="2">
        <v>30</v>
      </c>
      <c r="C733" s="2">
        <f t="shared" si="781"/>
        <v>2219</v>
      </c>
      <c r="D733" s="2">
        <f t="shared" si="782"/>
        <v>2189</v>
      </c>
      <c r="E733" s="3">
        <f t="shared" si="783"/>
        <v>15323</v>
      </c>
      <c r="F733" s="17">
        <f t="shared" si="784"/>
        <v>510.73333333333335</v>
      </c>
      <c r="G733" s="17">
        <f t="shared" si="785"/>
        <v>510.53333333333336</v>
      </c>
      <c r="H733" s="17">
        <f t="shared" si="786"/>
        <v>510.4</v>
      </c>
      <c r="I733" s="17">
        <f t="shared" si="787"/>
        <v>510.33333333333331</v>
      </c>
      <c r="J733" s="17">
        <f t="shared" si="788"/>
        <v>510.2</v>
      </c>
      <c r="K733" s="17">
        <f t="shared" si="789"/>
        <v>510.13333333333333</v>
      </c>
      <c r="L733" s="17">
        <f t="shared" si="790"/>
        <v>510</v>
      </c>
      <c r="M733" s="17">
        <f t="shared" si="791"/>
        <v>509.8</v>
      </c>
    </row>
    <row r="734" spans="1:13" ht="16.8" thickBot="1" x14ac:dyDescent="0.4">
      <c r="F734" s="17"/>
      <c r="G734" s="17"/>
      <c r="H734" s="17"/>
      <c r="I734" s="17"/>
      <c r="J734" s="17"/>
      <c r="K734" s="17"/>
      <c r="L734" s="17"/>
      <c r="M734" s="17"/>
    </row>
    <row r="735" spans="1:13" ht="16.8" thickBot="1" x14ac:dyDescent="0.4">
      <c r="A735" s="1">
        <f>A725+1</f>
        <v>74</v>
      </c>
      <c r="C735" s="18" t="s">
        <v>2</v>
      </c>
      <c r="E735" s="13">
        <f>E716</f>
        <v>14917</v>
      </c>
      <c r="F735" s="19">
        <v>1</v>
      </c>
      <c r="G735" s="20">
        <v>7</v>
      </c>
      <c r="H735" s="20">
        <v>11</v>
      </c>
      <c r="I735" s="20">
        <v>13</v>
      </c>
      <c r="J735" s="20">
        <v>17</v>
      </c>
      <c r="K735" s="20">
        <v>19</v>
      </c>
      <c r="L735" s="20">
        <v>23</v>
      </c>
      <c r="M735" s="21">
        <v>29</v>
      </c>
    </row>
    <row r="736" spans="1:13" x14ac:dyDescent="0.35">
      <c r="B736" s="2">
        <v>30</v>
      </c>
      <c r="C736" s="2">
        <f>D736+B736</f>
        <v>2221</v>
      </c>
      <c r="D736" s="2">
        <f>C726</f>
        <v>2191</v>
      </c>
      <c r="E736" s="3">
        <f>D736*$E$5</f>
        <v>15337</v>
      </c>
      <c r="F736" s="17">
        <f>(E736-1)/30</f>
        <v>511.2</v>
      </c>
      <c r="G736" s="17">
        <f>($E736-7)/30</f>
        <v>511</v>
      </c>
      <c r="H736" s="17">
        <f>($E736-11)/30</f>
        <v>510.86666666666667</v>
      </c>
      <c r="I736" s="17">
        <f>($E736-13)/30</f>
        <v>510.8</v>
      </c>
      <c r="J736" s="17">
        <f>($E736-17)/30</f>
        <v>510.66666666666669</v>
      </c>
      <c r="K736" s="17">
        <f>($E736-19)/30</f>
        <v>510.6</v>
      </c>
      <c r="L736" s="17">
        <f>($E736-23)/30</f>
        <v>510.46666666666664</v>
      </c>
      <c r="M736" s="17">
        <f>($E736-29)/30</f>
        <v>510.26666666666665</v>
      </c>
    </row>
    <row r="737" spans="1:13" x14ac:dyDescent="0.35">
      <c r="B737" s="2">
        <v>30</v>
      </c>
      <c r="C737" s="2">
        <f t="shared" ref="C737:C743" si="792">D737+B737</f>
        <v>2227</v>
      </c>
      <c r="D737" s="2">
        <f t="shared" ref="D737:D743" si="793">C727</f>
        <v>2197</v>
      </c>
      <c r="E737" s="3">
        <f t="shared" ref="E737:E743" si="794">D737*$E$5</f>
        <v>15379</v>
      </c>
      <c r="F737" s="17">
        <f t="shared" ref="F737:F743" si="795">(E737-1)/30</f>
        <v>512.6</v>
      </c>
      <c r="G737" s="17">
        <f t="shared" ref="G737:G743" si="796">($E737-7)/30</f>
        <v>512.4</v>
      </c>
      <c r="H737" s="17">
        <f t="shared" ref="H737:H743" si="797">($E737-11)/30</f>
        <v>512.26666666666665</v>
      </c>
      <c r="I737" s="17">
        <f t="shared" ref="I737:I743" si="798">($E737-13)/30</f>
        <v>512.20000000000005</v>
      </c>
      <c r="J737" s="17">
        <f t="shared" ref="J737:J743" si="799">($E737-17)/30</f>
        <v>512.06666666666672</v>
      </c>
      <c r="K737" s="17">
        <f t="shared" ref="K737:K743" si="800">($E737-19)/30</f>
        <v>512</v>
      </c>
      <c r="L737" s="17">
        <f t="shared" ref="L737:L743" si="801">($E737-23)/30</f>
        <v>511.86666666666667</v>
      </c>
      <c r="M737" s="17">
        <f t="shared" ref="M737:M743" si="802">($E737-29)/30</f>
        <v>511.66666666666669</v>
      </c>
    </row>
    <row r="738" spans="1:13" x14ac:dyDescent="0.35">
      <c r="B738" s="2">
        <v>30</v>
      </c>
      <c r="C738" s="2">
        <f t="shared" si="792"/>
        <v>2231</v>
      </c>
      <c r="D738" s="2">
        <f t="shared" si="793"/>
        <v>2201</v>
      </c>
      <c r="E738" s="3">
        <f t="shared" si="794"/>
        <v>15407</v>
      </c>
      <c r="F738" s="17">
        <f t="shared" si="795"/>
        <v>513.5333333333333</v>
      </c>
      <c r="G738" s="17">
        <f t="shared" si="796"/>
        <v>513.33333333333337</v>
      </c>
      <c r="H738" s="17">
        <f t="shared" si="797"/>
        <v>513.20000000000005</v>
      </c>
      <c r="I738" s="17">
        <f t="shared" si="798"/>
        <v>513.13333333333333</v>
      </c>
      <c r="J738" s="17">
        <f t="shared" si="799"/>
        <v>513</v>
      </c>
      <c r="K738" s="17">
        <f t="shared" si="800"/>
        <v>512.93333333333328</v>
      </c>
      <c r="L738" s="17">
        <f t="shared" si="801"/>
        <v>512.79999999999995</v>
      </c>
      <c r="M738" s="17">
        <f t="shared" si="802"/>
        <v>512.6</v>
      </c>
    </row>
    <row r="739" spans="1:13" x14ac:dyDescent="0.35">
      <c r="B739" s="2">
        <v>30</v>
      </c>
      <c r="C739" s="2">
        <f t="shared" si="792"/>
        <v>2233</v>
      </c>
      <c r="D739" s="2">
        <f t="shared" si="793"/>
        <v>2203</v>
      </c>
      <c r="E739" s="3">
        <f t="shared" si="794"/>
        <v>15421</v>
      </c>
      <c r="F739" s="17">
        <f t="shared" si="795"/>
        <v>514</v>
      </c>
      <c r="G739" s="17">
        <f t="shared" si="796"/>
        <v>513.79999999999995</v>
      </c>
      <c r="H739" s="17">
        <f t="shared" si="797"/>
        <v>513.66666666666663</v>
      </c>
      <c r="I739" s="17">
        <f t="shared" si="798"/>
        <v>513.6</v>
      </c>
      <c r="J739" s="17">
        <f t="shared" si="799"/>
        <v>513.4666666666667</v>
      </c>
      <c r="K739" s="17">
        <f t="shared" si="800"/>
        <v>513.4</v>
      </c>
      <c r="L739" s="17">
        <f t="shared" si="801"/>
        <v>513.26666666666665</v>
      </c>
      <c r="M739" s="17">
        <f t="shared" si="802"/>
        <v>513.06666666666672</v>
      </c>
    </row>
    <row r="740" spans="1:13" x14ac:dyDescent="0.35">
      <c r="B740" s="2">
        <v>30</v>
      </c>
      <c r="C740" s="2">
        <f t="shared" si="792"/>
        <v>2237</v>
      </c>
      <c r="D740" s="2">
        <f t="shared" si="793"/>
        <v>2207</v>
      </c>
      <c r="E740" s="3">
        <f t="shared" si="794"/>
        <v>15449</v>
      </c>
      <c r="F740" s="17">
        <f t="shared" si="795"/>
        <v>514.93333333333328</v>
      </c>
      <c r="G740" s="17">
        <f t="shared" si="796"/>
        <v>514.73333333333335</v>
      </c>
      <c r="H740" s="17">
        <f t="shared" si="797"/>
        <v>514.6</v>
      </c>
      <c r="I740" s="17">
        <f t="shared" si="798"/>
        <v>514.5333333333333</v>
      </c>
      <c r="J740" s="17">
        <f t="shared" si="799"/>
        <v>514.4</v>
      </c>
      <c r="K740" s="17">
        <f t="shared" si="800"/>
        <v>514.33333333333337</v>
      </c>
      <c r="L740" s="17">
        <f t="shared" si="801"/>
        <v>514.20000000000005</v>
      </c>
      <c r="M740" s="17">
        <f t="shared" si="802"/>
        <v>514</v>
      </c>
    </row>
    <row r="741" spans="1:13" x14ac:dyDescent="0.35">
      <c r="B741" s="2">
        <v>30</v>
      </c>
      <c r="C741" s="2">
        <f t="shared" si="792"/>
        <v>2239</v>
      </c>
      <c r="D741" s="2">
        <f t="shared" si="793"/>
        <v>2209</v>
      </c>
      <c r="E741" s="3">
        <f t="shared" si="794"/>
        <v>15463</v>
      </c>
      <c r="F741" s="17">
        <f t="shared" si="795"/>
        <v>515.4</v>
      </c>
      <c r="G741" s="17">
        <f t="shared" si="796"/>
        <v>515.20000000000005</v>
      </c>
      <c r="H741" s="17">
        <f t="shared" si="797"/>
        <v>515.06666666666672</v>
      </c>
      <c r="I741" s="17">
        <f t="shared" si="798"/>
        <v>515</v>
      </c>
      <c r="J741" s="17">
        <f t="shared" si="799"/>
        <v>514.86666666666667</v>
      </c>
      <c r="K741" s="17">
        <f t="shared" si="800"/>
        <v>514.79999999999995</v>
      </c>
      <c r="L741" s="17">
        <f t="shared" si="801"/>
        <v>514.66666666666663</v>
      </c>
      <c r="M741" s="17">
        <f t="shared" si="802"/>
        <v>514.4666666666667</v>
      </c>
    </row>
    <row r="742" spans="1:13" x14ac:dyDescent="0.35">
      <c r="B742" s="2">
        <v>30</v>
      </c>
      <c r="C742" s="2">
        <f t="shared" si="792"/>
        <v>2243</v>
      </c>
      <c r="D742" s="2">
        <f t="shared" si="793"/>
        <v>2213</v>
      </c>
      <c r="E742" s="3">
        <f t="shared" si="794"/>
        <v>15491</v>
      </c>
      <c r="F742" s="17">
        <f t="shared" si="795"/>
        <v>516.33333333333337</v>
      </c>
      <c r="G742" s="17">
        <f t="shared" si="796"/>
        <v>516.13333333333333</v>
      </c>
      <c r="H742" s="17">
        <f t="shared" si="797"/>
        <v>516</v>
      </c>
      <c r="I742" s="17">
        <f t="shared" si="798"/>
        <v>515.93333333333328</v>
      </c>
      <c r="J742" s="17">
        <f t="shared" si="799"/>
        <v>515.79999999999995</v>
      </c>
      <c r="K742" s="17">
        <f t="shared" si="800"/>
        <v>515.73333333333335</v>
      </c>
      <c r="L742" s="17">
        <f t="shared" si="801"/>
        <v>515.6</v>
      </c>
      <c r="M742" s="17">
        <f t="shared" si="802"/>
        <v>515.4</v>
      </c>
    </row>
    <row r="743" spans="1:13" x14ac:dyDescent="0.35">
      <c r="B743" s="2">
        <v>30</v>
      </c>
      <c r="C743" s="2">
        <f t="shared" si="792"/>
        <v>2249</v>
      </c>
      <c r="D743" s="2">
        <f t="shared" si="793"/>
        <v>2219</v>
      </c>
      <c r="E743" s="3">
        <f t="shared" si="794"/>
        <v>15533</v>
      </c>
      <c r="F743" s="17">
        <f t="shared" si="795"/>
        <v>517.73333333333335</v>
      </c>
      <c r="G743" s="17">
        <f t="shared" si="796"/>
        <v>517.5333333333333</v>
      </c>
      <c r="H743" s="17">
        <f t="shared" si="797"/>
        <v>517.4</v>
      </c>
      <c r="I743" s="17">
        <f t="shared" si="798"/>
        <v>517.33333333333337</v>
      </c>
      <c r="J743" s="17">
        <f t="shared" si="799"/>
        <v>517.20000000000005</v>
      </c>
      <c r="K743" s="17">
        <f t="shared" si="800"/>
        <v>517.13333333333333</v>
      </c>
      <c r="L743" s="17">
        <f t="shared" si="801"/>
        <v>517</v>
      </c>
      <c r="M743" s="17">
        <f t="shared" si="802"/>
        <v>516.79999999999995</v>
      </c>
    </row>
    <row r="744" spans="1:13" ht="16.8" thickBot="1" x14ac:dyDescent="0.4">
      <c r="F744" s="17"/>
      <c r="G744" s="17"/>
      <c r="H744" s="17"/>
      <c r="I744" s="17"/>
      <c r="J744" s="17"/>
      <c r="K744" s="17"/>
      <c r="L744" s="17"/>
      <c r="M744" s="17"/>
    </row>
    <row r="745" spans="1:13" ht="16.8" thickBot="1" x14ac:dyDescent="0.4">
      <c r="A745" s="1">
        <f>A735+1</f>
        <v>75</v>
      </c>
      <c r="C745" s="18" t="s">
        <v>2</v>
      </c>
      <c r="E745" s="13">
        <f>E726</f>
        <v>15127</v>
      </c>
      <c r="F745" s="19">
        <v>1</v>
      </c>
      <c r="G745" s="20">
        <v>7</v>
      </c>
      <c r="H745" s="20">
        <v>11</v>
      </c>
      <c r="I745" s="20">
        <v>13</v>
      </c>
      <c r="J745" s="20">
        <v>17</v>
      </c>
      <c r="K745" s="20">
        <v>19</v>
      </c>
      <c r="L745" s="20">
        <v>23</v>
      </c>
      <c r="M745" s="21">
        <v>29</v>
      </c>
    </row>
    <row r="746" spans="1:13" x14ac:dyDescent="0.35">
      <c r="B746" s="2">
        <v>30</v>
      </c>
      <c r="C746" s="2">
        <f>D746+B746</f>
        <v>2251</v>
      </c>
      <c r="D746" s="2">
        <f>C736</f>
        <v>2221</v>
      </c>
      <c r="E746" s="3">
        <f>D746*$E$5</f>
        <v>15547</v>
      </c>
      <c r="F746" s="17">
        <f>(E746-1)/30</f>
        <v>518.20000000000005</v>
      </c>
      <c r="G746" s="17">
        <f>($E746-7)/30</f>
        <v>518</v>
      </c>
      <c r="H746" s="17">
        <f>($E746-11)/30</f>
        <v>517.86666666666667</v>
      </c>
      <c r="I746" s="17">
        <f>($E746-13)/30</f>
        <v>517.79999999999995</v>
      </c>
      <c r="J746" s="17">
        <f>($E746-17)/30</f>
        <v>517.66666666666663</v>
      </c>
      <c r="K746" s="17">
        <f>($E746-19)/30</f>
        <v>517.6</v>
      </c>
      <c r="L746" s="17">
        <f>($E746-23)/30</f>
        <v>517.4666666666667</v>
      </c>
      <c r="M746" s="17">
        <f>($E746-29)/30</f>
        <v>517.26666666666665</v>
      </c>
    </row>
    <row r="747" spans="1:13" x14ac:dyDescent="0.35">
      <c r="B747" s="2">
        <v>30</v>
      </c>
      <c r="C747" s="2">
        <f t="shared" ref="C747:C753" si="803">D747+B747</f>
        <v>2257</v>
      </c>
      <c r="D747" s="2">
        <f t="shared" ref="D747:D753" si="804">C737</f>
        <v>2227</v>
      </c>
      <c r="E747" s="3">
        <f t="shared" ref="E747:E753" si="805">D747*$E$5</f>
        <v>15589</v>
      </c>
      <c r="F747" s="17">
        <f t="shared" ref="F747:F753" si="806">(E747-1)/30</f>
        <v>519.6</v>
      </c>
      <c r="G747" s="17">
        <f t="shared" ref="G747:G753" si="807">($E747-7)/30</f>
        <v>519.4</v>
      </c>
      <c r="H747" s="17">
        <f t="shared" ref="H747:H753" si="808">($E747-11)/30</f>
        <v>519.26666666666665</v>
      </c>
      <c r="I747" s="17">
        <f t="shared" ref="I747:I753" si="809">($E747-13)/30</f>
        <v>519.20000000000005</v>
      </c>
      <c r="J747" s="17">
        <f t="shared" ref="J747:J753" si="810">($E747-17)/30</f>
        <v>519.06666666666672</v>
      </c>
      <c r="K747" s="17">
        <f t="shared" ref="K747:K753" si="811">($E747-19)/30</f>
        <v>519</v>
      </c>
      <c r="L747" s="17">
        <f t="shared" ref="L747:L753" si="812">($E747-23)/30</f>
        <v>518.86666666666667</v>
      </c>
      <c r="M747" s="17">
        <f t="shared" ref="M747:M753" si="813">($E747-29)/30</f>
        <v>518.66666666666663</v>
      </c>
    </row>
    <row r="748" spans="1:13" x14ac:dyDescent="0.35">
      <c r="B748" s="2">
        <v>30</v>
      </c>
      <c r="C748" s="2">
        <f t="shared" si="803"/>
        <v>2261</v>
      </c>
      <c r="D748" s="2">
        <f t="shared" si="804"/>
        <v>2231</v>
      </c>
      <c r="E748" s="3">
        <f t="shared" si="805"/>
        <v>15617</v>
      </c>
      <c r="F748" s="17">
        <f t="shared" si="806"/>
        <v>520.5333333333333</v>
      </c>
      <c r="G748" s="17">
        <f t="shared" si="807"/>
        <v>520.33333333333337</v>
      </c>
      <c r="H748" s="17">
        <f t="shared" si="808"/>
        <v>520.20000000000005</v>
      </c>
      <c r="I748" s="17">
        <f t="shared" si="809"/>
        <v>520.13333333333333</v>
      </c>
      <c r="J748" s="17">
        <f t="shared" si="810"/>
        <v>520</v>
      </c>
      <c r="K748" s="17">
        <f t="shared" si="811"/>
        <v>519.93333333333328</v>
      </c>
      <c r="L748" s="17">
        <f t="shared" si="812"/>
        <v>519.79999999999995</v>
      </c>
      <c r="M748" s="17">
        <f t="shared" si="813"/>
        <v>519.6</v>
      </c>
    </row>
    <row r="749" spans="1:13" x14ac:dyDescent="0.35">
      <c r="B749" s="2">
        <v>30</v>
      </c>
      <c r="C749" s="2">
        <f t="shared" si="803"/>
        <v>2263</v>
      </c>
      <c r="D749" s="2">
        <f t="shared" si="804"/>
        <v>2233</v>
      </c>
      <c r="E749" s="3">
        <f t="shared" si="805"/>
        <v>15631</v>
      </c>
      <c r="F749" s="17">
        <f t="shared" si="806"/>
        <v>521</v>
      </c>
      <c r="G749" s="17">
        <f t="shared" si="807"/>
        <v>520.79999999999995</v>
      </c>
      <c r="H749" s="17">
        <f t="shared" si="808"/>
        <v>520.66666666666663</v>
      </c>
      <c r="I749" s="17">
        <f t="shared" si="809"/>
        <v>520.6</v>
      </c>
      <c r="J749" s="17">
        <f t="shared" si="810"/>
        <v>520.4666666666667</v>
      </c>
      <c r="K749" s="17">
        <f t="shared" si="811"/>
        <v>520.4</v>
      </c>
      <c r="L749" s="17">
        <f t="shared" si="812"/>
        <v>520.26666666666665</v>
      </c>
      <c r="M749" s="17">
        <f t="shared" si="813"/>
        <v>520.06666666666672</v>
      </c>
    </row>
    <row r="750" spans="1:13" x14ac:dyDescent="0.35">
      <c r="B750" s="2">
        <v>30</v>
      </c>
      <c r="C750" s="2">
        <f t="shared" si="803"/>
        <v>2267</v>
      </c>
      <c r="D750" s="2">
        <f t="shared" si="804"/>
        <v>2237</v>
      </c>
      <c r="E750" s="3">
        <f t="shared" si="805"/>
        <v>15659</v>
      </c>
      <c r="F750" s="17">
        <f t="shared" si="806"/>
        <v>521.93333333333328</v>
      </c>
      <c r="G750" s="17">
        <f t="shared" si="807"/>
        <v>521.73333333333335</v>
      </c>
      <c r="H750" s="17">
        <f t="shared" si="808"/>
        <v>521.6</v>
      </c>
      <c r="I750" s="17">
        <f t="shared" si="809"/>
        <v>521.5333333333333</v>
      </c>
      <c r="J750" s="17">
        <f t="shared" si="810"/>
        <v>521.4</v>
      </c>
      <c r="K750" s="17">
        <f t="shared" si="811"/>
        <v>521.33333333333337</v>
      </c>
      <c r="L750" s="17">
        <f t="shared" si="812"/>
        <v>521.20000000000005</v>
      </c>
      <c r="M750" s="17">
        <f t="shared" si="813"/>
        <v>521</v>
      </c>
    </row>
    <row r="751" spans="1:13" x14ac:dyDescent="0.35">
      <c r="B751" s="2">
        <v>30</v>
      </c>
      <c r="C751" s="2">
        <f t="shared" si="803"/>
        <v>2269</v>
      </c>
      <c r="D751" s="2">
        <f t="shared" si="804"/>
        <v>2239</v>
      </c>
      <c r="E751" s="3">
        <f t="shared" si="805"/>
        <v>15673</v>
      </c>
      <c r="F751" s="17">
        <f t="shared" si="806"/>
        <v>522.4</v>
      </c>
      <c r="G751" s="17">
        <f t="shared" si="807"/>
        <v>522.20000000000005</v>
      </c>
      <c r="H751" s="17">
        <f t="shared" si="808"/>
        <v>522.06666666666672</v>
      </c>
      <c r="I751" s="17">
        <f t="shared" si="809"/>
        <v>522</v>
      </c>
      <c r="J751" s="17">
        <f t="shared" si="810"/>
        <v>521.86666666666667</v>
      </c>
      <c r="K751" s="17">
        <f t="shared" si="811"/>
        <v>521.79999999999995</v>
      </c>
      <c r="L751" s="17">
        <f t="shared" si="812"/>
        <v>521.66666666666663</v>
      </c>
      <c r="M751" s="17">
        <f t="shared" si="813"/>
        <v>521.4666666666667</v>
      </c>
    </row>
    <row r="752" spans="1:13" x14ac:dyDescent="0.35">
      <c r="B752" s="2">
        <v>30</v>
      </c>
      <c r="C752" s="2">
        <f t="shared" si="803"/>
        <v>2273</v>
      </c>
      <c r="D752" s="2">
        <f t="shared" si="804"/>
        <v>2243</v>
      </c>
      <c r="E752" s="3">
        <f t="shared" si="805"/>
        <v>15701</v>
      </c>
      <c r="F752" s="17">
        <f t="shared" si="806"/>
        <v>523.33333333333337</v>
      </c>
      <c r="G752" s="17">
        <f t="shared" si="807"/>
        <v>523.13333333333333</v>
      </c>
      <c r="H752" s="17">
        <f t="shared" si="808"/>
        <v>523</v>
      </c>
      <c r="I752" s="17">
        <f t="shared" si="809"/>
        <v>522.93333333333328</v>
      </c>
      <c r="J752" s="17">
        <f t="shared" si="810"/>
        <v>522.79999999999995</v>
      </c>
      <c r="K752" s="17">
        <f t="shared" si="811"/>
        <v>522.73333333333335</v>
      </c>
      <c r="L752" s="17">
        <f t="shared" si="812"/>
        <v>522.6</v>
      </c>
      <c r="M752" s="17">
        <f t="shared" si="813"/>
        <v>522.4</v>
      </c>
    </row>
    <row r="753" spans="1:13" x14ac:dyDescent="0.35">
      <c r="B753" s="2">
        <v>30</v>
      </c>
      <c r="C753" s="2">
        <f t="shared" si="803"/>
        <v>2279</v>
      </c>
      <c r="D753" s="2">
        <f t="shared" si="804"/>
        <v>2249</v>
      </c>
      <c r="E753" s="3">
        <f t="shared" si="805"/>
        <v>15743</v>
      </c>
      <c r="F753" s="17">
        <f t="shared" si="806"/>
        <v>524.73333333333335</v>
      </c>
      <c r="G753" s="17">
        <f t="shared" si="807"/>
        <v>524.5333333333333</v>
      </c>
      <c r="H753" s="17">
        <f t="shared" si="808"/>
        <v>524.4</v>
      </c>
      <c r="I753" s="17">
        <f t="shared" si="809"/>
        <v>524.33333333333337</v>
      </c>
      <c r="J753" s="17">
        <f t="shared" si="810"/>
        <v>524.20000000000005</v>
      </c>
      <c r="K753" s="17">
        <f t="shared" si="811"/>
        <v>524.13333333333333</v>
      </c>
      <c r="L753" s="17">
        <f t="shared" si="812"/>
        <v>524</v>
      </c>
      <c r="M753" s="17">
        <f t="shared" si="813"/>
        <v>523.79999999999995</v>
      </c>
    </row>
    <row r="754" spans="1:13" ht="16.8" thickBot="1" x14ac:dyDescent="0.4">
      <c r="F754" s="17"/>
      <c r="G754" s="17"/>
      <c r="H754" s="17"/>
      <c r="I754" s="17"/>
      <c r="J754" s="17"/>
      <c r="K754" s="17"/>
      <c r="L754" s="17"/>
      <c r="M754" s="17"/>
    </row>
    <row r="755" spans="1:13" ht="16.8" thickBot="1" x14ac:dyDescent="0.4">
      <c r="A755" s="1">
        <f>A745+1</f>
        <v>76</v>
      </c>
      <c r="C755" s="18" t="s">
        <v>2</v>
      </c>
      <c r="E755" s="13">
        <f>E736</f>
        <v>15337</v>
      </c>
      <c r="F755" s="19">
        <v>1</v>
      </c>
      <c r="G755" s="20">
        <v>7</v>
      </c>
      <c r="H755" s="20">
        <v>11</v>
      </c>
      <c r="I755" s="20">
        <v>13</v>
      </c>
      <c r="J755" s="20">
        <v>17</v>
      </c>
      <c r="K755" s="20">
        <v>19</v>
      </c>
      <c r="L755" s="20">
        <v>23</v>
      </c>
      <c r="M755" s="21">
        <v>29</v>
      </c>
    </row>
    <row r="756" spans="1:13" x14ac:dyDescent="0.35">
      <c r="B756" s="2">
        <v>30</v>
      </c>
      <c r="C756" s="2">
        <f>D756+B756</f>
        <v>2281</v>
      </c>
      <c r="D756" s="2">
        <f>C746</f>
        <v>2251</v>
      </c>
      <c r="E756" s="3">
        <f>D756*$E$5</f>
        <v>15757</v>
      </c>
      <c r="F756" s="17">
        <f>(E756-1)/30</f>
        <v>525.20000000000005</v>
      </c>
      <c r="G756" s="17">
        <f>($E756-7)/30</f>
        <v>525</v>
      </c>
      <c r="H756" s="17">
        <f>($E756-11)/30</f>
        <v>524.86666666666667</v>
      </c>
      <c r="I756" s="17">
        <f>($E756-13)/30</f>
        <v>524.79999999999995</v>
      </c>
      <c r="J756" s="17">
        <f>($E756-17)/30</f>
        <v>524.66666666666663</v>
      </c>
      <c r="K756" s="17">
        <f>($E756-19)/30</f>
        <v>524.6</v>
      </c>
      <c r="L756" s="17">
        <f>($E756-23)/30</f>
        <v>524.4666666666667</v>
      </c>
      <c r="M756" s="17">
        <f>($E756-29)/30</f>
        <v>524.26666666666665</v>
      </c>
    </row>
    <row r="757" spans="1:13" x14ac:dyDescent="0.35">
      <c r="B757" s="2">
        <v>30</v>
      </c>
      <c r="C757" s="2">
        <f t="shared" ref="C757:C763" si="814">D757+B757</f>
        <v>2287</v>
      </c>
      <c r="D757" s="2">
        <f t="shared" ref="D757:D763" si="815">C747</f>
        <v>2257</v>
      </c>
      <c r="E757" s="3">
        <f t="shared" ref="E757:E763" si="816">D757*$E$5</f>
        <v>15799</v>
      </c>
      <c r="F757" s="17">
        <f t="shared" ref="F757:F763" si="817">(E757-1)/30</f>
        <v>526.6</v>
      </c>
      <c r="G757" s="17">
        <f t="shared" ref="G757:G763" si="818">($E757-7)/30</f>
        <v>526.4</v>
      </c>
      <c r="H757" s="17">
        <f t="shared" ref="H757:H763" si="819">($E757-11)/30</f>
        <v>526.26666666666665</v>
      </c>
      <c r="I757" s="17">
        <f t="shared" ref="I757:I763" si="820">($E757-13)/30</f>
        <v>526.20000000000005</v>
      </c>
      <c r="J757" s="17">
        <f t="shared" ref="J757:J763" si="821">($E757-17)/30</f>
        <v>526.06666666666672</v>
      </c>
      <c r="K757" s="17">
        <f t="shared" ref="K757:K763" si="822">($E757-19)/30</f>
        <v>526</v>
      </c>
      <c r="L757" s="17">
        <f t="shared" ref="L757:L763" si="823">($E757-23)/30</f>
        <v>525.86666666666667</v>
      </c>
      <c r="M757" s="17">
        <f t="shared" ref="M757:M763" si="824">($E757-29)/30</f>
        <v>525.66666666666663</v>
      </c>
    </row>
    <row r="758" spans="1:13" x14ac:dyDescent="0.35">
      <c r="B758" s="2">
        <v>30</v>
      </c>
      <c r="C758" s="2">
        <f t="shared" si="814"/>
        <v>2291</v>
      </c>
      <c r="D758" s="2">
        <f t="shared" si="815"/>
        <v>2261</v>
      </c>
      <c r="E758" s="3">
        <f t="shared" si="816"/>
        <v>15827</v>
      </c>
      <c r="F758" s="17">
        <f t="shared" si="817"/>
        <v>527.5333333333333</v>
      </c>
      <c r="G758" s="17">
        <f t="shared" si="818"/>
        <v>527.33333333333337</v>
      </c>
      <c r="H758" s="17">
        <f t="shared" si="819"/>
        <v>527.20000000000005</v>
      </c>
      <c r="I758" s="17">
        <f t="shared" si="820"/>
        <v>527.13333333333333</v>
      </c>
      <c r="J758" s="17">
        <f t="shared" si="821"/>
        <v>527</v>
      </c>
      <c r="K758" s="17">
        <f t="shared" si="822"/>
        <v>526.93333333333328</v>
      </c>
      <c r="L758" s="17">
        <f t="shared" si="823"/>
        <v>526.79999999999995</v>
      </c>
      <c r="M758" s="17">
        <f t="shared" si="824"/>
        <v>526.6</v>
      </c>
    </row>
    <row r="759" spans="1:13" x14ac:dyDescent="0.35">
      <c r="B759" s="2">
        <v>30</v>
      </c>
      <c r="C759" s="2">
        <f t="shared" si="814"/>
        <v>2293</v>
      </c>
      <c r="D759" s="2">
        <f t="shared" si="815"/>
        <v>2263</v>
      </c>
      <c r="E759" s="3">
        <f t="shared" si="816"/>
        <v>15841</v>
      </c>
      <c r="F759" s="17">
        <f t="shared" si="817"/>
        <v>528</v>
      </c>
      <c r="G759" s="17">
        <f t="shared" si="818"/>
        <v>527.79999999999995</v>
      </c>
      <c r="H759" s="17">
        <f t="shared" si="819"/>
        <v>527.66666666666663</v>
      </c>
      <c r="I759" s="17">
        <f t="shared" si="820"/>
        <v>527.6</v>
      </c>
      <c r="J759" s="17">
        <f t="shared" si="821"/>
        <v>527.4666666666667</v>
      </c>
      <c r="K759" s="17">
        <f t="shared" si="822"/>
        <v>527.4</v>
      </c>
      <c r="L759" s="17">
        <f t="shared" si="823"/>
        <v>527.26666666666665</v>
      </c>
      <c r="M759" s="17">
        <f t="shared" si="824"/>
        <v>527.06666666666672</v>
      </c>
    </row>
    <row r="760" spans="1:13" x14ac:dyDescent="0.35">
      <c r="B760" s="2">
        <v>30</v>
      </c>
      <c r="C760" s="2">
        <f t="shared" si="814"/>
        <v>2297</v>
      </c>
      <c r="D760" s="2">
        <f t="shared" si="815"/>
        <v>2267</v>
      </c>
      <c r="E760" s="3">
        <f t="shared" si="816"/>
        <v>15869</v>
      </c>
      <c r="F760" s="17">
        <f t="shared" si="817"/>
        <v>528.93333333333328</v>
      </c>
      <c r="G760" s="17">
        <f t="shared" si="818"/>
        <v>528.73333333333335</v>
      </c>
      <c r="H760" s="17">
        <f t="shared" si="819"/>
        <v>528.6</v>
      </c>
      <c r="I760" s="17">
        <f t="shared" si="820"/>
        <v>528.5333333333333</v>
      </c>
      <c r="J760" s="17">
        <f t="shared" si="821"/>
        <v>528.4</v>
      </c>
      <c r="K760" s="17">
        <f t="shared" si="822"/>
        <v>528.33333333333337</v>
      </c>
      <c r="L760" s="17">
        <f t="shared" si="823"/>
        <v>528.20000000000005</v>
      </c>
      <c r="M760" s="17">
        <f t="shared" si="824"/>
        <v>528</v>
      </c>
    </row>
    <row r="761" spans="1:13" x14ac:dyDescent="0.35">
      <c r="B761" s="2">
        <v>30</v>
      </c>
      <c r="C761" s="2">
        <f t="shared" si="814"/>
        <v>2299</v>
      </c>
      <c r="D761" s="2">
        <f t="shared" si="815"/>
        <v>2269</v>
      </c>
      <c r="E761" s="3">
        <f t="shared" si="816"/>
        <v>15883</v>
      </c>
      <c r="F761" s="17">
        <f t="shared" si="817"/>
        <v>529.4</v>
      </c>
      <c r="G761" s="17">
        <f t="shared" si="818"/>
        <v>529.20000000000005</v>
      </c>
      <c r="H761" s="17">
        <f t="shared" si="819"/>
        <v>529.06666666666672</v>
      </c>
      <c r="I761" s="17">
        <f t="shared" si="820"/>
        <v>529</v>
      </c>
      <c r="J761" s="17">
        <f t="shared" si="821"/>
        <v>528.86666666666667</v>
      </c>
      <c r="K761" s="17">
        <f t="shared" si="822"/>
        <v>528.79999999999995</v>
      </c>
      <c r="L761" s="17">
        <f t="shared" si="823"/>
        <v>528.66666666666663</v>
      </c>
      <c r="M761" s="17">
        <f t="shared" si="824"/>
        <v>528.4666666666667</v>
      </c>
    </row>
    <row r="762" spans="1:13" x14ac:dyDescent="0.35">
      <c r="B762" s="2">
        <v>30</v>
      </c>
      <c r="C762" s="2">
        <f t="shared" si="814"/>
        <v>2303</v>
      </c>
      <c r="D762" s="2">
        <f t="shared" si="815"/>
        <v>2273</v>
      </c>
      <c r="E762" s="3">
        <f t="shared" si="816"/>
        <v>15911</v>
      </c>
      <c r="F762" s="17">
        <f t="shared" si="817"/>
        <v>530.33333333333337</v>
      </c>
      <c r="G762" s="17">
        <f t="shared" si="818"/>
        <v>530.13333333333333</v>
      </c>
      <c r="H762" s="17">
        <f t="shared" si="819"/>
        <v>530</v>
      </c>
      <c r="I762" s="17">
        <f t="shared" si="820"/>
        <v>529.93333333333328</v>
      </c>
      <c r="J762" s="17">
        <f t="shared" si="821"/>
        <v>529.79999999999995</v>
      </c>
      <c r="K762" s="17">
        <f t="shared" si="822"/>
        <v>529.73333333333335</v>
      </c>
      <c r="L762" s="17">
        <f t="shared" si="823"/>
        <v>529.6</v>
      </c>
      <c r="M762" s="17">
        <f t="shared" si="824"/>
        <v>529.4</v>
      </c>
    </row>
    <row r="763" spans="1:13" x14ac:dyDescent="0.35">
      <c r="B763" s="2">
        <v>30</v>
      </c>
      <c r="C763" s="2">
        <f t="shared" si="814"/>
        <v>2309</v>
      </c>
      <c r="D763" s="2">
        <f t="shared" si="815"/>
        <v>2279</v>
      </c>
      <c r="E763" s="3">
        <f t="shared" si="816"/>
        <v>15953</v>
      </c>
      <c r="F763" s="17">
        <f t="shared" si="817"/>
        <v>531.73333333333335</v>
      </c>
      <c r="G763" s="17">
        <f t="shared" si="818"/>
        <v>531.5333333333333</v>
      </c>
      <c r="H763" s="17">
        <f t="shared" si="819"/>
        <v>531.4</v>
      </c>
      <c r="I763" s="17">
        <f t="shared" si="820"/>
        <v>531.33333333333337</v>
      </c>
      <c r="J763" s="17">
        <f t="shared" si="821"/>
        <v>531.20000000000005</v>
      </c>
      <c r="K763" s="17">
        <f t="shared" si="822"/>
        <v>531.13333333333333</v>
      </c>
      <c r="L763" s="17">
        <f t="shared" si="823"/>
        <v>531</v>
      </c>
      <c r="M763" s="17">
        <f t="shared" si="824"/>
        <v>530.79999999999995</v>
      </c>
    </row>
    <row r="764" spans="1:13" ht="16.8" thickBot="1" x14ac:dyDescent="0.4">
      <c r="F764" s="17"/>
      <c r="G764" s="17"/>
      <c r="H764" s="17"/>
      <c r="I764" s="17"/>
      <c r="J764" s="17"/>
      <c r="K764" s="17"/>
      <c r="L764" s="17"/>
      <c r="M764" s="17"/>
    </row>
    <row r="765" spans="1:13" ht="16.8" thickBot="1" x14ac:dyDescent="0.4">
      <c r="A765" s="1">
        <f>A755+1</f>
        <v>77</v>
      </c>
      <c r="C765" s="18" t="s">
        <v>2</v>
      </c>
      <c r="E765" s="13">
        <f>E746</f>
        <v>15547</v>
      </c>
      <c r="F765" s="19">
        <v>1</v>
      </c>
      <c r="G765" s="20">
        <v>7</v>
      </c>
      <c r="H765" s="20">
        <v>11</v>
      </c>
      <c r="I765" s="20">
        <v>13</v>
      </c>
      <c r="J765" s="20">
        <v>17</v>
      </c>
      <c r="K765" s="20">
        <v>19</v>
      </c>
      <c r="L765" s="20">
        <v>23</v>
      </c>
      <c r="M765" s="21">
        <v>29</v>
      </c>
    </row>
    <row r="766" spans="1:13" x14ac:dyDescent="0.35">
      <c r="B766" s="2">
        <v>30</v>
      </c>
      <c r="C766" s="2">
        <f>D766+B766</f>
        <v>2311</v>
      </c>
      <c r="D766" s="2">
        <f>C756</f>
        <v>2281</v>
      </c>
      <c r="E766" s="3">
        <f>D766*$E$5</f>
        <v>15967</v>
      </c>
      <c r="F766" s="17">
        <f>(E766-1)/30</f>
        <v>532.20000000000005</v>
      </c>
      <c r="G766" s="17">
        <f>($E766-7)/30</f>
        <v>532</v>
      </c>
      <c r="H766" s="17">
        <f>($E766-11)/30</f>
        <v>531.86666666666667</v>
      </c>
      <c r="I766" s="17">
        <f>($E766-13)/30</f>
        <v>531.79999999999995</v>
      </c>
      <c r="J766" s="17">
        <f>($E766-17)/30</f>
        <v>531.66666666666663</v>
      </c>
      <c r="K766" s="17">
        <f>($E766-19)/30</f>
        <v>531.6</v>
      </c>
      <c r="L766" s="17">
        <f>($E766-23)/30</f>
        <v>531.4666666666667</v>
      </c>
      <c r="M766" s="17">
        <f>($E766-29)/30</f>
        <v>531.26666666666665</v>
      </c>
    </row>
    <row r="767" spans="1:13" x14ac:dyDescent="0.35">
      <c r="B767" s="2">
        <v>30</v>
      </c>
      <c r="C767" s="2">
        <f t="shared" ref="C767:C773" si="825">D767+B767</f>
        <v>2317</v>
      </c>
      <c r="D767" s="2">
        <f t="shared" ref="D767:D773" si="826">C757</f>
        <v>2287</v>
      </c>
      <c r="E767" s="3">
        <f t="shared" ref="E767:E773" si="827">D767*$E$5</f>
        <v>16009</v>
      </c>
      <c r="F767" s="17">
        <f t="shared" ref="F767:F773" si="828">(E767-1)/30</f>
        <v>533.6</v>
      </c>
      <c r="G767" s="17">
        <f t="shared" ref="G767:G773" si="829">($E767-7)/30</f>
        <v>533.4</v>
      </c>
      <c r="H767" s="17">
        <f t="shared" ref="H767:H773" si="830">($E767-11)/30</f>
        <v>533.26666666666665</v>
      </c>
      <c r="I767" s="17">
        <f t="shared" ref="I767:I773" si="831">($E767-13)/30</f>
        <v>533.20000000000005</v>
      </c>
      <c r="J767" s="17">
        <f t="shared" ref="J767:J773" si="832">($E767-17)/30</f>
        <v>533.06666666666672</v>
      </c>
      <c r="K767" s="17">
        <f t="shared" ref="K767:K773" si="833">($E767-19)/30</f>
        <v>533</v>
      </c>
      <c r="L767" s="17">
        <f t="shared" ref="L767:L773" si="834">($E767-23)/30</f>
        <v>532.86666666666667</v>
      </c>
      <c r="M767" s="17">
        <f t="shared" ref="M767:M773" si="835">($E767-29)/30</f>
        <v>532.66666666666663</v>
      </c>
    </row>
    <row r="768" spans="1:13" x14ac:dyDescent="0.35">
      <c r="B768" s="2">
        <v>30</v>
      </c>
      <c r="C768" s="2">
        <f t="shared" si="825"/>
        <v>2321</v>
      </c>
      <c r="D768" s="2">
        <f t="shared" si="826"/>
        <v>2291</v>
      </c>
      <c r="E768" s="3">
        <f t="shared" si="827"/>
        <v>16037</v>
      </c>
      <c r="F768" s="17">
        <f t="shared" si="828"/>
        <v>534.5333333333333</v>
      </c>
      <c r="G768" s="17">
        <f t="shared" si="829"/>
        <v>534.33333333333337</v>
      </c>
      <c r="H768" s="17">
        <f t="shared" si="830"/>
        <v>534.20000000000005</v>
      </c>
      <c r="I768" s="17">
        <f t="shared" si="831"/>
        <v>534.13333333333333</v>
      </c>
      <c r="J768" s="17">
        <f t="shared" si="832"/>
        <v>534</v>
      </c>
      <c r="K768" s="17">
        <f t="shared" si="833"/>
        <v>533.93333333333328</v>
      </c>
      <c r="L768" s="17">
        <f t="shared" si="834"/>
        <v>533.79999999999995</v>
      </c>
      <c r="M768" s="17">
        <f t="shared" si="835"/>
        <v>533.6</v>
      </c>
    </row>
    <row r="769" spans="1:13" x14ac:dyDescent="0.35">
      <c r="B769" s="2">
        <v>30</v>
      </c>
      <c r="C769" s="2">
        <f t="shared" si="825"/>
        <v>2323</v>
      </c>
      <c r="D769" s="2">
        <f t="shared" si="826"/>
        <v>2293</v>
      </c>
      <c r="E769" s="3">
        <f t="shared" si="827"/>
        <v>16051</v>
      </c>
      <c r="F769" s="17">
        <f t="shared" si="828"/>
        <v>535</v>
      </c>
      <c r="G769" s="17">
        <f t="shared" si="829"/>
        <v>534.79999999999995</v>
      </c>
      <c r="H769" s="17">
        <f t="shared" si="830"/>
        <v>534.66666666666663</v>
      </c>
      <c r="I769" s="17">
        <f t="shared" si="831"/>
        <v>534.6</v>
      </c>
      <c r="J769" s="17">
        <f t="shared" si="832"/>
        <v>534.4666666666667</v>
      </c>
      <c r="K769" s="17">
        <f t="shared" si="833"/>
        <v>534.4</v>
      </c>
      <c r="L769" s="17">
        <f t="shared" si="834"/>
        <v>534.26666666666665</v>
      </c>
      <c r="M769" s="17">
        <f t="shared" si="835"/>
        <v>534.06666666666672</v>
      </c>
    </row>
    <row r="770" spans="1:13" x14ac:dyDescent="0.35">
      <c r="B770" s="2">
        <v>30</v>
      </c>
      <c r="C770" s="2">
        <f t="shared" si="825"/>
        <v>2327</v>
      </c>
      <c r="D770" s="2">
        <f t="shared" si="826"/>
        <v>2297</v>
      </c>
      <c r="E770" s="3">
        <f t="shared" si="827"/>
        <v>16079</v>
      </c>
      <c r="F770" s="17">
        <f t="shared" si="828"/>
        <v>535.93333333333328</v>
      </c>
      <c r="G770" s="17">
        <f t="shared" si="829"/>
        <v>535.73333333333335</v>
      </c>
      <c r="H770" s="17">
        <f t="shared" si="830"/>
        <v>535.6</v>
      </c>
      <c r="I770" s="17">
        <f t="shared" si="831"/>
        <v>535.5333333333333</v>
      </c>
      <c r="J770" s="17">
        <f t="shared" si="832"/>
        <v>535.4</v>
      </c>
      <c r="K770" s="17">
        <f t="shared" si="833"/>
        <v>535.33333333333337</v>
      </c>
      <c r="L770" s="17">
        <f t="shared" si="834"/>
        <v>535.20000000000005</v>
      </c>
      <c r="M770" s="17">
        <f t="shared" si="835"/>
        <v>535</v>
      </c>
    </row>
    <row r="771" spans="1:13" x14ac:dyDescent="0.35">
      <c r="B771" s="2">
        <v>30</v>
      </c>
      <c r="C771" s="2">
        <f t="shared" si="825"/>
        <v>2329</v>
      </c>
      <c r="D771" s="2">
        <f t="shared" si="826"/>
        <v>2299</v>
      </c>
      <c r="E771" s="3">
        <f t="shared" si="827"/>
        <v>16093</v>
      </c>
      <c r="F771" s="17">
        <f t="shared" si="828"/>
        <v>536.4</v>
      </c>
      <c r="G771" s="17">
        <f t="shared" si="829"/>
        <v>536.20000000000005</v>
      </c>
      <c r="H771" s="17">
        <f t="shared" si="830"/>
        <v>536.06666666666672</v>
      </c>
      <c r="I771" s="17">
        <f t="shared" si="831"/>
        <v>536</v>
      </c>
      <c r="J771" s="17">
        <f t="shared" si="832"/>
        <v>535.86666666666667</v>
      </c>
      <c r="K771" s="17">
        <f t="shared" si="833"/>
        <v>535.79999999999995</v>
      </c>
      <c r="L771" s="17">
        <f t="shared" si="834"/>
        <v>535.66666666666663</v>
      </c>
      <c r="M771" s="17">
        <f t="shared" si="835"/>
        <v>535.4666666666667</v>
      </c>
    </row>
    <row r="772" spans="1:13" x14ac:dyDescent="0.35">
      <c r="B772" s="2">
        <v>30</v>
      </c>
      <c r="C772" s="2">
        <f t="shared" si="825"/>
        <v>2333</v>
      </c>
      <c r="D772" s="2">
        <f t="shared" si="826"/>
        <v>2303</v>
      </c>
      <c r="E772" s="3">
        <f t="shared" si="827"/>
        <v>16121</v>
      </c>
      <c r="F772" s="17">
        <f t="shared" si="828"/>
        <v>537.33333333333337</v>
      </c>
      <c r="G772" s="17">
        <f t="shared" si="829"/>
        <v>537.13333333333333</v>
      </c>
      <c r="H772" s="17">
        <f t="shared" si="830"/>
        <v>537</v>
      </c>
      <c r="I772" s="17">
        <f t="shared" si="831"/>
        <v>536.93333333333328</v>
      </c>
      <c r="J772" s="17">
        <f t="shared" si="832"/>
        <v>536.79999999999995</v>
      </c>
      <c r="K772" s="17">
        <f t="shared" si="833"/>
        <v>536.73333333333335</v>
      </c>
      <c r="L772" s="17">
        <f t="shared" si="834"/>
        <v>536.6</v>
      </c>
      <c r="M772" s="17">
        <f t="shared" si="835"/>
        <v>536.4</v>
      </c>
    </row>
    <row r="773" spans="1:13" x14ac:dyDescent="0.35">
      <c r="B773" s="2">
        <v>30</v>
      </c>
      <c r="C773" s="2">
        <f t="shared" si="825"/>
        <v>2339</v>
      </c>
      <c r="D773" s="2">
        <f t="shared" si="826"/>
        <v>2309</v>
      </c>
      <c r="E773" s="3">
        <f t="shared" si="827"/>
        <v>16163</v>
      </c>
      <c r="F773" s="17">
        <f t="shared" si="828"/>
        <v>538.73333333333335</v>
      </c>
      <c r="G773" s="17">
        <f t="shared" si="829"/>
        <v>538.5333333333333</v>
      </c>
      <c r="H773" s="17">
        <f t="shared" si="830"/>
        <v>538.4</v>
      </c>
      <c r="I773" s="17">
        <f t="shared" si="831"/>
        <v>538.33333333333337</v>
      </c>
      <c r="J773" s="17">
        <f t="shared" si="832"/>
        <v>538.20000000000005</v>
      </c>
      <c r="K773" s="17">
        <f t="shared" si="833"/>
        <v>538.13333333333333</v>
      </c>
      <c r="L773" s="17">
        <f t="shared" si="834"/>
        <v>538</v>
      </c>
      <c r="M773" s="17">
        <f t="shared" si="835"/>
        <v>537.79999999999995</v>
      </c>
    </row>
    <row r="774" spans="1:13" ht="16.8" thickBot="1" x14ac:dyDescent="0.4">
      <c r="F774" s="17"/>
      <c r="G774" s="17"/>
      <c r="H774" s="17"/>
      <c r="I774" s="17"/>
      <c r="J774" s="17"/>
      <c r="K774" s="17"/>
      <c r="L774" s="17"/>
      <c r="M774" s="17"/>
    </row>
    <row r="775" spans="1:13" ht="16.8" thickBot="1" x14ac:dyDescent="0.4">
      <c r="A775" s="1">
        <f>A765+1</f>
        <v>78</v>
      </c>
      <c r="C775" s="18" t="s">
        <v>2</v>
      </c>
      <c r="E775" s="13">
        <f>E756</f>
        <v>15757</v>
      </c>
      <c r="F775" s="19">
        <v>1</v>
      </c>
      <c r="G775" s="20">
        <v>7</v>
      </c>
      <c r="H775" s="20">
        <v>11</v>
      </c>
      <c r="I775" s="20">
        <v>13</v>
      </c>
      <c r="J775" s="20">
        <v>17</v>
      </c>
      <c r="K775" s="20">
        <v>19</v>
      </c>
      <c r="L775" s="20">
        <v>23</v>
      </c>
      <c r="M775" s="21">
        <v>29</v>
      </c>
    </row>
    <row r="776" spans="1:13" x14ac:dyDescent="0.35">
      <c r="B776" s="2">
        <v>30</v>
      </c>
      <c r="C776" s="2">
        <f>D776+B776</f>
        <v>2341</v>
      </c>
      <c r="D776" s="2">
        <f>C766</f>
        <v>2311</v>
      </c>
      <c r="E776" s="3">
        <f>D776*$E$5</f>
        <v>16177</v>
      </c>
      <c r="F776" s="17">
        <f>(E776-1)/30</f>
        <v>539.20000000000005</v>
      </c>
      <c r="G776" s="17">
        <f>($E776-7)/30</f>
        <v>539</v>
      </c>
      <c r="H776" s="17">
        <f>($E776-11)/30</f>
        <v>538.86666666666667</v>
      </c>
      <c r="I776" s="17">
        <f>($E776-13)/30</f>
        <v>538.79999999999995</v>
      </c>
      <c r="J776" s="17">
        <f>($E776-17)/30</f>
        <v>538.66666666666663</v>
      </c>
      <c r="K776" s="17">
        <f>($E776-19)/30</f>
        <v>538.6</v>
      </c>
      <c r="L776" s="17">
        <f>($E776-23)/30</f>
        <v>538.4666666666667</v>
      </c>
      <c r="M776" s="17">
        <f>($E776-29)/30</f>
        <v>538.26666666666665</v>
      </c>
    </row>
    <row r="777" spans="1:13" x14ac:dyDescent="0.35">
      <c r="B777" s="2">
        <v>30</v>
      </c>
      <c r="C777" s="2">
        <f t="shared" ref="C777:C783" si="836">D777+B777</f>
        <v>2347</v>
      </c>
      <c r="D777" s="2">
        <f t="shared" ref="D777:D783" si="837">C767</f>
        <v>2317</v>
      </c>
      <c r="E777" s="3">
        <f t="shared" ref="E777:E783" si="838">D777*$E$5</f>
        <v>16219</v>
      </c>
      <c r="F777" s="17">
        <f t="shared" ref="F777:F783" si="839">(E777-1)/30</f>
        <v>540.6</v>
      </c>
      <c r="G777" s="17">
        <f t="shared" ref="G777:G783" si="840">($E777-7)/30</f>
        <v>540.4</v>
      </c>
      <c r="H777" s="17">
        <f t="shared" ref="H777:H783" si="841">($E777-11)/30</f>
        <v>540.26666666666665</v>
      </c>
      <c r="I777" s="17">
        <f t="shared" ref="I777:I783" si="842">($E777-13)/30</f>
        <v>540.20000000000005</v>
      </c>
      <c r="J777" s="17">
        <f t="shared" ref="J777:J783" si="843">($E777-17)/30</f>
        <v>540.06666666666672</v>
      </c>
      <c r="K777" s="17">
        <f t="shared" ref="K777:K783" si="844">($E777-19)/30</f>
        <v>540</v>
      </c>
      <c r="L777" s="17">
        <f t="shared" ref="L777:L783" si="845">($E777-23)/30</f>
        <v>539.86666666666667</v>
      </c>
      <c r="M777" s="17">
        <f t="shared" ref="M777:M783" si="846">($E777-29)/30</f>
        <v>539.66666666666663</v>
      </c>
    </row>
    <row r="778" spans="1:13" x14ac:dyDescent="0.35">
      <c r="B778" s="2">
        <v>30</v>
      </c>
      <c r="C778" s="2">
        <f t="shared" si="836"/>
        <v>2351</v>
      </c>
      <c r="D778" s="2">
        <f t="shared" si="837"/>
        <v>2321</v>
      </c>
      <c r="E778" s="3">
        <f t="shared" si="838"/>
        <v>16247</v>
      </c>
      <c r="F778" s="17">
        <f t="shared" si="839"/>
        <v>541.5333333333333</v>
      </c>
      <c r="G778" s="17">
        <f t="shared" si="840"/>
        <v>541.33333333333337</v>
      </c>
      <c r="H778" s="17">
        <f t="shared" si="841"/>
        <v>541.20000000000005</v>
      </c>
      <c r="I778" s="17">
        <f t="shared" si="842"/>
        <v>541.13333333333333</v>
      </c>
      <c r="J778" s="17">
        <f t="shared" si="843"/>
        <v>541</v>
      </c>
      <c r="K778" s="17">
        <f t="shared" si="844"/>
        <v>540.93333333333328</v>
      </c>
      <c r="L778" s="17">
        <f t="shared" si="845"/>
        <v>540.79999999999995</v>
      </c>
      <c r="M778" s="17">
        <f t="shared" si="846"/>
        <v>540.6</v>
      </c>
    </row>
    <row r="779" spans="1:13" x14ac:dyDescent="0.35">
      <c r="B779" s="2">
        <v>30</v>
      </c>
      <c r="C779" s="2">
        <f t="shared" si="836"/>
        <v>2353</v>
      </c>
      <c r="D779" s="2">
        <f t="shared" si="837"/>
        <v>2323</v>
      </c>
      <c r="E779" s="3">
        <f t="shared" si="838"/>
        <v>16261</v>
      </c>
      <c r="F779" s="17">
        <f t="shared" si="839"/>
        <v>542</v>
      </c>
      <c r="G779" s="17">
        <f t="shared" si="840"/>
        <v>541.79999999999995</v>
      </c>
      <c r="H779" s="17">
        <f t="shared" si="841"/>
        <v>541.66666666666663</v>
      </c>
      <c r="I779" s="17">
        <f t="shared" si="842"/>
        <v>541.6</v>
      </c>
      <c r="J779" s="17">
        <f t="shared" si="843"/>
        <v>541.4666666666667</v>
      </c>
      <c r="K779" s="17">
        <f t="shared" si="844"/>
        <v>541.4</v>
      </c>
      <c r="L779" s="17">
        <f t="shared" si="845"/>
        <v>541.26666666666665</v>
      </c>
      <c r="M779" s="17">
        <f t="shared" si="846"/>
        <v>541.06666666666672</v>
      </c>
    </row>
    <row r="780" spans="1:13" x14ac:dyDescent="0.35">
      <c r="B780" s="2">
        <v>30</v>
      </c>
      <c r="C780" s="2">
        <f t="shared" si="836"/>
        <v>2357</v>
      </c>
      <c r="D780" s="2">
        <f t="shared" si="837"/>
        <v>2327</v>
      </c>
      <c r="E780" s="3">
        <f t="shared" si="838"/>
        <v>16289</v>
      </c>
      <c r="F780" s="17">
        <f t="shared" si="839"/>
        <v>542.93333333333328</v>
      </c>
      <c r="G780" s="17">
        <f t="shared" si="840"/>
        <v>542.73333333333335</v>
      </c>
      <c r="H780" s="17">
        <f t="shared" si="841"/>
        <v>542.6</v>
      </c>
      <c r="I780" s="17">
        <f t="shared" si="842"/>
        <v>542.5333333333333</v>
      </c>
      <c r="J780" s="17">
        <f t="shared" si="843"/>
        <v>542.4</v>
      </c>
      <c r="K780" s="17">
        <f t="shared" si="844"/>
        <v>542.33333333333337</v>
      </c>
      <c r="L780" s="17">
        <f t="shared" si="845"/>
        <v>542.20000000000005</v>
      </c>
      <c r="M780" s="17">
        <f t="shared" si="846"/>
        <v>542</v>
      </c>
    </row>
    <row r="781" spans="1:13" x14ac:dyDescent="0.35">
      <c r="B781" s="2">
        <v>30</v>
      </c>
      <c r="C781" s="2">
        <f t="shared" si="836"/>
        <v>2359</v>
      </c>
      <c r="D781" s="2">
        <f t="shared" si="837"/>
        <v>2329</v>
      </c>
      <c r="E781" s="3">
        <f t="shared" si="838"/>
        <v>16303</v>
      </c>
      <c r="F781" s="17">
        <f t="shared" si="839"/>
        <v>543.4</v>
      </c>
      <c r="G781" s="17">
        <f t="shared" si="840"/>
        <v>543.20000000000005</v>
      </c>
      <c r="H781" s="17">
        <f t="shared" si="841"/>
        <v>543.06666666666672</v>
      </c>
      <c r="I781" s="17">
        <f t="shared" si="842"/>
        <v>543</v>
      </c>
      <c r="J781" s="17">
        <f t="shared" si="843"/>
        <v>542.86666666666667</v>
      </c>
      <c r="K781" s="17">
        <f t="shared" si="844"/>
        <v>542.79999999999995</v>
      </c>
      <c r="L781" s="17">
        <f t="shared" si="845"/>
        <v>542.66666666666663</v>
      </c>
      <c r="M781" s="17">
        <f t="shared" si="846"/>
        <v>542.4666666666667</v>
      </c>
    </row>
    <row r="782" spans="1:13" x14ac:dyDescent="0.35">
      <c r="B782" s="2">
        <v>30</v>
      </c>
      <c r="C782" s="2">
        <f t="shared" si="836"/>
        <v>2363</v>
      </c>
      <c r="D782" s="2">
        <f t="shared" si="837"/>
        <v>2333</v>
      </c>
      <c r="E782" s="3">
        <f t="shared" si="838"/>
        <v>16331</v>
      </c>
      <c r="F782" s="17">
        <f t="shared" si="839"/>
        <v>544.33333333333337</v>
      </c>
      <c r="G782" s="17">
        <f t="shared" si="840"/>
        <v>544.13333333333333</v>
      </c>
      <c r="H782" s="17">
        <f t="shared" si="841"/>
        <v>544</v>
      </c>
      <c r="I782" s="17">
        <f t="shared" si="842"/>
        <v>543.93333333333328</v>
      </c>
      <c r="J782" s="17">
        <f t="shared" si="843"/>
        <v>543.79999999999995</v>
      </c>
      <c r="K782" s="17">
        <f t="shared" si="844"/>
        <v>543.73333333333335</v>
      </c>
      <c r="L782" s="17">
        <f t="shared" si="845"/>
        <v>543.6</v>
      </c>
      <c r="M782" s="17">
        <f t="shared" si="846"/>
        <v>543.4</v>
      </c>
    </row>
    <row r="783" spans="1:13" x14ac:dyDescent="0.35">
      <c r="B783" s="2">
        <v>30</v>
      </c>
      <c r="C783" s="2">
        <f t="shared" si="836"/>
        <v>2369</v>
      </c>
      <c r="D783" s="2">
        <f t="shared" si="837"/>
        <v>2339</v>
      </c>
      <c r="E783" s="3">
        <f t="shared" si="838"/>
        <v>16373</v>
      </c>
      <c r="F783" s="17">
        <f t="shared" si="839"/>
        <v>545.73333333333335</v>
      </c>
      <c r="G783" s="17">
        <f t="shared" si="840"/>
        <v>545.5333333333333</v>
      </c>
      <c r="H783" s="17">
        <f t="shared" si="841"/>
        <v>545.4</v>
      </c>
      <c r="I783" s="17">
        <f t="shared" si="842"/>
        <v>545.33333333333337</v>
      </c>
      <c r="J783" s="17">
        <f t="shared" si="843"/>
        <v>545.20000000000005</v>
      </c>
      <c r="K783" s="17">
        <f t="shared" si="844"/>
        <v>545.13333333333333</v>
      </c>
      <c r="L783" s="17">
        <f t="shared" si="845"/>
        <v>545</v>
      </c>
      <c r="M783" s="17">
        <f t="shared" si="846"/>
        <v>544.79999999999995</v>
      </c>
    </row>
    <row r="784" spans="1:13" ht="16.8" thickBot="1" x14ac:dyDescent="0.4">
      <c r="F784" s="17"/>
      <c r="G784" s="17"/>
      <c r="H784" s="17"/>
      <c r="I784" s="17"/>
      <c r="J784" s="17"/>
      <c r="K784" s="17"/>
      <c r="L784" s="17"/>
      <c r="M784" s="17"/>
    </row>
    <row r="785" spans="1:13" ht="16.8" thickBot="1" x14ac:dyDescent="0.4">
      <c r="A785" s="1">
        <f>A775+1</f>
        <v>79</v>
      </c>
      <c r="C785" s="18" t="s">
        <v>2</v>
      </c>
      <c r="E785" s="13">
        <f>E766</f>
        <v>15967</v>
      </c>
      <c r="F785" s="19">
        <v>1</v>
      </c>
      <c r="G785" s="20">
        <v>7</v>
      </c>
      <c r="H785" s="20">
        <v>11</v>
      </c>
      <c r="I785" s="20">
        <v>13</v>
      </c>
      <c r="J785" s="20">
        <v>17</v>
      </c>
      <c r="K785" s="20">
        <v>19</v>
      </c>
      <c r="L785" s="20">
        <v>23</v>
      </c>
      <c r="M785" s="21">
        <v>29</v>
      </c>
    </row>
    <row r="786" spans="1:13" x14ac:dyDescent="0.35">
      <c r="B786" s="2">
        <v>30</v>
      </c>
      <c r="C786" s="2">
        <f>D786+B786</f>
        <v>2371</v>
      </c>
      <c r="D786" s="2">
        <f>C776</f>
        <v>2341</v>
      </c>
      <c r="E786" s="3">
        <f>D786*$E$5</f>
        <v>16387</v>
      </c>
      <c r="F786" s="17">
        <f>(E786-1)/30</f>
        <v>546.20000000000005</v>
      </c>
      <c r="G786" s="17">
        <f>($E786-7)/30</f>
        <v>546</v>
      </c>
      <c r="H786" s="17">
        <f>($E786-11)/30</f>
        <v>545.86666666666667</v>
      </c>
      <c r="I786" s="17">
        <f>($E786-13)/30</f>
        <v>545.79999999999995</v>
      </c>
      <c r="J786" s="17">
        <f>($E786-17)/30</f>
        <v>545.66666666666663</v>
      </c>
      <c r="K786" s="17">
        <f>($E786-19)/30</f>
        <v>545.6</v>
      </c>
      <c r="L786" s="17">
        <f>($E786-23)/30</f>
        <v>545.4666666666667</v>
      </c>
      <c r="M786" s="17">
        <f>($E786-29)/30</f>
        <v>545.26666666666665</v>
      </c>
    </row>
    <row r="787" spans="1:13" x14ac:dyDescent="0.35">
      <c r="B787" s="2">
        <v>30</v>
      </c>
      <c r="C787" s="2">
        <f t="shared" ref="C787:C793" si="847">D787+B787</f>
        <v>2377</v>
      </c>
      <c r="D787" s="2">
        <f t="shared" ref="D787:D793" si="848">C777</f>
        <v>2347</v>
      </c>
      <c r="E787" s="3">
        <f t="shared" ref="E787:E793" si="849">D787*$E$5</f>
        <v>16429</v>
      </c>
      <c r="F787" s="17">
        <f t="shared" ref="F787:F793" si="850">(E787-1)/30</f>
        <v>547.6</v>
      </c>
      <c r="G787" s="17">
        <f t="shared" ref="G787:G793" si="851">($E787-7)/30</f>
        <v>547.4</v>
      </c>
      <c r="H787" s="17">
        <f t="shared" ref="H787:H793" si="852">($E787-11)/30</f>
        <v>547.26666666666665</v>
      </c>
      <c r="I787" s="17">
        <f t="shared" ref="I787:I793" si="853">($E787-13)/30</f>
        <v>547.20000000000005</v>
      </c>
      <c r="J787" s="17">
        <f t="shared" ref="J787:J793" si="854">($E787-17)/30</f>
        <v>547.06666666666672</v>
      </c>
      <c r="K787" s="17">
        <f t="shared" ref="K787:K793" si="855">($E787-19)/30</f>
        <v>547</v>
      </c>
      <c r="L787" s="17">
        <f t="shared" ref="L787:L793" si="856">($E787-23)/30</f>
        <v>546.86666666666667</v>
      </c>
      <c r="M787" s="17">
        <f t="shared" ref="M787:M793" si="857">($E787-29)/30</f>
        <v>546.66666666666663</v>
      </c>
    </row>
    <row r="788" spans="1:13" x14ac:dyDescent="0.35">
      <c r="B788" s="2">
        <v>30</v>
      </c>
      <c r="C788" s="2">
        <f t="shared" si="847"/>
        <v>2381</v>
      </c>
      <c r="D788" s="2">
        <f t="shared" si="848"/>
        <v>2351</v>
      </c>
      <c r="E788" s="3">
        <f t="shared" si="849"/>
        <v>16457</v>
      </c>
      <c r="F788" s="17">
        <f t="shared" si="850"/>
        <v>548.5333333333333</v>
      </c>
      <c r="G788" s="17">
        <f t="shared" si="851"/>
        <v>548.33333333333337</v>
      </c>
      <c r="H788" s="17">
        <f t="shared" si="852"/>
        <v>548.20000000000005</v>
      </c>
      <c r="I788" s="17">
        <f t="shared" si="853"/>
        <v>548.13333333333333</v>
      </c>
      <c r="J788" s="17">
        <f t="shared" si="854"/>
        <v>548</v>
      </c>
      <c r="K788" s="17">
        <f t="shared" si="855"/>
        <v>547.93333333333328</v>
      </c>
      <c r="L788" s="17">
        <f t="shared" si="856"/>
        <v>547.79999999999995</v>
      </c>
      <c r="M788" s="17">
        <f t="shared" si="857"/>
        <v>547.6</v>
      </c>
    </row>
    <row r="789" spans="1:13" x14ac:dyDescent="0.35">
      <c r="B789" s="2">
        <v>30</v>
      </c>
      <c r="C789" s="2">
        <f t="shared" si="847"/>
        <v>2383</v>
      </c>
      <c r="D789" s="2">
        <f t="shared" si="848"/>
        <v>2353</v>
      </c>
      <c r="E789" s="3">
        <f t="shared" si="849"/>
        <v>16471</v>
      </c>
      <c r="F789" s="17">
        <f t="shared" si="850"/>
        <v>549</v>
      </c>
      <c r="G789" s="17">
        <f t="shared" si="851"/>
        <v>548.79999999999995</v>
      </c>
      <c r="H789" s="17">
        <f t="shared" si="852"/>
        <v>548.66666666666663</v>
      </c>
      <c r="I789" s="17">
        <f t="shared" si="853"/>
        <v>548.6</v>
      </c>
      <c r="J789" s="17">
        <f t="shared" si="854"/>
        <v>548.4666666666667</v>
      </c>
      <c r="K789" s="17">
        <f t="shared" si="855"/>
        <v>548.4</v>
      </c>
      <c r="L789" s="17">
        <f t="shared" si="856"/>
        <v>548.26666666666665</v>
      </c>
      <c r="M789" s="17">
        <f t="shared" si="857"/>
        <v>548.06666666666672</v>
      </c>
    </row>
    <row r="790" spans="1:13" x14ac:dyDescent="0.35">
      <c r="B790" s="2">
        <v>30</v>
      </c>
      <c r="C790" s="2">
        <f t="shared" si="847"/>
        <v>2387</v>
      </c>
      <c r="D790" s="2">
        <f t="shared" si="848"/>
        <v>2357</v>
      </c>
      <c r="E790" s="3">
        <f t="shared" si="849"/>
        <v>16499</v>
      </c>
      <c r="F790" s="17">
        <f t="shared" si="850"/>
        <v>549.93333333333328</v>
      </c>
      <c r="G790" s="17">
        <f t="shared" si="851"/>
        <v>549.73333333333335</v>
      </c>
      <c r="H790" s="17">
        <f t="shared" si="852"/>
        <v>549.6</v>
      </c>
      <c r="I790" s="17">
        <f t="shared" si="853"/>
        <v>549.5333333333333</v>
      </c>
      <c r="J790" s="17">
        <f t="shared" si="854"/>
        <v>549.4</v>
      </c>
      <c r="K790" s="17">
        <f t="shared" si="855"/>
        <v>549.33333333333337</v>
      </c>
      <c r="L790" s="17">
        <f t="shared" si="856"/>
        <v>549.20000000000005</v>
      </c>
      <c r="M790" s="17">
        <f t="shared" si="857"/>
        <v>549</v>
      </c>
    </row>
    <row r="791" spans="1:13" x14ac:dyDescent="0.35">
      <c r="B791" s="2">
        <v>30</v>
      </c>
      <c r="C791" s="2">
        <f t="shared" si="847"/>
        <v>2389</v>
      </c>
      <c r="D791" s="2">
        <f t="shared" si="848"/>
        <v>2359</v>
      </c>
      <c r="E791" s="3">
        <f t="shared" si="849"/>
        <v>16513</v>
      </c>
      <c r="F791" s="17">
        <f t="shared" si="850"/>
        <v>550.4</v>
      </c>
      <c r="G791" s="17">
        <f t="shared" si="851"/>
        <v>550.20000000000005</v>
      </c>
      <c r="H791" s="17">
        <f t="shared" si="852"/>
        <v>550.06666666666672</v>
      </c>
      <c r="I791" s="17">
        <f t="shared" si="853"/>
        <v>550</v>
      </c>
      <c r="J791" s="17">
        <f t="shared" si="854"/>
        <v>549.86666666666667</v>
      </c>
      <c r="K791" s="17">
        <f t="shared" si="855"/>
        <v>549.79999999999995</v>
      </c>
      <c r="L791" s="17">
        <f t="shared" si="856"/>
        <v>549.66666666666663</v>
      </c>
      <c r="M791" s="17">
        <f t="shared" si="857"/>
        <v>549.4666666666667</v>
      </c>
    </row>
    <row r="792" spans="1:13" x14ac:dyDescent="0.35">
      <c r="B792" s="2">
        <v>30</v>
      </c>
      <c r="C792" s="2">
        <f t="shared" si="847"/>
        <v>2393</v>
      </c>
      <c r="D792" s="2">
        <f t="shared" si="848"/>
        <v>2363</v>
      </c>
      <c r="E792" s="3">
        <f t="shared" si="849"/>
        <v>16541</v>
      </c>
      <c r="F792" s="17">
        <f t="shared" si="850"/>
        <v>551.33333333333337</v>
      </c>
      <c r="G792" s="17">
        <f t="shared" si="851"/>
        <v>551.13333333333333</v>
      </c>
      <c r="H792" s="17">
        <f t="shared" si="852"/>
        <v>551</v>
      </c>
      <c r="I792" s="17">
        <f t="shared" si="853"/>
        <v>550.93333333333328</v>
      </c>
      <c r="J792" s="17">
        <f t="shared" si="854"/>
        <v>550.79999999999995</v>
      </c>
      <c r="K792" s="17">
        <f t="shared" si="855"/>
        <v>550.73333333333335</v>
      </c>
      <c r="L792" s="17">
        <f t="shared" si="856"/>
        <v>550.6</v>
      </c>
      <c r="M792" s="17">
        <f t="shared" si="857"/>
        <v>550.4</v>
      </c>
    </row>
    <row r="793" spans="1:13" x14ac:dyDescent="0.35">
      <c r="B793" s="2">
        <v>30</v>
      </c>
      <c r="C793" s="2">
        <f t="shared" si="847"/>
        <v>2399</v>
      </c>
      <c r="D793" s="2">
        <f t="shared" si="848"/>
        <v>2369</v>
      </c>
      <c r="E793" s="3">
        <f t="shared" si="849"/>
        <v>16583</v>
      </c>
      <c r="F793" s="17">
        <f t="shared" si="850"/>
        <v>552.73333333333335</v>
      </c>
      <c r="G793" s="17">
        <f t="shared" si="851"/>
        <v>552.5333333333333</v>
      </c>
      <c r="H793" s="17">
        <f t="shared" si="852"/>
        <v>552.4</v>
      </c>
      <c r="I793" s="17">
        <f t="shared" si="853"/>
        <v>552.33333333333337</v>
      </c>
      <c r="J793" s="17">
        <f t="shared" si="854"/>
        <v>552.20000000000005</v>
      </c>
      <c r="K793" s="17">
        <f t="shared" si="855"/>
        <v>552.13333333333333</v>
      </c>
      <c r="L793" s="17">
        <f t="shared" si="856"/>
        <v>552</v>
      </c>
      <c r="M793" s="17">
        <f t="shared" si="857"/>
        <v>551.79999999999995</v>
      </c>
    </row>
    <row r="794" spans="1:13" ht="16.8" thickBot="1" x14ac:dyDescent="0.4">
      <c r="F794" s="17"/>
      <c r="G794" s="17"/>
      <c r="H794" s="17"/>
      <c r="I794" s="17"/>
      <c r="J794" s="17"/>
      <c r="K794" s="17"/>
      <c r="L794" s="17"/>
      <c r="M794" s="17"/>
    </row>
    <row r="795" spans="1:13" ht="16.8" thickBot="1" x14ac:dyDescent="0.4">
      <c r="A795" s="1">
        <f>A785+1</f>
        <v>80</v>
      </c>
      <c r="C795" s="18" t="s">
        <v>2</v>
      </c>
      <c r="E795" s="13">
        <f>E776</f>
        <v>16177</v>
      </c>
      <c r="F795" s="19">
        <v>1</v>
      </c>
      <c r="G795" s="20">
        <v>7</v>
      </c>
      <c r="H795" s="20">
        <v>11</v>
      </c>
      <c r="I795" s="20">
        <v>13</v>
      </c>
      <c r="J795" s="20">
        <v>17</v>
      </c>
      <c r="K795" s="20">
        <v>19</v>
      </c>
      <c r="L795" s="20">
        <v>23</v>
      </c>
      <c r="M795" s="21">
        <v>29</v>
      </c>
    </row>
    <row r="796" spans="1:13" x14ac:dyDescent="0.35">
      <c r="B796" s="2">
        <v>30</v>
      </c>
      <c r="C796" s="2">
        <f>D796+B796</f>
        <v>2401</v>
      </c>
      <c r="D796" s="2">
        <f>C786</f>
        <v>2371</v>
      </c>
      <c r="E796" s="3">
        <f>D796*$E$5</f>
        <v>16597</v>
      </c>
      <c r="F796" s="17">
        <f>(E796-1)/30</f>
        <v>553.20000000000005</v>
      </c>
      <c r="G796" s="17">
        <f>($E796-7)/30</f>
        <v>553</v>
      </c>
      <c r="H796" s="17">
        <f>($E796-11)/30</f>
        <v>552.86666666666667</v>
      </c>
      <c r="I796" s="17">
        <f>($E796-13)/30</f>
        <v>552.79999999999995</v>
      </c>
      <c r="J796" s="17">
        <f>($E796-17)/30</f>
        <v>552.66666666666663</v>
      </c>
      <c r="K796" s="17">
        <f>($E796-19)/30</f>
        <v>552.6</v>
      </c>
      <c r="L796" s="17">
        <f>($E796-23)/30</f>
        <v>552.4666666666667</v>
      </c>
      <c r="M796" s="17">
        <f>($E796-29)/30</f>
        <v>552.26666666666665</v>
      </c>
    </row>
    <row r="797" spans="1:13" x14ac:dyDescent="0.35">
      <c r="B797" s="2">
        <v>30</v>
      </c>
      <c r="C797" s="2">
        <f t="shared" ref="C797:C803" si="858">D797+B797</f>
        <v>2407</v>
      </c>
      <c r="D797" s="2">
        <f t="shared" ref="D797:D803" si="859">C787</f>
        <v>2377</v>
      </c>
      <c r="E797" s="3">
        <f t="shared" ref="E797:E803" si="860">D797*$E$5</f>
        <v>16639</v>
      </c>
      <c r="F797" s="17">
        <f t="shared" ref="F797:F803" si="861">(E797-1)/30</f>
        <v>554.6</v>
      </c>
      <c r="G797" s="17">
        <f t="shared" ref="G797:G803" si="862">($E797-7)/30</f>
        <v>554.4</v>
      </c>
      <c r="H797" s="17">
        <f t="shared" ref="H797:H803" si="863">($E797-11)/30</f>
        <v>554.26666666666665</v>
      </c>
      <c r="I797" s="17">
        <f t="shared" ref="I797:I803" si="864">($E797-13)/30</f>
        <v>554.20000000000005</v>
      </c>
      <c r="J797" s="17">
        <f t="shared" ref="J797:J803" si="865">($E797-17)/30</f>
        <v>554.06666666666672</v>
      </c>
      <c r="K797" s="17">
        <f t="shared" ref="K797:K803" si="866">($E797-19)/30</f>
        <v>554</v>
      </c>
      <c r="L797" s="17">
        <f t="shared" ref="L797:L803" si="867">($E797-23)/30</f>
        <v>553.86666666666667</v>
      </c>
      <c r="M797" s="17">
        <f t="shared" ref="M797:M803" si="868">($E797-29)/30</f>
        <v>553.66666666666663</v>
      </c>
    </row>
    <row r="798" spans="1:13" x14ac:dyDescent="0.35">
      <c r="B798" s="2">
        <v>30</v>
      </c>
      <c r="C798" s="2">
        <f t="shared" si="858"/>
        <v>2411</v>
      </c>
      <c r="D798" s="2">
        <f t="shared" si="859"/>
        <v>2381</v>
      </c>
      <c r="E798" s="3">
        <f t="shared" si="860"/>
        <v>16667</v>
      </c>
      <c r="F798" s="17">
        <f t="shared" si="861"/>
        <v>555.5333333333333</v>
      </c>
      <c r="G798" s="17">
        <f t="shared" si="862"/>
        <v>555.33333333333337</v>
      </c>
      <c r="H798" s="17">
        <f t="shared" si="863"/>
        <v>555.20000000000005</v>
      </c>
      <c r="I798" s="17">
        <f t="shared" si="864"/>
        <v>555.13333333333333</v>
      </c>
      <c r="J798" s="17">
        <f t="shared" si="865"/>
        <v>555</v>
      </c>
      <c r="K798" s="17">
        <f t="shared" si="866"/>
        <v>554.93333333333328</v>
      </c>
      <c r="L798" s="17">
        <f t="shared" si="867"/>
        <v>554.79999999999995</v>
      </c>
      <c r="M798" s="17">
        <f t="shared" si="868"/>
        <v>554.6</v>
      </c>
    </row>
    <row r="799" spans="1:13" x14ac:dyDescent="0.35">
      <c r="B799" s="2">
        <v>30</v>
      </c>
      <c r="C799" s="2">
        <f t="shared" si="858"/>
        <v>2413</v>
      </c>
      <c r="D799" s="2">
        <f t="shared" si="859"/>
        <v>2383</v>
      </c>
      <c r="E799" s="3">
        <f t="shared" si="860"/>
        <v>16681</v>
      </c>
      <c r="F799" s="17">
        <f t="shared" si="861"/>
        <v>556</v>
      </c>
      <c r="G799" s="17">
        <f t="shared" si="862"/>
        <v>555.79999999999995</v>
      </c>
      <c r="H799" s="17">
        <f t="shared" si="863"/>
        <v>555.66666666666663</v>
      </c>
      <c r="I799" s="17">
        <f t="shared" si="864"/>
        <v>555.6</v>
      </c>
      <c r="J799" s="17">
        <f t="shared" si="865"/>
        <v>555.4666666666667</v>
      </c>
      <c r="K799" s="17">
        <f t="shared" si="866"/>
        <v>555.4</v>
      </c>
      <c r="L799" s="17">
        <f t="shared" si="867"/>
        <v>555.26666666666665</v>
      </c>
      <c r="M799" s="17">
        <f t="shared" si="868"/>
        <v>555.06666666666672</v>
      </c>
    </row>
    <row r="800" spans="1:13" x14ac:dyDescent="0.35">
      <c r="B800" s="2">
        <v>30</v>
      </c>
      <c r="C800" s="2">
        <f t="shared" si="858"/>
        <v>2417</v>
      </c>
      <c r="D800" s="2">
        <f t="shared" si="859"/>
        <v>2387</v>
      </c>
      <c r="E800" s="3">
        <f t="shared" si="860"/>
        <v>16709</v>
      </c>
      <c r="F800" s="17">
        <f t="shared" si="861"/>
        <v>556.93333333333328</v>
      </c>
      <c r="G800" s="17">
        <f t="shared" si="862"/>
        <v>556.73333333333335</v>
      </c>
      <c r="H800" s="17">
        <f t="shared" si="863"/>
        <v>556.6</v>
      </c>
      <c r="I800" s="17">
        <f t="shared" si="864"/>
        <v>556.5333333333333</v>
      </c>
      <c r="J800" s="17">
        <f t="shared" si="865"/>
        <v>556.4</v>
      </c>
      <c r="K800" s="17">
        <f t="shared" si="866"/>
        <v>556.33333333333337</v>
      </c>
      <c r="L800" s="17">
        <f t="shared" si="867"/>
        <v>556.20000000000005</v>
      </c>
      <c r="M800" s="17">
        <f t="shared" si="868"/>
        <v>556</v>
      </c>
    </row>
    <row r="801" spans="1:13" x14ac:dyDescent="0.35">
      <c r="B801" s="2">
        <v>30</v>
      </c>
      <c r="C801" s="2">
        <f t="shared" si="858"/>
        <v>2419</v>
      </c>
      <c r="D801" s="2">
        <f t="shared" si="859"/>
        <v>2389</v>
      </c>
      <c r="E801" s="3">
        <f t="shared" si="860"/>
        <v>16723</v>
      </c>
      <c r="F801" s="17">
        <f t="shared" si="861"/>
        <v>557.4</v>
      </c>
      <c r="G801" s="17">
        <f t="shared" si="862"/>
        <v>557.20000000000005</v>
      </c>
      <c r="H801" s="17">
        <f t="shared" si="863"/>
        <v>557.06666666666672</v>
      </c>
      <c r="I801" s="17">
        <f t="shared" si="864"/>
        <v>557</v>
      </c>
      <c r="J801" s="17">
        <f t="shared" si="865"/>
        <v>556.86666666666667</v>
      </c>
      <c r="K801" s="17">
        <f t="shared" si="866"/>
        <v>556.79999999999995</v>
      </c>
      <c r="L801" s="17">
        <f t="shared" si="867"/>
        <v>556.66666666666663</v>
      </c>
      <c r="M801" s="17">
        <f t="shared" si="868"/>
        <v>556.4666666666667</v>
      </c>
    </row>
    <row r="802" spans="1:13" x14ac:dyDescent="0.35">
      <c r="B802" s="2">
        <v>30</v>
      </c>
      <c r="C802" s="2">
        <f t="shared" si="858"/>
        <v>2423</v>
      </c>
      <c r="D802" s="2">
        <f t="shared" si="859"/>
        <v>2393</v>
      </c>
      <c r="E802" s="3">
        <f t="shared" si="860"/>
        <v>16751</v>
      </c>
      <c r="F802" s="17">
        <f t="shared" si="861"/>
        <v>558.33333333333337</v>
      </c>
      <c r="G802" s="17">
        <f t="shared" si="862"/>
        <v>558.13333333333333</v>
      </c>
      <c r="H802" s="17">
        <f t="shared" si="863"/>
        <v>558</v>
      </c>
      <c r="I802" s="17">
        <f t="shared" si="864"/>
        <v>557.93333333333328</v>
      </c>
      <c r="J802" s="17">
        <f t="shared" si="865"/>
        <v>557.79999999999995</v>
      </c>
      <c r="K802" s="17">
        <f t="shared" si="866"/>
        <v>557.73333333333335</v>
      </c>
      <c r="L802" s="17">
        <f t="shared" si="867"/>
        <v>557.6</v>
      </c>
      <c r="M802" s="17">
        <f t="shared" si="868"/>
        <v>557.4</v>
      </c>
    </row>
    <row r="803" spans="1:13" x14ac:dyDescent="0.35">
      <c r="B803" s="2">
        <v>30</v>
      </c>
      <c r="C803" s="2">
        <f t="shared" si="858"/>
        <v>2429</v>
      </c>
      <c r="D803" s="2">
        <f t="shared" si="859"/>
        <v>2399</v>
      </c>
      <c r="E803" s="3">
        <f t="shared" si="860"/>
        <v>16793</v>
      </c>
      <c r="F803" s="17">
        <f t="shared" si="861"/>
        <v>559.73333333333335</v>
      </c>
      <c r="G803" s="17">
        <f t="shared" si="862"/>
        <v>559.5333333333333</v>
      </c>
      <c r="H803" s="17">
        <f t="shared" si="863"/>
        <v>559.4</v>
      </c>
      <c r="I803" s="17">
        <f t="shared" si="864"/>
        <v>559.33333333333337</v>
      </c>
      <c r="J803" s="17">
        <f t="shared" si="865"/>
        <v>559.20000000000005</v>
      </c>
      <c r="K803" s="17">
        <f t="shared" si="866"/>
        <v>559.13333333333333</v>
      </c>
      <c r="L803" s="17">
        <f t="shared" si="867"/>
        <v>559</v>
      </c>
      <c r="M803" s="17">
        <f t="shared" si="868"/>
        <v>558.79999999999995</v>
      </c>
    </row>
    <row r="804" spans="1:13" ht="16.8" thickBot="1" x14ac:dyDescent="0.4">
      <c r="F804" s="17"/>
      <c r="G804" s="17"/>
      <c r="H804" s="17"/>
      <c r="I804" s="17"/>
      <c r="J804" s="17"/>
      <c r="K804" s="17"/>
      <c r="L804" s="17"/>
      <c r="M804" s="17"/>
    </row>
    <row r="805" spans="1:13" ht="16.8" thickBot="1" x14ac:dyDescent="0.4">
      <c r="A805" s="1">
        <f>A795+1</f>
        <v>81</v>
      </c>
      <c r="C805" s="18" t="s">
        <v>2</v>
      </c>
      <c r="E805" s="13">
        <f>E786</f>
        <v>16387</v>
      </c>
      <c r="F805" s="19">
        <v>1</v>
      </c>
      <c r="G805" s="20">
        <v>7</v>
      </c>
      <c r="H805" s="20">
        <v>11</v>
      </c>
      <c r="I805" s="20">
        <v>13</v>
      </c>
      <c r="J805" s="20">
        <v>17</v>
      </c>
      <c r="K805" s="20">
        <v>19</v>
      </c>
      <c r="L805" s="20">
        <v>23</v>
      </c>
      <c r="M805" s="21">
        <v>29</v>
      </c>
    </row>
    <row r="806" spans="1:13" x14ac:dyDescent="0.35">
      <c r="B806" s="2">
        <v>30</v>
      </c>
      <c r="C806" s="2">
        <f>D806+B806</f>
        <v>2431</v>
      </c>
      <c r="D806" s="2">
        <f>C796</f>
        <v>2401</v>
      </c>
      <c r="E806" s="3">
        <f>D806*$E$5</f>
        <v>16807</v>
      </c>
      <c r="F806" s="17">
        <f>(E806-1)/30</f>
        <v>560.20000000000005</v>
      </c>
      <c r="G806" s="17">
        <f>($E806-7)/30</f>
        <v>560</v>
      </c>
      <c r="H806" s="17">
        <f>($E806-11)/30</f>
        <v>559.86666666666667</v>
      </c>
      <c r="I806" s="17">
        <f>($E806-13)/30</f>
        <v>559.79999999999995</v>
      </c>
      <c r="J806" s="17">
        <f>($E806-17)/30</f>
        <v>559.66666666666663</v>
      </c>
      <c r="K806" s="17">
        <f>($E806-19)/30</f>
        <v>559.6</v>
      </c>
      <c r="L806" s="17">
        <f>($E806-23)/30</f>
        <v>559.4666666666667</v>
      </c>
      <c r="M806" s="17">
        <f>($E806-29)/30</f>
        <v>559.26666666666665</v>
      </c>
    </row>
    <row r="807" spans="1:13" x14ac:dyDescent="0.35">
      <c r="B807" s="2">
        <v>30</v>
      </c>
      <c r="C807" s="2">
        <f t="shared" ref="C807:C813" si="869">D807+B807</f>
        <v>2437</v>
      </c>
      <c r="D807" s="2">
        <f t="shared" ref="D807:D813" si="870">C797</f>
        <v>2407</v>
      </c>
      <c r="E807" s="3">
        <f t="shared" ref="E807:E813" si="871">D807*$E$5</f>
        <v>16849</v>
      </c>
      <c r="F807" s="17">
        <f t="shared" ref="F807:F813" si="872">(E807-1)/30</f>
        <v>561.6</v>
      </c>
      <c r="G807" s="17">
        <f t="shared" ref="G807:G813" si="873">($E807-7)/30</f>
        <v>561.4</v>
      </c>
      <c r="H807" s="17">
        <f t="shared" ref="H807:H813" si="874">($E807-11)/30</f>
        <v>561.26666666666665</v>
      </c>
      <c r="I807" s="17">
        <f t="shared" ref="I807:I813" si="875">($E807-13)/30</f>
        <v>561.20000000000005</v>
      </c>
      <c r="J807" s="17">
        <f t="shared" ref="J807:J813" si="876">($E807-17)/30</f>
        <v>561.06666666666672</v>
      </c>
      <c r="K807" s="17">
        <f t="shared" ref="K807:K813" si="877">($E807-19)/30</f>
        <v>561</v>
      </c>
      <c r="L807" s="17">
        <f t="shared" ref="L807:L813" si="878">($E807-23)/30</f>
        <v>560.86666666666667</v>
      </c>
      <c r="M807" s="17">
        <f t="shared" ref="M807:M813" si="879">($E807-29)/30</f>
        <v>560.66666666666663</v>
      </c>
    </row>
    <row r="808" spans="1:13" x14ac:dyDescent="0.35">
      <c r="B808" s="2">
        <v>30</v>
      </c>
      <c r="C808" s="2">
        <f t="shared" si="869"/>
        <v>2441</v>
      </c>
      <c r="D808" s="2">
        <f t="shared" si="870"/>
        <v>2411</v>
      </c>
      <c r="E808" s="3">
        <f t="shared" si="871"/>
        <v>16877</v>
      </c>
      <c r="F808" s="17">
        <f t="shared" si="872"/>
        <v>562.5333333333333</v>
      </c>
      <c r="G808" s="17">
        <f t="shared" si="873"/>
        <v>562.33333333333337</v>
      </c>
      <c r="H808" s="17">
        <f t="shared" si="874"/>
        <v>562.20000000000005</v>
      </c>
      <c r="I808" s="17">
        <f t="shared" si="875"/>
        <v>562.13333333333333</v>
      </c>
      <c r="J808" s="17">
        <f t="shared" si="876"/>
        <v>562</v>
      </c>
      <c r="K808" s="17">
        <f t="shared" si="877"/>
        <v>561.93333333333328</v>
      </c>
      <c r="L808" s="17">
        <f t="shared" si="878"/>
        <v>561.79999999999995</v>
      </c>
      <c r="M808" s="17">
        <f t="shared" si="879"/>
        <v>561.6</v>
      </c>
    </row>
    <row r="809" spans="1:13" x14ac:dyDescent="0.35">
      <c r="B809" s="2">
        <v>30</v>
      </c>
      <c r="C809" s="2">
        <f t="shared" si="869"/>
        <v>2443</v>
      </c>
      <c r="D809" s="2">
        <f t="shared" si="870"/>
        <v>2413</v>
      </c>
      <c r="E809" s="3">
        <f t="shared" si="871"/>
        <v>16891</v>
      </c>
      <c r="F809" s="17">
        <f t="shared" si="872"/>
        <v>563</v>
      </c>
      <c r="G809" s="17">
        <f t="shared" si="873"/>
        <v>562.79999999999995</v>
      </c>
      <c r="H809" s="17">
        <f t="shared" si="874"/>
        <v>562.66666666666663</v>
      </c>
      <c r="I809" s="17">
        <f t="shared" si="875"/>
        <v>562.6</v>
      </c>
      <c r="J809" s="17">
        <f t="shared" si="876"/>
        <v>562.4666666666667</v>
      </c>
      <c r="K809" s="17">
        <f t="shared" si="877"/>
        <v>562.4</v>
      </c>
      <c r="L809" s="17">
        <f t="shared" si="878"/>
        <v>562.26666666666665</v>
      </c>
      <c r="M809" s="17">
        <f t="shared" si="879"/>
        <v>562.06666666666672</v>
      </c>
    </row>
    <row r="810" spans="1:13" x14ac:dyDescent="0.35">
      <c r="B810" s="2">
        <v>30</v>
      </c>
      <c r="C810" s="2">
        <f t="shared" si="869"/>
        <v>2447</v>
      </c>
      <c r="D810" s="2">
        <f t="shared" si="870"/>
        <v>2417</v>
      </c>
      <c r="E810" s="3">
        <f t="shared" si="871"/>
        <v>16919</v>
      </c>
      <c r="F810" s="17">
        <f t="shared" si="872"/>
        <v>563.93333333333328</v>
      </c>
      <c r="G810" s="17">
        <f t="shared" si="873"/>
        <v>563.73333333333335</v>
      </c>
      <c r="H810" s="17">
        <f t="shared" si="874"/>
        <v>563.6</v>
      </c>
      <c r="I810" s="17">
        <f t="shared" si="875"/>
        <v>563.5333333333333</v>
      </c>
      <c r="J810" s="17">
        <f t="shared" si="876"/>
        <v>563.4</v>
      </c>
      <c r="K810" s="17">
        <f t="shared" si="877"/>
        <v>563.33333333333337</v>
      </c>
      <c r="L810" s="17">
        <f t="shared" si="878"/>
        <v>563.20000000000005</v>
      </c>
      <c r="M810" s="17">
        <f t="shared" si="879"/>
        <v>563</v>
      </c>
    </row>
    <row r="811" spans="1:13" x14ac:dyDescent="0.35">
      <c r="B811" s="2">
        <v>30</v>
      </c>
      <c r="C811" s="2">
        <f t="shared" si="869"/>
        <v>2449</v>
      </c>
      <c r="D811" s="2">
        <f t="shared" si="870"/>
        <v>2419</v>
      </c>
      <c r="E811" s="3">
        <f t="shared" si="871"/>
        <v>16933</v>
      </c>
      <c r="F811" s="17">
        <f t="shared" si="872"/>
        <v>564.4</v>
      </c>
      <c r="G811" s="17">
        <f t="shared" si="873"/>
        <v>564.20000000000005</v>
      </c>
      <c r="H811" s="17">
        <f t="shared" si="874"/>
        <v>564.06666666666672</v>
      </c>
      <c r="I811" s="17">
        <f t="shared" si="875"/>
        <v>564</v>
      </c>
      <c r="J811" s="17">
        <f t="shared" si="876"/>
        <v>563.86666666666667</v>
      </c>
      <c r="K811" s="17">
        <f t="shared" si="877"/>
        <v>563.79999999999995</v>
      </c>
      <c r="L811" s="17">
        <f t="shared" si="878"/>
        <v>563.66666666666663</v>
      </c>
      <c r="M811" s="17">
        <f t="shared" si="879"/>
        <v>563.4666666666667</v>
      </c>
    </row>
    <row r="812" spans="1:13" x14ac:dyDescent="0.35">
      <c r="B812" s="2">
        <v>30</v>
      </c>
      <c r="C812" s="2">
        <f t="shared" si="869"/>
        <v>2453</v>
      </c>
      <c r="D812" s="2">
        <f t="shared" si="870"/>
        <v>2423</v>
      </c>
      <c r="E812" s="3">
        <f t="shared" si="871"/>
        <v>16961</v>
      </c>
      <c r="F812" s="17">
        <f t="shared" si="872"/>
        <v>565.33333333333337</v>
      </c>
      <c r="G812" s="17">
        <f t="shared" si="873"/>
        <v>565.13333333333333</v>
      </c>
      <c r="H812" s="17">
        <f t="shared" si="874"/>
        <v>565</v>
      </c>
      <c r="I812" s="17">
        <f t="shared" si="875"/>
        <v>564.93333333333328</v>
      </c>
      <c r="J812" s="17">
        <f t="shared" si="876"/>
        <v>564.79999999999995</v>
      </c>
      <c r="K812" s="17">
        <f t="shared" si="877"/>
        <v>564.73333333333335</v>
      </c>
      <c r="L812" s="17">
        <f t="shared" si="878"/>
        <v>564.6</v>
      </c>
      <c r="M812" s="17">
        <f t="shared" si="879"/>
        <v>564.4</v>
      </c>
    </row>
    <row r="813" spans="1:13" x14ac:dyDescent="0.35">
      <c r="B813" s="2">
        <v>30</v>
      </c>
      <c r="C813" s="2">
        <f t="shared" si="869"/>
        <v>2459</v>
      </c>
      <c r="D813" s="2">
        <f t="shared" si="870"/>
        <v>2429</v>
      </c>
      <c r="E813" s="3">
        <f t="shared" si="871"/>
        <v>17003</v>
      </c>
      <c r="F813" s="17">
        <f t="shared" si="872"/>
        <v>566.73333333333335</v>
      </c>
      <c r="G813" s="17">
        <f t="shared" si="873"/>
        <v>566.5333333333333</v>
      </c>
      <c r="H813" s="17">
        <f t="shared" si="874"/>
        <v>566.4</v>
      </c>
      <c r="I813" s="17">
        <f t="shared" si="875"/>
        <v>566.33333333333337</v>
      </c>
      <c r="J813" s="17">
        <f t="shared" si="876"/>
        <v>566.20000000000005</v>
      </c>
      <c r="K813" s="17">
        <f t="shared" si="877"/>
        <v>566.13333333333333</v>
      </c>
      <c r="L813" s="17">
        <f t="shared" si="878"/>
        <v>566</v>
      </c>
      <c r="M813" s="17">
        <f t="shared" si="879"/>
        <v>565.79999999999995</v>
      </c>
    </row>
    <row r="814" spans="1:13" ht="16.8" thickBot="1" x14ac:dyDescent="0.4">
      <c r="F814" s="17"/>
      <c r="G814" s="17"/>
      <c r="H814" s="17"/>
      <c r="I814" s="17"/>
      <c r="J814" s="17"/>
      <c r="K814" s="17"/>
      <c r="L814" s="17"/>
      <c r="M814" s="17"/>
    </row>
    <row r="815" spans="1:13" ht="16.8" thickBot="1" x14ac:dyDescent="0.4">
      <c r="A815" s="1">
        <f>A805+1</f>
        <v>82</v>
      </c>
      <c r="C815" s="18" t="s">
        <v>2</v>
      </c>
      <c r="E815" s="13">
        <f>E796</f>
        <v>16597</v>
      </c>
      <c r="F815" s="19">
        <v>1</v>
      </c>
      <c r="G815" s="20">
        <v>7</v>
      </c>
      <c r="H815" s="20">
        <v>11</v>
      </c>
      <c r="I815" s="20">
        <v>13</v>
      </c>
      <c r="J815" s="20">
        <v>17</v>
      </c>
      <c r="K815" s="20">
        <v>19</v>
      </c>
      <c r="L815" s="20">
        <v>23</v>
      </c>
      <c r="M815" s="21">
        <v>29</v>
      </c>
    </row>
    <row r="816" spans="1:13" x14ac:dyDescent="0.35">
      <c r="B816" s="2">
        <v>30</v>
      </c>
      <c r="C816" s="2">
        <f>D816+B816</f>
        <v>2461</v>
      </c>
      <c r="D816" s="2">
        <f>C806</f>
        <v>2431</v>
      </c>
      <c r="E816" s="3">
        <f>D816*$E$5</f>
        <v>17017</v>
      </c>
      <c r="F816" s="17">
        <f>(E816-1)/30</f>
        <v>567.20000000000005</v>
      </c>
      <c r="G816" s="17">
        <f>($E816-7)/30</f>
        <v>567</v>
      </c>
      <c r="H816" s="17">
        <f>($E816-11)/30</f>
        <v>566.86666666666667</v>
      </c>
      <c r="I816" s="17">
        <f>($E816-13)/30</f>
        <v>566.79999999999995</v>
      </c>
      <c r="J816" s="17">
        <f>($E816-17)/30</f>
        <v>566.66666666666663</v>
      </c>
      <c r="K816" s="17">
        <f>($E816-19)/30</f>
        <v>566.6</v>
      </c>
      <c r="L816" s="17">
        <f>($E816-23)/30</f>
        <v>566.4666666666667</v>
      </c>
      <c r="M816" s="17">
        <f>($E816-29)/30</f>
        <v>566.26666666666665</v>
      </c>
    </row>
    <row r="817" spans="1:13" x14ac:dyDescent="0.35">
      <c r="B817" s="2">
        <v>30</v>
      </c>
      <c r="C817" s="2">
        <f t="shared" ref="C817:C823" si="880">D817+B817</f>
        <v>2467</v>
      </c>
      <c r="D817" s="2">
        <f t="shared" ref="D817:D823" si="881">C807</f>
        <v>2437</v>
      </c>
      <c r="E817" s="3">
        <f t="shared" ref="E817:E823" si="882">D817*$E$5</f>
        <v>17059</v>
      </c>
      <c r="F817" s="17">
        <f t="shared" ref="F817:F823" si="883">(E817-1)/30</f>
        <v>568.6</v>
      </c>
      <c r="G817" s="17">
        <f t="shared" ref="G817:G823" si="884">($E817-7)/30</f>
        <v>568.4</v>
      </c>
      <c r="H817" s="17">
        <f t="shared" ref="H817:H823" si="885">($E817-11)/30</f>
        <v>568.26666666666665</v>
      </c>
      <c r="I817" s="17">
        <f t="shared" ref="I817:I823" si="886">($E817-13)/30</f>
        <v>568.20000000000005</v>
      </c>
      <c r="J817" s="17">
        <f t="shared" ref="J817:J823" si="887">($E817-17)/30</f>
        <v>568.06666666666672</v>
      </c>
      <c r="K817" s="17">
        <f t="shared" ref="K817:K823" si="888">($E817-19)/30</f>
        <v>568</v>
      </c>
      <c r="L817" s="17">
        <f t="shared" ref="L817:L823" si="889">($E817-23)/30</f>
        <v>567.86666666666667</v>
      </c>
      <c r="M817" s="17">
        <f t="shared" ref="M817:M823" si="890">($E817-29)/30</f>
        <v>567.66666666666663</v>
      </c>
    </row>
    <row r="818" spans="1:13" x14ac:dyDescent="0.35">
      <c r="B818" s="2">
        <v>30</v>
      </c>
      <c r="C818" s="2">
        <f t="shared" si="880"/>
        <v>2471</v>
      </c>
      <c r="D818" s="2">
        <f t="shared" si="881"/>
        <v>2441</v>
      </c>
      <c r="E818" s="3">
        <f t="shared" si="882"/>
        <v>17087</v>
      </c>
      <c r="F818" s="17">
        <f t="shared" si="883"/>
        <v>569.5333333333333</v>
      </c>
      <c r="G818" s="17">
        <f t="shared" si="884"/>
        <v>569.33333333333337</v>
      </c>
      <c r="H818" s="17">
        <f t="shared" si="885"/>
        <v>569.20000000000005</v>
      </c>
      <c r="I818" s="17">
        <f t="shared" si="886"/>
        <v>569.13333333333333</v>
      </c>
      <c r="J818" s="17">
        <f t="shared" si="887"/>
        <v>569</v>
      </c>
      <c r="K818" s="17">
        <f t="shared" si="888"/>
        <v>568.93333333333328</v>
      </c>
      <c r="L818" s="17">
        <f t="shared" si="889"/>
        <v>568.79999999999995</v>
      </c>
      <c r="M818" s="17">
        <f t="shared" si="890"/>
        <v>568.6</v>
      </c>
    </row>
    <row r="819" spans="1:13" x14ac:dyDescent="0.35">
      <c r="B819" s="2">
        <v>30</v>
      </c>
      <c r="C819" s="2">
        <f t="shared" si="880"/>
        <v>2473</v>
      </c>
      <c r="D819" s="2">
        <f t="shared" si="881"/>
        <v>2443</v>
      </c>
      <c r="E819" s="3">
        <f t="shared" si="882"/>
        <v>17101</v>
      </c>
      <c r="F819" s="17">
        <f t="shared" si="883"/>
        <v>570</v>
      </c>
      <c r="G819" s="17">
        <f t="shared" si="884"/>
        <v>569.79999999999995</v>
      </c>
      <c r="H819" s="17">
        <f t="shared" si="885"/>
        <v>569.66666666666663</v>
      </c>
      <c r="I819" s="17">
        <f t="shared" si="886"/>
        <v>569.6</v>
      </c>
      <c r="J819" s="17">
        <f t="shared" si="887"/>
        <v>569.4666666666667</v>
      </c>
      <c r="K819" s="17">
        <f t="shared" si="888"/>
        <v>569.4</v>
      </c>
      <c r="L819" s="17">
        <f t="shared" si="889"/>
        <v>569.26666666666665</v>
      </c>
      <c r="M819" s="17">
        <f t="shared" si="890"/>
        <v>569.06666666666672</v>
      </c>
    </row>
    <row r="820" spans="1:13" x14ac:dyDescent="0.35">
      <c r="B820" s="2">
        <v>30</v>
      </c>
      <c r="C820" s="2">
        <f t="shared" si="880"/>
        <v>2477</v>
      </c>
      <c r="D820" s="2">
        <f t="shared" si="881"/>
        <v>2447</v>
      </c>
      <c r="E820" s="3">
        <f t="shared" si="882"/>
        <v>17129</v>
      </c>
      <c r="F820" s="17">
        <f t="shared" si="883"/>
        <v>570.93333333333328</v>
      </c>
      <c r="G820" s="17">
        <f t="shared" si="884"/>
        <v>570.73333333333335</v>
      </c>
      <c r="H820" s="17">
        <f t="shared" si="885"/>
        <v>570.6</v>
      </c>
      <c r="I820" s="17">
        <f t="shared" si="886"/>
        <v>570.5333333333333</v>
      </c>
      <c r="J820" s="17">
        <f t="shared" si="887"/>
        <v>570.4</v>
      </c>
      <c r="K820" s="17">
        <f t="shared" si="888"/>
        <v>570.33333333333337</v>
      </c>
      <c r="L820" s="17">
        <f t="shared" si="889"/>
        <v>570.20000000000005</v>
      </c>
      <c r="M820" s="17">
        <f t="shared" si="890"/>
        <v>570</v>
      </c>
    </row>
    <row r="821" spans="1:13" x14ac:dyDescent="0.35">
      <c r="B821" s="2">
        <v>30</v>
      </c>
      <c r="C821" s="2">
        <f t="shared" si="880"/>
        <v>2479</v>
      </c>
      <c r="D821" s="2">
        <f t="shared" si="881"/>
        <v>2449</v>
      </c>
      <c r="E821" s="3">
        <f t="shared" si="882"/>
        <v>17143</v>
      </c>
      <c r="F821" s="17">
        <f t="shared" si="883"/>
        <v>571.4</v>
      </c>
      <c r="G821" s="17">
        <f t="shared" si="884"/>
        <v>571.20000000000005</v>
      </c>
      <c r="H821" s="17">
        <f t="shared" si="885"/>
        <v>571.06666666666672</v>
      </c>
      <c r="I821" s="17">
        <f t="shared" si="886"/>
        <v>571</v>
      </c>
      <c r="J821" s="17">
        <f t="shared" si="887"/>
        <v>570.86666666666667</v>
      </c>
      <c r="K821" s="17">
        <f t="shared" si="888"/>
        <v>570.79999999999995</v>
      </c>
      <c r="L821" s="17">
        <f t="shared" si="889"/>
        <v>570.66666666666663</v>
      </c>
      <c r="M821" s="17">
        <f t="shared" si="890"/>
        <v>570.4666666666667</v>
      </c>
    </row>
    <row r="822" spans="1:13" x14ac:dyDescent="0.35">
      <c r="B822" s="2">
        <v>30</v>
      </c>
      <c r="C822" s="2">
        <f t="shared" si="880"/>
        <v>2483</v>
      </c>
      <c r="D822" s="2">
        <f t="shared" si="881"/>
        <v>2453</v>
      </c>
      <c r="E822" s="3">
        <f t="shared" si="882"/>
        <v>17171</v>
      </c>
      <c r="F822" s="17">
        <f t="shared" si="883"/>
        <v>572.33333333333337</v>
      </c>
      <c r="G822" s="17">
        <f t="shared" si="884"/>
        <v>572.13333333333333</v>
      </c>
      <c r="H822" s="17">
        <f t="shared" si="885"/>
        <v>572</v>
      </c>
      <c r="I822" s="17">
        <f t="shared" si="886"/>
        <v>571.93333333333328</v>
      </c>
      <c r="J822" s="17">
        <f t="shared" si="887"/>
        <v>571.79999999999995</v>
      </c>
      <c r="K822" s="17">
        <f t="shared" si="888"/>
        <v>571.73333333333335</v>
      </c>
      <c r="L822" s="17">
        <f t="shared" si="889"/>
        <v>571.6</v>
      </c>
      <c r="M822" s="17">
        <f t="shared" si="890"/>
        <v>571.4</v>
      </c>
    </row>
    <row r="823" spans="1:13" x14ac:dyDescent="0.35">
      <c r="B823" s="2">
        <v>30</v>
      </c>
      <c r="C823" s="2">
        <f t="shared" si="880"/>
        <v>2489</v>
      </c>
      <c r="D823" s="2">
        <f t="shared" si="881"/>
        <v>2459</v>
      </c>
      <c r="E823" s="3">
        <f t="shared" si="882"/>
        <v>17213</v>
      </c>
      <c r="F823" s="17">
        <f t="shared" si="883"/>
        <v>573.73333333333335</v>
      </c>
      <c r="G823" s="17">
        <f t="shared" si="884"/>
        <v>573.5333333333333</v>
      </c>
      <c r="H823" s="17">
        <f t="shared" si="885"/>
        <v>573.4</v>
      </c>
      <c r="I823" s="17">
        <f t="shared" si="886"/>
        <v>573.33333333333337</v>
      </c>
      <c r="J823" s="17">
        <f t="shared" si="887"/>
        <v>573.20000000000005</v>
      </c>
      <c r="K823" s="17">
        <f t="shared" si="888"/>
        <v>573.13333333333333</v>
      </c>
      <c r="L823" s="17">
        <f t="shared" si="889"/>
        <v>573</v>
      </c>
      <c r="M823" s="17">
        <f t="shared" si="890"/>
        <v>572.79999999999995</v>
      </c>
    </row>
    <row r="824" spans="1:13" ht="16.8" thickBot="1" x14ac:dyDescent="0.4">
      <c r="F824" s="17"/>
      <c r="G824" s="17"/>
      <c r="H824" s="17"/>
      <c r="I824" s="17"/>
      <c r="J824" s="17"/>
      <c r="K824" s="17"/>
      <c r="L824" s="17"/>
      <c r="M824" s="17"/>
    </row>
    <row r="825" spans="1:13" ht="16.8" thickBot="1" x14ac:dyDescent="0.4">
      <c r="A825" s="1">
        <f>A815+1</f>
        <v>83</v>
      </c>
      <c r="C825" s="18" t="s">
        <v>2</v>
      </c>
      <c r="E825" s="13">
        <f>E806</f>
        <v>16807</v>
      </c>
      <c r="F825" s="19">
        <v>1</v>
      </c>
      <c r="G825" s="20">
        <v>7</v>
      </c>
      <c r="H825" s="20">
        <v>11</v>
      </c>
      <c r="I825" s="20">
        <v>13</v>
      </c>
      <c r="J825" s="20">
        <v>17</v>
      </c>
      <c r="K825" s="20">
        <v>19</v>
      </c>
      <c r="L825" s="20">
        <v>23</v>
      </c>
      <c r="M825" s="21">
        <v>29</v>
      </c>
    </row>
    <row r="826" spans="1:13" x14ac:dyDescent="0.35">
      <c r="B826" s="2">
        <v>30</v>
      </c>
      <c r="C826" s="2">
        <f>D826+B826</f>
        <v>2491</v>
      </c>
      <c r="D826" s="2">
        <f>C816</f>
        <v>2461</v>
      </c>
      <c r="E826" s="3">
        <f>D826*$E$5</f>
        <v>17227</v>
      </c>
      <c r="F826" s="17">
        <f>(E826-1)/30</f>
        <v>574.20000000000005</v>
      </c>
      <c r="G826" s="17">
        <f>($E826-7)/30</f>
        <v>574</v>
      </c>
      <c r="H826" s="17">
        <f>($E826-11)/30</f>
        <v>573.86666666666667</v>
      </c>
      <c r="I826" s="17">
        <f>($E826-13)/30</f>
        <v>573.79999999999995</v>
      </c>
      <c r="J826" s="17">
        <f>($E826-17)/30</f>
        <v>573.66666666666663</v>
      </c>
      <c r="K826" s="17">
        <f>($E826-19)/30</f>
        <v>573.6</v>
      </c>
      <c r="L826" s="17">
        <f>($E826-23)/30</f>
        <v>573.4666666666667</v>
      </c>
      <c r="M826" s="17">
        <f>($E826-29)/30</f>
        <v>573.26666666666665</v>
      </c>
    </row>
    <row r="827" spans="1:13" x14ac:dyDescent="0.35">
      <c r="B827" s="2">
        <v>30</v>
      </c>
      <c r="C827" s="2">
        <f t="shared" ref="C827:C833" si="891">D827+B827</f>
        <v>2497</v>
      </c>
      <c r="D827" s="2">
        <f t="shared" ref="D827:D833" si="892">C817</f>
        <v>2467</v>
      </c>
      <c r="E827" s="3">
        <f t="shared" ref="E827:E833" si="893">D827*$E$5</f>
        <v>17269</v>
      </c>
      <c r="F827" s="17">
        <f t="shared" ref="F827:F833" si="894">(E827-1)/30</f>
        <v>575.6</v>
      </c>
      <c r="G827" s="17">
        <f t="shared" ref="G827:G833" si="895">($E827-7)/30</f>
        <v>575.4</v>
      </c>
      <c r="H827" s="17">
        <f t="shared" ref="H827:H833" si="896">($E827-11)/30</f>
        <v>575.26666666666665</v>
      </c>
      <c r="I827" s="17">
        <f t="shared" ref="I827:I833" si="897">($E827-13)/30</f>
        <v>575.20000000000005</v>
      </c>
      <c r="J827" s="17">
        <f t="shared" ref="J827:J833" si="898">($E827-17)/30</f>
        <v>575.06666666666672</v>
      </c>
      <c r="K827" s="17">
        <f t="shared" ref="K827:K833" si="899">($E827-19)/30</f>
        <v>575</v>
      </c>
      <c r="L827" s="17">
        <f t="shared" ref="L827:L833" si="900">($E827-23)/30</f>
        <v>574.86666666666667</v>
      </c>
      <c r="M827" s="17">
        <f t="shared" ref="M827:M833" si="901">($E827-29)/30</f>
        <v>574.66666666666663</v>
      </c>
    </row>
    <row r="828" spans="1:13" x14ac:dyDescent="0.35">
      <c r="B828" s="2">
        <v>30</v>
      </c>
      <c r="C828" s="2">
        <f t="shared" si="891"/>
        <v>2501</v>
      </c>
      <c r="D828" s="2">
        <f t="shared" si="892"/>
        <v>2471</v>
      </c>
      <c r="E828" s="3">
        <f t="shared" si="893"/>
        <v>17297</v>
      </c>
      <c r="F828" s="17">
        <f t="shared" si="894"/>
        <v>576.5333333333333</v>
      </c>
      <c r="G828" s="17">
        <f t="shared" si="895"/>
        <v>576.33333333333337</v>
      </c>
      <c r="H828" s="17">
        <f t="shared" si="896"/>
        <v>576.20000000000005</v>
      </c>
      <c r="I828" s="17">
        <f t="shared" si="897"/>
        <v>576.13333333333333</v>
      </c>
      <c r="J828" s="17">
        <f t="shared" si="898"/>
        <v>576</v>
      </c>
      <c r="K828" s="17">
        <f t="shared" si="899"/>
        <v>575.93333333333328</v>
      </c>
      <c r="L828" s="17">
        <f t="shared" si="900"/>
        <v>575.79999999999995</v>
      </c>
      <c r="M828" s="17">
        <f t="shared" si="901"/>
        <v>575.6</v>
      </c>
    </row>
    <row r="829" spans="1:13" x14ac:dyDescent="0.35">
      <c r="B829" s="2">
        <v>30</v>
      </c>
      <c r="C829" s="2">
        <f t="shared" si="891"/>
        <v>2503</v>
      </c>
      <c r="D829" s="2">
        <f t="shared" si="892"/>
        <v>2473</v>
      </c>
      <c r="E829" s="3">
        <f t="shared" si="893"/>
        <v>17311</v>
      </c>
      <c r="F829" s="17">
        <f t="shared" si="894"/>
        <v>577</v>
      </c>
      <c r="G829" s="17">
        <f t="shared" si="895"/>
        <v>576.79999999999995</v>
      </c>
      <c r="H829" s="17">
        <f t="shared" si="896"/>
        <v>576.66666666666663</v>
      </c>
      <c r="I829" s="17">
        <f t="shared" si="897"/>
        <v>576.6</v>
      </c>
      <c r="J829" s="17">
        <f t="shared" si="898"/>
        <v>576.4666666666667</v>
      </c>
      <c r="K829" s="17">
        <f t="shared" si="899"/>
        <v>576.4</v>
      </c>
      <c r="L829" s="17">
        <f t="shared" si="900"/>
        <v>576.26666666666665</v>
      </c>
      <c r="M829" s="17">
        <f t="shared" si="901"/>
        <v>576.06666666666672</v>
      </c>
    </row>
    <row r="830" spans="1:13" x14ac:dyDescent="0.35">
      <c r="B830" s="2">
        <v>30</v>
      </c>
      <c r="C830" s="2">
        <f t="shared" si="891"/>
        <v>2507</v>
      </c>
      <c r="D830" s="2">
        <f t="shared" si="892"/>
        <v>2477</v>
      </c>
      <c r="E830" s="3">
        <f t="shared" si="893"/>
        <v>17339</v>
      </c>
      <c r="F830" s="17">
        <f t="shared" si="894"/>
        <v>577.93333333333328</v>
      </c>
      <c r="G830" s="17">
        <f t="shared" si="895"/>
        <v>577.73333333333335</v>
      </c>
      <c r="H830" s="17">
        <f t="shared" si="896"/>
        <v>577.6</v>
      </c>
      <c r="I830" s="17">
        <f t="shared" si="897"/>
        <v>577.5333333333333</v>
      </c>
      <c r="J830" s="17">
        <f t="shared" si="898"/>
        <v>577.4</v>
      </c>
      <c r="K830" s="17">
        <f t="shared" si="899"/>
        <v>577.33333333333337</v>
      </c>
      <c r="L830" s="17">
        <f t="shared" si="900"/>
        <v>577.20000000000005</v>
      </c>
      <c r="M830" s="17">
        <f t="shared" si="901"/>
        <v>577</v>
      </c>
    </row>
    <row r="831" spans="1:13" x14ac:dyDescent="0.35">
      <c r="B831" s="2">
        <v>30</v>
      </c>
      <c r="C831" s="2">
        <f t="shared" si="891"/>
        <v>2509</v>
      </c>
      <c r="D831" s="2">
        <f t="shared" si="892"/>
        <v>2479</v>
      </c>
      <c r="E831" s="3">
        <f t="shared" si="893"/>
        <v>17353</v>
      </c>
      <c r="F831" s="17">
        <f t="shared" si="894"/>
        <v>578.4</v>
      </c>
      <c r="G831" s="17">
        <f t="shared" si="895"/>
        <v>578.20000000000005</v>
      </c>
      <c r="H831" s="17">
        <f t="shared" si="896"/>
        <v>578.06666666666672</v>
      </c>
      <c r="I831" s="17">
        <f t="shared" si="897"/>
        <v>578</v>
      </c>
      <c r="J831" s="17">
        <f t="shared" si="898"/>
        <v>577.86666666666667</v>
      </c>
      <c r="K831" s="17">
        <f t="shared" si="899"/>
        <v>577.79999999999995</v>
      </c>
      <c r="L831" s="17">
        <f t="shared" si="900"/>
        <v>577.66666666666663</v>
      </c>
      <c r="M831" s="17">
        <f t="shared" si="901"/>
        <v>577.4666666666667</v>
      </c>
    </row>
    <row r="832" spans="1:13" x14ac:dyDescent="0.35">
      <c r="B832" s="2">
        <v>30</v>
      </c>
      <c r="C832" s="2">
        <f t="shared" si="891"/>
        <v>2513</v>
      </c>
      <c r="D832" s="2">
        <f t="shared" si="892"/>
        <v>2483</v>
      </c>
      <c r="E832" s="3">
        <f t="shared" si="893"/>
        <v>17381</v>
      </c>
      <c r="F832" s="17">
        <f t="shared" si="894"/>
        <v>579.33333333333337</v>
      </c>
      <c r="G832" s="17">
        <f t="shared" si="895"/>
        <v>579.13333333333333</v>
      </c>
      <c r="H832" s="17">
        <f t="shared" si="896"/>
        <v>579</v>
      </c>
      <c r="I832" s="17">
        <f t="shared" si="897"/>
        <v>578.93333333333328</v>
      </c>
      <c r="J832" s="17">
        <f t="shared" si="898"/>
        <v>578.79999999999995</v>
      </c>
      <c r="K832" s="17">
        <f t="shared" si="899"/>
        <v>578.73333333333335</v>
      </c>
      <c r="L832" s="17">
        <f t="shared" si="900"/>
        <v>578.6</v>
      </c>
      <c r="M832" s="17">
        <f t="shared" si="901"/>
        <v>578.4</v>
      </c>
    </row>
    <row r="833" spans="1:13" x14ac:dyDescent="0.35">
      <c r="B833" s="2">
        <v>30</v>
      </c>
      <c r="C833" s="2">
        <f t="shared" si="891"/>
        <v>2519</v>
      </c>
      <c r="D833" s="2">
        <f t="shared" si="892"/>
        <v>2489</v>
      </c>
      <c r="E833" s="3">
        <f t="shared" si="893"/>
        <v>17423</v>
      </c>
      <c r="F833" s="17">
        <f t="shared" si="894"/>
        <v>580.73333333333335</v>
      </c>
      <c r="G833" s="17">
        <f t="shared" si="895"/>
        <v>580.5333333333333</v>
      </c>
      <c r="H833" s="17">
        <f t="shared" si="896"/>
        <v>580.4</v>
      </c>
      <c r="I833" s="17">
        <f t="shared" si="897"/>
        <v>580.33333333333337</v>
      </c>
      <c r="J833" s="17">
        <f t="shared" si="898"/>
        <v>580.20000000000005</v>
      </c>
      <c r="K833" s="17">
        <f t="shared" si="899"/>
        <v>580.13333333333333</v>
      </c>
      <c r="L833" s="17">
        <f t="shared" si="900"/>
        <v>580</v>
      </c>
      <c r="M833" s="17">
        <f t="shared" si="901"/>
        <v>579.79999999999995</v>
      </c>
    </row>
    <row r="834" spans="1:13" ht="16.8" thickBot="1" x14ac:dyDescent="0.4">
      <c r="F834" s="17"/>
      <c r="G834" s="17"/>
      <c r="H834" s="17"/>
      <c r="I834" s="17"/>
      <c r="J834" s="17"/>
      <c r="K834" s="17"/>
      <c r="L834" s="17"/>
      <c r="M834" s="17"/>
    </row>
    <row r="835" spans="1:13" ht="16.8" thickBot="1" x14ac:dyDescent="0.4">
      <c r="A835" s="1">
        <f>A825+1</f>
        <v>84</v>
      </c>
      <c r="C835" s="18" t="s">
        <v>2</v>
      </c>
      <c r="E835" s="13">
        <f>E816</f>
        <v>17017</v>
      </c>
      <c r="F835" s="19">
        <v>1</v>
      </c>
      <c r="G835" s="20">
        <v>7</v>
      </c>
      <c r="H835" s="20">
        <v>11</v>
      </c>
      <c r="I835" s="20">
        <v>13</v>
      </c>
      <c r="J835" s="20">
        <v>17</v>
      </c>
      <c r="K835" s="20">
        <v>19</v>
      </c>
      <c r="L835" s="20">
        <v>23</v>
      </c>
      <c r="M835" s="21">
        <v>29</v>
      </c>
    </row>
    <row r="836" spans="1:13" x14ac:dyDescent="0.35">
      <c r="B836" s="2">
        <v>30</v>
      </c>
      <c r="C836" s="2">
        <f>D836+B836</f>
        <v>2521</v>
      </c>
      <c r="D836" s="2">
        <f>C826</f>
        <v>2491</v>
      </c>
      <c r="E836" s="3">
        <f>D836*$E$5</f>
        <v>17437</v>
      </c>
      <c r="F836" s="17">
        <f>(E836-1)/30</f>
        <v>581.20000000000005</v>
      </c>
      <c r="G836" s="17">
        <f>($E836-7)/30</f>
        <v>581</v>
      </c>
      <c r="H836" s="17">
        <f>($E836-11)/30</f>
        <v>580.86666666666667</v>
      </c>
      <c r="I836" s="17">
        <f>($E836-13)/30</f>
        <v>580.79999999999995</v>
      </c>
      <c r="J836" s="17">
        <f>($E836-17)/30</f>
        <v>580.66666666666663</v>
      </c>
      <c r="K836" s="17">
        <f>($E836-19)/30</f>
        <v>580.6</v>
      </c>
      <c r="L836" s="17">
        <f>($E836-23)/30</f>
        <v>580.4666666666667</v>
      </c>
      <c r="M836" s="17">
        <f>($E836-29)/30</f>
        <v>580.26666666666665</v>
      </c>
    </row>
    <row r="837" spans="1:13" x14ac:dyDescent="0.35">
      <c r="B837" s="2">
        <v>30</v>
      </c>
      <c r="C837" s="2">
        <f t="shared" ref="C837:C843" si="902">D837+B837</f>
        <v>2527</v>
      </c>
      <c r="D837" s="2">
        <f t="shared" ref="D837:D843" si="903">C827</f>
        <v>2497</v>
      </c>
      <c r="E837" s="3">
        <f t="shared" ref="E837:E843" si="904">D837*$E$5</f>
        <v>17479</v>
      </c>
      <c r="F837" s="17">
        <f t="shared" ref="F837:F843" si="905">(E837-1)/30</f>
        <v>582.6</v>
      </c>
      <c r="G837" s="17">
        <f t="shared" ref="G837:G843" si="906">($E837-7)/30</f>
        <v>582.4</v>
      </c>
      <c r="H837" s="17">
        <f t="shared" ref="H837:H843" si="907">($E837-11)/30</f>
        <v>582.26666666666665</v>
      </c>
      <c r="I837" s="17">
        <f t="shared" ref="I837:I843" si="908">($E837-13)/30</f>
        <v>582.20000000000005</v>
      </c>
      <c r="J837" s="17">
        <f t="shared" ref="J837:J843" si="909">($E837-17)/30</f>
        <v>582.06666666666672</v>
      </c>
      <c r="K837" s="17">
        <f t="shared" ref="K837:K843" si="910">($E837-19)/30</f>
        <v>582</v>
      </c>
      <c r="L837" s="17">
        <f t="shared" ref="L837:L843" si="911">($E837-23)/30</f>
        <v>581.86666666666667</v>
      </c>
      <c r="M837" s="17">
        <f t="shared" ref="M837:M843" si="912">($E837-29)/30</f>
        <v>581.66666666666663</v>
      </c>
    </row>
    <row r="838" spans="1:13" x14ac:dyDescent="0.35">
      <c r="B838" s="2">
        <v>30</v>
      </c>
      <c r="C838" s="2">
        <f t="shared" si="902"/>
        <v>2531</v>
      </c>
      <c r="D838" s="2">
        <f t="shared" si="903"/>
        <v>2501</v>
      </c>
      <c r="E838" s="3">
        <f t="shared" si="904"/>
        <v>17507</v>
      </c>
      <c r="F838" s="17">
        <f t="shared" si="905"/>
        <v>583.5333333333333</v>
      </c>
      <c r="G838" s="17">
        <f t="shared" si="906"/>
        <v>583.33333333333337</v>
      </c>
      <c r="H838" s="17">
        <f t="shared" si="907"/>
        <v>583.20000000000005</v>
      </c>
      <c r="I838" s="17">
        <f t="shared" si="908"/>
        <v>583.13333333333333</v>
      </c>
      <c r="J838" s="17">
        <f t="shared" si="909"/>
        <v>583</v>
      </c>
      <c r="K838" s="17">
        <f t="shared" si="910"/>
        <v>582.93333333333328</v>
      </c>
      <c r="L838" s="17">
        <f t="shared" si="911"/>
        <v>582.79999999999995</v>
      </c>
      <c r="M838" s="17">
        <f t="shared" si="912"/>
        <v>582.6</v>
      </c>
    </row>
    <row r="839" spans="1:13" x14ac:dyDescent="0.35">
      <c r="B839" s="2">
        <v>30</v>
      </c>
      <c r="C839" s="2">
        <f t="shared" si="902"/>
        <v>2533</v>
      </c>
      <c r="D839" s="2">
        <f t="shared" si="903"/>
        <v>2503</v>
      </c>
      <c r="E839" s="3">
        <f t="shared" si="904"/>
        <v>17521</v>
      </c>
      <c r="F839" s="17">
        <f t="shared" si="905"/>
        <v>584</v>
      </c>
      <c r="G839" s="17">
        <f t="shared" si="906"/>
        <v>583.79999999999995</v>
      </c>
      <c r="H839" s="17">
        <f t="shared" si="907"/>
        <v>583.66666666666663</v>
      </c>
      <c r="I839" s="17">
        <f t="shared" si="908"/>
        <v>583.6</v>
      </c>
      <c r="J839" s="17">
        <f t="shared" si="909"/>
        <v>583.4666666666667</v>
      </c>
      <c r="K839" s="17">
        <f t="shared" si="910"/>
        <v>583.4</v>
      </c>
      <c r="L839" s="17">
        <f t="shared" si="911"/>
        <v>583.26666666666665</v>
      </c>
      <c r="M839" s="17">
        <f t="shared" si="912"/>
        <v>583.06666666666672</v>
      </c>
    </row>
    <row r="840" spans="1:13" x14ac:dyDescent="0.35">
      <c r="B840" s="2">
        <v>30</v>
      </c>
      <c r="C840" s="2">
        <f t="shared" si="902"/>
        <v>2537</v>
      </c>
      <c r="D840" s="2">
        <f t="shared" si="903"/>
        <v>2507</v>
      </c>
      <c r="E840" s="3">
        <f t="shared" si="904"/>
        <v>17549</v>
      </c>
      <c r="F840" s="17">
        <f t="shared" si="905"/>
        <v>584.93333333333328</v>
      </c>
      <c r="G840" s="17">
        <f t="shared" si="906"/>
        <v>584.73333333333335</v>
      </c>
      <c r="H840" s="17">
        <f t="shared" si="907"/>
        <v>584.6</v>
      </c>
      <c r="I840" s="17">
        <f t="shared" si="908"/>
        <v>584.5333333333333</v>
      </c>
      <c r="J840" s="17">
        <f t="shared" si="909"/>
        <v>584.4</v>
      </c>
      <c r="K840" s="17">
        <f t="shared" si="910"/>
        <v>584.33333333333337</v>
      </c>
      <c r="L840" s="17">
        <f t="shared" si="911"/>
        <v>584.20000000000005</v>
      </c>
      <c r="M840" s="17">
        <f t="shared" si="912"/>
        <v>584</v>
      </c>
    </row>
    <row r="841" spans="1:13" x14ac:dyDescent="0.35">
      <c r="B841" s="2">
        <v>30</v>
      </c>
      <c r="C841" s="2">
        <f t="shared" si="902"/>
        <v>2539</v>
      </c>
      <c r="D841" s="2">
        <f t="shared" si="903"/>
        <v>2509</v>
      </c>
      <c r="E841" s="3">
        <f t="shared" si="904"/>
        <v>17563</v>
      </c>
      <c r="F841" s="17">
        <f t="shared" si="905"/>
        <v>585.4</v>
      </c>
      <c r="G841" s="17">
        <f t="shared" si="906"/>
        <v>585.20000000000005</v>
      </c>
      <c r="H841" s="17">
        <f t="shared" si="907"/>
        <v>585.06666666666672</v>
      </c>
      <c r="I841" s="17">
        <f t="shared" si="908"/>
        <v>585</v>
      </c>
      <c r="J841" s="17">
        <f t="shared" si="909"/>
        <v>584.86666666666667</v>
      </c>
      <c r="K841" s="17">
        <f t="shared" si="910"/>
        <v>584.79999999999995</v>
      </c>
      <c r="L841" s="17">
        <f t="shared" si="911"/>
        <v>584.66666666666663</v>
      </c>
      <c r="M841" s="17">
        <f t="shared" si="912"/>
        <v>584.4666666666667</v>
      </c>
    </row>
    <row r="842" spans="1:13" x14ac:dyDescent="0.35">
      <c r="B842" s="2">
        <v>30</v>
      </c>
      <c r="C842" s="2">
        <f t="shared" si="902"/>
        <v>2543</v>
      </c>
      <c r="D842" s="2">
        <f t="shared" si="903"/>
        <v>2513</v>
      </c>
      <c r="E842" s="3">
        <f t="shared" si="904"/>
        <v>17591</v>
      </c>
      <c r="F842" s="17">
        <f t="shared" si="905"/>
        <v>586.33333333333337</v>
      </c>
      <c r="G842" s="17">
        <f t="shared" si="906"/>
        <v>586.13333333333333</v>
      </c>
      <c r="H842" s="17">
        <f t="shared" si="907"/>
        <v>586</v>
      </c>
      <c r="I842" s="17">
        <f t="shared" si="908"/>
        <v>585.93333333333328</v>
      </c>
      <c r="J842" s="17">
        <f t="shared" si="909"/>
        <v>585.79999999999995</v>
      </c>
      <c r="K842" s="17">
        <f t="shared" si="910"/>
        <v>585.73333333333335</v>
      </c>
      <c r="L842" s="17">
        <f t="shared" si="911"/>
        <v>585.6</v>
      </c>
      <c r="M842" s="17">
        <f t="shared" si="912"/>
        <v>585.4</v>
      </c>
    </row>
    <row r="843" spans="1:13" x14ac:dyDescent="0.35">
      <c r="B843" s="2">
        <v>30</v>
      </c>
      <c r="C843" s="2">
        <f t="shared" si="902"/>
        <v>2549</v>
      </c>
      <c r="D843" s="2">
        <f t="shared" si="903"/>
        <v>2519</v>
      </c>
      <c r="E843" s="3">
        <f t="shared" si="904"/>
        <v>17633</v>
      </c>
      <c r="F843" s="17">
        <f t="shared" si="905"/>
        <v>587.73333333333335</v>
      </c>
      <c r="G843" s="17">
        <f t="shared" si="906"/>
        <v>587.5333333333333</v>
      </c>
      <c r="H843" s="17">
        <f t="shared" si="907"/>
        <v>587.4</v>
      </c>
      <c r="I843" s="17">
        <f t="shared" si="908"/>
        <v>587.33333333333337</v>
      </c>
      <c r="J843" s="17">
        <f t="shared" si="909"/>
        <v>587.20000000000005</v>
      </c>
      <c r="K843" s="17">
        <f t="shared" si="910"/>
        <v>587.13333333333333</v>
      </c>
      <c r="L843" s="17">
        <f t="shared" si="911"/>
        <v>587</v>
      </c>
      <c r="M843" s="17">
        <f t="shared" si="912"/>
        <v>586.79999999999995</v>
      </c>
    </row>
    <row r="844" spans="1:13" ht="16.8" thickBot="1" x14ac:dyDescent="0.4">
      <c r="F844" s="17"/>
      <c r="G844" s="17"/>
      <c r="H844" s="17"/>
      <c r="I844" s="17"/>
      <c r="J844" s="17"/>
      <c r="K844" s="17"/>
      <c r="L844" s="17"/>
      <c r="M844" s="17"/>
    </row>
    <row r="845" spans="1:13" ht="16.8" thickBot="1" x14ac:dyDescent="0.4">
      <c r="A845" s="1">
        <f>A835+1</f>
        <v>85</v>
      </c>
      <c r="C845" s="18" t="s">
        <v>2</v>
      </c>
      <c r="E845" s="13">
        <f>E826</f>
        <v>17227</v>
      </c>
      <c r="F845" s="19">
        <v>1</v>
      </c>
      <c r="G845" s="20">
        <v>7</v>
      </c>
      <c r="H845" s="20">
        <v>11</v>
      </c>
      <c r="I845" s="20">
        <v>13</v>
      </c>
      <c r="J845" s="20">
        <v>17</v>
      </c>
      <c r="K845" s="20">
        <v>19</v>
      </c>
      <c r="L845" s="20">
        <v>23</v>
      </c>
      <c r="M845" s="21">
        <v>29</v>
      </c>
    </row>
    <row r="846" spans="1:13" x14ac:dyDescent="0.35">
      <c r="B846" s="2">
        <v>30</v>
      </c>
      <c r="C846" s="2">
        <f>D846+B846</f>
        <v>2551</v>
      </c>
      <c r="D846" s="2">
        <f>C836</f>
        <v>2521</v>
      </c>
      <c r="E846" s="3">
        <f>D846*$E$5</f>
        <v>17647</v>
      </c>
      <c r="F846" s="17">
        <f>(E846-1)/30</f>
        <v>588.20000000000005</v>
      </c>
      <c r="G846" s="17">
        <f>($E846-7)/30</f>
        <v>588</v>
      </c>
      <c r="H846" s="17">
        <f>($E846-11)/30</f>
        <v>587.86666666666667</v>
      </c>
      <c r="I846" s="17">
        <f>($E846-13)/30</f>
        <v>587.79999999999995</v>
      </c>
      <c r="J846" s="17">
        <f>($E846-17)/30</f>
        <v>587.66666666666663</v>
      </c>
      <c r="K846" s="17">
        <f>($E846-19)/30</f>
        <v>587.6</v>
      </c>
      <c r="L846" s="17">
        <f>($E846-23)/30</f>
        <v>587.4666666666667</v>
      </c>
      <c r="M846" s="17">
        <f>($E846-29)/30</f>
        <v>587.26666666666665</v>
      </c>
    </row>
    <row r="847" spans="1:13" x14ac:dyDescent="0.35">
      <c r="B847" s="2">
        <v>30</v>
      </c>
      <c r="C847" s="2">
        <f t="shared" ref="C847:C853" si="913">D847+B847</f>
        <v>2557</v>
      </c>
      <c r="D847" s="2">
        <f t="shared" ref="D847:D853" si="914">C837</f>
        <v>2527</v>
      </c>
      <c r="E847" s="3">
        <f t="shared" ref="E847:E853" si="915">D847*$E$5</f>
        <v>17689</v>
      </c>
      <c r="F847" s="17">
        <f t="shared" ref="F847:F853" si="916">(E847-1)/30</f>
        <v>589.6</v>
      </c>
      <c r="G847" s="17">
        <f t="shared" ref="G847:G853" si="917">($E847-7)/30</f>
        <v>589.4</v>
      </c>
      <c r="H847" s="17">
        <f t="shared" ref="H847:H853" si="918">($E847-11)/30</f>
        <v>589.26666666666665</v>
      </c>
      <c r="I847" s="17">
        <f t="shared" ref="I847:I853" si="919">($E847-13)/30</f>
        <v>589.20000000000005</v>
      </c>
      <c r="J847" s="17">
        <f t="shared" ref="J847:J853" si="920">($E847-17)/30</f>
        <v>589.06666666666672</v>
      </c>
      <c r="K847" s="17">
        <f t="shared" ref="K847:K853" si="921">($E847-19)/30</f>
        <v>589</v>
      </c>
      <c r="L847" s="17">
        <f t="shared" ref="L847:L853" si="922">($E847-23)/30</f>
        <v>588.86666666666667</v>
      </c>
      <c r="M847" s="17">
        <f t="shared" ref="M847:M853" si="923">($E847-29)/30</f>
        <v>588.66666666666663</v>
      </c>
    </row>
    <row r="848" spans="1:13" x14ac:dyDescent="0.35">
      <c r="B848" s="2">
        <v>30</v>
      </c>
      <c r="C848" s="2">
        <f t="shared" si="913"/>
        <v>2561</v>
      </c>
      <c r="D848" s="2">
        <f t="shared" si="914"/>
        <v>2531</v>
      </c>
      <c r="E848" s="3">
        <f t="shared" si="915"/>
        <v>17717</v>
      </c>
      <c r="F848" s="17">
        <f t="shared" si="916"/>
        <v>590.5333333333333</v>
      </c>
      <c r="G848" s="17">
        <f t="shared" si="917"/>
        <v>590.33333333333337</v>
      </c>
      <c r="H848" s="17">
        <f t="shared" si="918"/>
        <v>590.20000000000005</v>
      </c>
      <c r="I848" s="17">
        <f t="shared" si="919"/>
        <v>590.13333333333333</v>
      </c>
      <c r="J848" s="17">
        <f t="shared" si="920"/>
        <v>590</v>
      </c>
      <c r="K848" s="17">
        <f t="shared" si="921"/>
        <v>589.93333333333328</v>
      </c>
      <c r="L848" s="17">
        <f t="shared" si="922"/>
        <v>589.79999999999995</v>
      </c>
      <c r="M848" s="17">
        <f t="shared" si="923"/>
        <v>589.6</v>
      </c>
    </row>
    <row r="849" spans="1:13" x14ac:dyDescent="0.35">
      <c r="B849" s="2">
        <v>30</v>
      </c>
      <c r="C849" s="2">
        <f t="shared" si="913"/>
        <v>2563</v>
      </c>
      <c r="D849" s="2">
        <f t="shared" si="914"/>
        <v>2533</v>
      </c>
      <c r="E849" s="3">
        <f t="shared" si="915"/>
        <v>17731</v>
      </c>
      <c r="F849" s="17">
        <f t="shared" si="916"/>
        <v>591</v>
      </c>
      <c r="G849" s="17">
        <f t="shared" si="917"/>
        <v>590.79999999999995</v>
      </c>
      <c r="H849" s="17">
        <f t="shared" si="918"/>
        <v>590.66666666666663</v>
      </c>
      <c r="I849" s="17">
        <f t="shared" si="919"/>
        <v>590.6</v>
      </c>
      <c r="J849" s="17">
        <f t="shared" si="920"/>
        <v>590.4666666666667</v>
      </c>
      <c r="K849" s="17">
        <f t="shared" si="921"/>
        <v>590.4</v>
      </c>
      <c r="L849" s="17">
        <f t="shared" si="922"/>
        <v>590.26666666666665</v>
      </c>
      <c r="M849" s="17">
        <f t="shared" si="923"/>
        <v>590.06666666666672</v>
      </c>
    </row>
    <row r="850" spans="1:13" x14ac:dyDescent="0.35">
      <c r="B850" s="2">
        <v>30</v>
      </c>
      <c r="C850" s="2">
        <f t="shared" si="913"/>
        <v>2567</v>
      </c>
      <c r="D850" s="2">
        <f t="shared" si="914"/>
        <v>2537</v>
      </c>
      <c r="E850" s="3">
        <f t="shared" si="915"/>
        <v>17759</v>
      </c>
      <c r="F850" s="17">
        <f t="shared" si="916"/>
        <v>591.93333333333328</v>
      </c>
      <c r="G850" s="17">
        <f t="shared" si="917"/>
        <v>591.73333333333335</v>
      </c>
      <c r="H850" s="17">
        <f t="shared" si="918"/>
        <v>591.6</v>
      </c>
      <c r="I850" s="17">
        <f t="shared" si="919"/>
        <v>591.5333333333333</v>
      </c>
      <c r="J850" s="17">
        <f t="shared" si="920"/>
        <v>591.4</v>
      </c>
      <c r="K850" s="17">
        <f t="shared" si="921"/>
        <v>591.33333333333337</v>
      </c>
      <c r="L850" s="17">
        <f t="shared" si="922"/>
        <v>591.20000000000005</v>
      </c>
      <c r="M850" s="17">
        <f t="shared" si="923"/>
        <v>591</v>
      </c>
    </row>
    <row r="851" spans="1:13" x14ac:dyDescent="0.35">
      <c r="B851" s="2">
        <v>30</v>
      </c>
      <c r="C851" s="2">
        <f t="shared" si="913"/>
        <v>2569</v>
      </c>
      <c r="D851" s="2">
        <f t="shared" si="914"/>
        <v>2539</v>
      </c>
      <c r="E851" s="3">
        <f t="shared" si="915"/>
        <v>17773</v>
      </c>
      <c r="F851" s="17">
        <f t="shared" si="916"/>
        <v>592.4</v>
      </c>
      <c r="G851" s="17">
        <f t="shared" si="917"/>
        <v>592.20000000000005</v>
      </c>
      <c r="H851" s="17">
        <f t="shared" si="918"/>
        <v>592.06666666666672</v>
      </c>
      <c r="I851" s="17">
        <f t="shared" si="919"/>
        <v>592</v>
      </c>
      <c r="J851" s="17">
        <f t="shared" si="920"/>
        <v>591.86666666666667</v>
      </c>
      <c r="K851" s="17">
        <f t="shared" si="921"/>
        <v>591.79999999999995</v>
      </c>
      <c r="L851" s="17">
        <f t="shared" si="922"/>
        <v>591.66666666666663</v>
      </c>
      <c r="M851" s="17">
        <f t="shared" si="923"/>
        <v>591.4666666666667</v>
      </c>
    </row>
    <row r="852" spans="1:13" x14ac:dyDescent="0.35">
      <c r="B852" s="2">
        <v>30</v>
      </c>
      <c r="C852" s="2">
        <f t="shared" si="913"/>
        <v>2573</v>
      </c>
      <c r="D852" s="2">
        <f t="shared" si="914"/>
        <v>2543</v>
      </c>
      <c r="E852" s="3">
        <f t="shared" si="915"/>
        <v>17801</v>
      </c>
      <c r="F852" s="17">
        <f t="shared" si="916"/>
        <v>593.33333333333337</v>
      </c>
      <c r="G852" s="17">
        <f t="shared" si="917"/>
        <v>593.13333333333333</v>
      </c>
      <c r="H852" s="17">
        <f t="shared" si="918"/>
        <v>593</v>
      </c>
      <c r="I852" s="17">
        <f t="shared" si="919"/>
        <v>592.93333333333328</v>
      </c>
      <c r="J852" s="17">
        <f t="shared" si="920"/>
        <v>592.79999999999995</v>
      </c>
      <c r="K852" s="17">
        <f t="shared" si="921"/>
        <v>592.73333333333335</v>
      </c>
      <c r="L852" s="17">
        <f t="shared" si="922"/>
        <v>592.6</v>
      </c>
      <c r="M852" s="17">
        <f t="shared" si="923"/>
        <v>592.4</v>
      </c>
    </row>
    <row r="853" spans="1:13" x14ac:dyDescent="0.35">
      <c r="B853" s="2">
        <v>30</v>
      </c>
      <c r="C853" s="2">
        <f t="shared" si="913"/>
        <v>2579</v>
      </c>
      <c r="D853" s="2">
        <f t="shared" si="914"/>
        <v>2549</v>
      </c>
      <c r="E853" s="3">
        <f t="shared" si="915"/>
        <v>17843</v>
      </c>
      <c r="F853" s="17">
        <f t="shared" si="916"/>
        <v>594.73333333333335</v>
      </c>
      <c r="G853" s="17">
        <f t="shared" si="917"/>
        <v>594.5333333333333</v>
      </c>
      <c r="H853" s="17">
        <f t="shared" si="918"/>
        <v>594.4</v>
      </c>
      <c r="I853" s="17">
        <f t="shared" si="919"/>
        <v>594.33333333333337</v>
      </c>
      <c r="J853" s="17">
        <f t="shared" si="920"/>
        <v>594.20000000000005</v>
      </c>
      <c r="K853" s="17">
        <f t="shared" si="921"/>
        <v>594.13333333333333</v>
      </c>
      <c r="L853" s="17">
        <f t="shared" si="922"/>
        <v>594</v>
      </c>
      <c r="M853" s="17">
        <f t="shared" si="923"/>
        <v>593.79999999999995</v>
      </c>
    </row>
    <row r="854" spans="1:13" ht="16.8" thickBot="1" x14ac:dyDescent="0.4">
      <c r="F854" s="17"/>
      <c r="G854" s="17"/>
      <c r="H854" s="17"/>
      <c r="I854" s="17"/>
      <c r="J854" s="17"/>
      <c r="K854" s="17"/>
      <c r="L854" s="17"/>
      <c r="M854" s="17"/>
    </row>
    <row r="855" spans="1:13" ht="16.8" thickBot="1" x14ac:dyDescent="0.4">
      <c r="A855" s="1">
        <f>A845+1</f>
        <v>86</v>
      </c>
      <c r="C855" s="18" t="s">
        <v>2</v>
      </c>
      <c r="E855" s="13">
        <f>E836</f>
        <v>17437</v>
      </c>
      <c r="F855" s="19">
        <v>1</v>
      </c>
      <c r="G855" s="20">
        <v>7</v>
      </c>
      <c r="H855" s="20">
        <v>11</v>
      </c>
      <c r="I855" s="20">
        <v>13</v>
      </c>
      <c r="J855" s="20">
        <v>17</v>
      </c>
      <c r="K855" s="20">
        <v>19</v>
      </c>
      <c r="L855" s="20">
        <v>23</v>
      </c>
      <c r="M855" s="21">
        <v>29</v>
      </c>
    </row>
    <row r="856" spans="1:13" x14ac:dyDescent="0.35">
      <c r="B856" s="2">
        <v>30</v>
      </c>
      <c r="C856" s="2">
        <f>D856+B856</f>
        <v>2581</v>
      </c>
      <c r="D856" s="2">
        <f>C846</f>
        <v>2551</v>
      </c>
      <c r="E856" s="3">
        <f>D856*$E$5</f>
        <v>17857</v>
      </c>
      <c r="F856" s="17">
        <f>(E856-1)/30</f>
        <v>595.20000000000005</v>
      </c>
      <c r="G856" s="17">
        <f>($E856-7)/30</f>
        <v>595</v>
      </c>
      <c r="H856" s="17">
        <f>($E856-11)/30</f>
        <v>594.86666666666667</v>
      </c>
      <c r="I856" s="17">
        <f>($E856-13)/30</f>
        <v>594.79999999999995</v>
      </c>
      <c r="J856" s="17">
        <f>($E856-17)/30</f>
        <v>594.66666666666663</v>
      </c>
      <c r="K856" s="17">
        <f>($E856-19)/30</f>
        <v>594.6</v>
      </c>
      <c r="L856" s="17">
        <f>($E856-23)/30</f>
        <v>594.4666666666667</v>
      </c>
      <c r="M856" s="17">
        <f>($E856-29)/30</f>
        <v>594.26666666666665</v>
      </c>
    </row>
    <row r="857" spans="1:13" x14ac:dyDescent="0.35">
      <c r="B857" s="2">
        <v>30</v>
      </c>
      <c r="C857" s="2">
        <f t="shared" ref="C857:C863" si="924">D857+B857</f>
        <v>2587</v>
      </c>
      <c r="D857" s="2">
        <f t="shared" ref="D857:D863" si="925">C847</f>
        <v>2557</v>
      </c>
      <c r="E857" s="3">
        <f t="shared" ref="E857:E863" si="926">D857*$E$5</f>
        <v>17899</v>
      </c>
      <c r="F857" s="17">
        <f t="shared" ref="F857:F863" si="927">(E857-1)/30</f>
        <v>596.6</v>
      </c>
      <c r="G857" s="17">
        <f t="shared" ref="G857:G863" si="928">($E857-7)/30</f>
        <v>596.4</v>
      </c>
      <c r="H857" s="17">
        <f t="shared" ref="H857:H863" si="929">($E857-11)/30</f>
        <v>596.26666666666665</v>
      </c>
      <c r="I857" s="17">
        <f t="shared" ref="I857:I863" si="930">($E857-13)/30</f>
        <v>596.20000000000005</v>
      </c>
      <c r="J857" s="17">
        <f t="shared" ref="J857:J863" si="931">($E857-17)/30</f>
        <v>596.06666666666672</v>
      </c>
      <c r="K857" s="17">
        <f t="shared" ref="K857:K863" si="932">($E857-19)/30</f>
        <v>596</v>
      </c>
      <c r="L857" s="17">
        <f t="shared" ref="L857:L863" si="933">($E857-23)/30</f>
        <v>595.86666666666667</v>
      </c>
      <c r="M857" s="17">
        <f t="shared" ref="M857:M863" si="934">($E857-29)/30</f>
        <v>595.66666666666663</v>
      </c>
    </row>
    <row r="858" spans="1:13" x14ac:dyDescent="0.35">
      <c r="B858" s="2">
        <v>30</v>
      </c>
      <c r="C858" s="2">
        <f t="shared" si="924"/>
        <v>2591</v>
      </c>
      <c r="D858" s="2">
        <f t="shared" si="925"/>
        <v>2561</v>
      </c>
      <c r="E858" s="3">
        <f t="shared" si="926"/>
        <v>17927</v>
      </c>
      <c r="F858" s="17">
        <f t="shared" si="927"/>
        <v>597.5333333333333</v>
      </c>
      <c r="G858" s="17">
        <f t="shared" si="928"/>
        <v>597.33333333333337</v>
      </c>
      <c r="H858" s="17">
        <f t="shared" si="929"/>
        <v>597.20000000000005</v>
      </c>
      <c r="I858" s="17">
        <f t="shared" si="930"/>
        <v>597.13333333333333</v>
      </c>
      <c r="J858" s="17">
        <f t="shared" si="931"/>
        <v>597</v>
      </c>
      <c r="K858" s="17">
        <f t="shared" si="932"/>
        <v>596.93333333333328</v>
      </c>
      <c r="L858" s="17">
        <f t="shared" si="933"/>
        <v>596.79999999999995</v>
      </c>
      <c r="M858" s="17">
        <f t="shared" si="934"/>
        <v>596.6</v>
      </c>
    </row>
    <row r="859" spans="1:13" x14ac:dyDescent="0.35">
      <c r="B859" s="2">
        <v>30</v>
      </c>
      <c r="C859" s="2">
        <f t="shared" si="924"/>
        <v>2593</v>
      </c>
      <c r="D859" s="2">
        <f t="shared" si="925"/>
        <v>2563</v>
      </c>
      <c r="E859" s="3">
        <f t="shared" si="926"/>
        <v>17941</v>
      </c>
      <c r="F859" s="17">
        <f t="shared" si="927"/>
        <v>598</v>
      </c>
      <c r="G859" s="17">
        <f t="shared" si="928"/>
        <v>597.79999999999995</v>
      </c>
      <c r="H859" s="17">
        <f t="shared" si="929"/>
        <v>597.66666666666663</v>
      </c>
      <c r="I859" s="17">
        <f t="shared" si="930"/>
        <v>597.6</v>
      </c>
      <c r="J859" s="17">
        <f t="shared" si="931"/>
        <v>597.4666666666667</v>
      </c>
      <c r="K859" s="17">
        <f t="shared" si="932"/>
        <v>597.4</v>
      </c>
      <c r="L859" s="17">
        <f t="shared" si="933"/>
        <v>597.26666666666665</v>
      </c>
      <c r="M859" s="17">
        <f t="shared" si="934"/>
        <v>597.06666666666672</v>
      </c>
    </row>
    <row r="860" spans="1:13" x14ac:dyDescent="0.35">
      <c r="B860" s="2">
        <v>30</v>
      </c>
      <c r="C860" s="2">
        <f t="shared" si="924"/>
        <v>2597</v>
      </c>
      <c r="D860" s="2">
        <f t="shared" si="925"/>
        <v>2567</v>
      </c>
      <c r="E860" s="3">
        <f t="shared" si="926"/>
        <v>17969</v>
      </c>
      <c r="F860" s="17">
        <f t="shared" si="927"/>
        <v>598.93333333333328</v>
      </c>
      <c r="G860" s="17">
        <f t="shared" si="928"/>
        <v>598.73333333333335</v>
      </c>
      <c r="H860" s="17">
        <f t="shared" si="929"/>
        <v>598.6</v>
      </c>
      <c r="I860" s="17">
        <f t="shared" si="930"/>
        <v>598.5333333333333</v>
      </c>
      <c r="J860" s="17">
        <f t="shared" si="931"/>
        <v>598.4</v>
      </c>
      <c r="K860" s="17">
        <f t="shared" si="932"/>
        <v>598.33333333333337</v>
      </c>
      <c r="L860" s="17">
        <f t="shared" si="933"/>
        <v>598.20000000000005</v>
      </c>
      <c r="M860" s="17">
        <f t="shared" si="934"/>
        <v>598</v>
      </c>
    </row>
    <row r="861" spans="1:13" x14ac:dyDescent="0.35">
      <c r="B861" s="2">
        <v>30</v>
      </c>
      <c r="C861" s="2">
        <f t="shared" si="924"/>
        <v>2599</v>
      </c>
      <c r="D861" s="2">
        <f t="shared" si="925"/>
        <v>2569</v>
      </c>
      <c r="E861" s="3">
        <f t="shared" si="926"/>
        <v>17983</v>
      </c>
      <c r="F861" s="17">
        <f t="shared" si="927"/>
        <v>599.4</v>
      </c>
      <c r="G861" s="17">
        <f t="shared" si="928"/>
        <v>599.20000000000005</v>
      </c>
      <c r="H861" s="17">
        <f t="shared" si="929"/>
        <v>599.06666666666672</v>
      </c>
      <c r="I861" s="17">
        <f t="shared" si="930"/>
        <v>599</v>
      </c>
      <c r="J861" s="17">
        <f t="shared" si="931"/>
        <v>598.86666666666667</v>
      </c>
      <c r="K861" s="17">
        <f t="shared" si="932"/>
        <v>598.79999999999995</v>
      </c>
      <c r="L861" s="17">
        <f t="shared" si="933"/>
        <v>598.66666666666663</v>
      </c>
      <c r="M861" s="17">
        <f t="shared" si="934"/>
        <v>598.4666666666667</v>
      </c>
    </row>
    <row r="862" spans="1:13" x14ac:dyDescent="0.35">
      <c r="B862" s="2">
        <v>30</v>
      </c>
      <c r="C862" s="2">
        <f t="shared" si="924"/>
        <v>2603</v>
      </c>
      <c r="D862" s="2">
        <f t="shared" si="925"/>
        <v>2573</v>
      </c>
      <c r="E862" s="3">
        <f t="shared" si="926"/>
        <v>18011</v>
      </c>
      <c r="F862" s="17">
        <f t="shared" si="927"/>
        <v>600.33333333333337</v>
      </c>
      <c r="G862" s="17">
        <f t="shared" si="928"/>
        <v>600.13333333333333</v>
      </c>
      <c r="H862" s="17">
        <f t="shared" si="929"/>
        <v>600</v>
      </c>
      <c r="I862" s="17">
        <f t="shared" si="930"/>
        <v>599.93333333333328</v>
      </c>
      <c r="J862" s="17">
        <f t="shared" si="931"/>
        <v>599.79999999999995</v>
      </c>
      <c r="K862" s="17">
        <f t="shared" si="932"/>
        <v>599.73333333333335</v>
      </c>
      <c r="L862" s="17">
        <f t="shared" si="933"/>
        <v>599.6</v>
      </c>
      <c r="M862" s="17">
        <f t="shared" si="934"/>
        <v>599.4</v>
      </c>
    </row>
    <row r="863" spans="1:13" x14ac:dyDescent="0.35">
      <c r="B863" s="2">
        <v>30</v>
      </c>
      <c r="C863" s="2">
        <f t="shared" si="924"/>
        <v>2609</v>
      </c>
      <c r="D863" s="2">
        <f t="shared" si="925"/>
        <v>2579</v>
      </c>
      <c r="E863" s="3">
        <f t="shared" si="926"/>
        <v>18053</v>
      </c>
      <c r="F863" s="17">
        <f t="shared" si="927"/>
        <v>601.73333333333335</v>
      </c>
      <c r="G863" s="17">
        <f t="shared" si="928"/>
        <v>601.5333333333333</v>
      </c>
      <c r="H863" s="17">
        <f t="shared" si="929"/>
        <v>601.4</v>
      </c>
      <c r="I863" s="17">
        <f t="shared" si="930"/>
        <v>601.33333333333337</v>
      </c>
      <c r="J863" s="17">
        <f t="shared" si="931"/>
        <v>601.20000000000005</v>
      </c>
      <c r="K863" s="17">
        <f t="shared" si="932"/>
        <v>601.13333333333333</v>
      </c>
      <c r="L863" s="17">
        <f t="shared" si="933"/>
        <v>601</v>
      </c>
      <c r="M863" s="17">
        <f t="shared" si="934"/>
        <v>600.79999999999995</v>
      </c>
    </row>
    <row r="864" spans="1:13" ht="16.8" thickBot="1" x14ac:dyDescent="0.4">
      <c r="F864" s="17"/>
      <c r="G864" s="17"/>
      <c r="H864" s="17"/>
      <c r="I864" s="17"/>
      <c r="J864" s="17"/>
      <c r="K864" s="17"/>
      <c r="L864" s="17"/>
      <c r="M864" s="17"/>
    </row>
    <row r="865" spans="1:13" ht="16.8" thickBot="1" x14ac:dyDescent="0.4">
      <c r="A865" s="1">
        <f>A855+1</f>
        <v>87</v>
      </c>
      <c r="C865" s="18" t="s">
        <v>2</v>
      </c>
      <c r="E865" s="13">
        <f>E846</f>
        <v>17647</v>
      </c>
      <c r="F865" s="19">
        <v>1</v>
      </c>
      <c r="G865" s="20">
        <v>7</v>
      </c>
      <c r="H865" s="20">
        <v>11</v>
      </c>
      <c r="I865" s="20">
        <v>13</v>
      </c>
      <c r="J865" s="20">
        <v>17</v>
      </c>
      <c r="K865" s="20">
        <v>19</v>
      </c>
      <c r="L865" s="20">
        <v>23</v>
      </c>
      <c r="M865" s="21">
        <v>29</v>
      </c>
    </row>
    <row r="866" spans="1:13" x14ac:dyDescent="0.35">
      <c r="B866" s="2">
        <v>30</v>
      </c>
      <c r="C866" s="2">
        <f>D866+B866</f>
        <v>2611</v>
      </c>
      <c r="D866" s="2">
        <f>C856</f>
        <v>2581</v>
      </c>
      <c r="E866" s="3">
        <f>D866*$E$5</f>
        <v>18067</v>
      </c>
      <c r="F866" s="17">
        <f>(E866-1)/30</f>
        <v>602.20000000000005</v>
      </c>
      <c r="G866" s="17">
        <f>($E866-7)/30</f>
        <v>602</v>
      </c>
      <c r="H866" s="17">
        <f>($E866-11)/30</f>
        <v>601.86666666666667</v>
      </c>
      <c r="I866" s="17">
        <f>($E866-13)/30</f>
        <v>601.79999999999995</v>
      </c>
      <c r="J866" s="17">
        <f>($E866-17)/30</f>
        <v>601.66666666666663</v>
      </c>
      <c r="K866" s="17">
        <f>($E866-19)/30</f>
        <v>601.6</v>
      </c>
      <c r="L866" s="17">
        <f>($E866-23)/30</f>
        <v>601.4666666666667</v>
      </c>
      <c r="M866" s="17">
        <f>($E866-29)/30</f>
        <v>601.26666666666665</v>
      </c>
    </row>
    <row r="867" spans="1:13" x14ac:dyDescent="0.35">
      <c r="B867" s="2">
        <v>30</v>
      </c>
      <c r="C867" s="2">
        <f t="shared" ref="C867:C873" si="935">D867+B867</f>
        <v>2617</v>
      </c>
      <c r="D867" s="2">
        <f t="shared" ref="D867:D873" si="936">C857</f>
        <v>2587</v>
      </c>
      <c r="E867" s="3">
        <f t="shared" ref="E867:E873" si="937">D867*$E$5</f>
        <v>18109</v>
      </c>
      <c r="F867" s="17">
        <f t="shared" ref="F867:F873" si="938">(E867-1)/30</f>
        <v>603.6</v>
      </c>
      <c r="G867" s="17">
        <f t="shared" ref="G867:G873" si="939">($E867-7)/30</f>
        <v>603.4</v>
      </c>
      <c r="H867" s="17">
        <f t="shared" ref="H867:H873" si="940">($E867-11)/30</f>
        <v>603.26666666666665</v>
      </c>
      <c r="I867" s="17">
        <f t="shared" ref="I867:I873" si="941">($E867-13)/30</f>
        <v>603.20000000000005</v>
      </c>
      <c r="J867" s="17">
        <f t="shared" ref="J867:J873" si="942">($E867-17)/30</f>
        <v>603.06666666666672</v>
      </c>
      <c r="K867" s="17">
        <f t="shared" ref="K867:K873" si="943">($E867-19)/30</f>
        <v>603</v>
      </c>
      <c r="L867" s="17">
        <f t="shared" ref="L867:L873" si="944">($E867-23)/30</f>
        <v>602.86666666666667</v>
      </c>
      <c r="M867" s="17">
        <f t="shared" ref="M867:M873" si="945">($E867-29)/30</f>
        <v>602.66666666666663</v>
      </c>
    </row>
    <row r="868" spans="1:13" x14ac:dyDescent="0.35">
      <c r="B868" s="2">
        <v>30</v>
      </c>
      <c r="C868" s="2">
        <f t="shared" si="935"/>
        <v>2621</v>
      </c>
      <c r="D868" s="2">
        <f t="shared" si="936"/>
        <v>2591</v>
      </c>
      <c r="E868" s="3">
        <f t="shared" si="937"/>
        <v>18137</v>
      </c>
      <c r="F868" s="17">
        <f t="shared" si="938"/>
        <v>604.5333333333333</v>
      </c>
      <c r="G868" s="17">
        <f t="shared" si="939"/>
        <v>604.33333333333337</v>
      </c>
      <c r="H868" s="17">
        <f t="shared" si="940"/>
        <v>604.20000000000005</v>
      </c>
      <c r="I868" s="17">
        <f t="shared" si="941"/>
        <v>604.13333333333333</v>
      </c>
      <c r="J868" s="17">
        <f t="shared" si="942"/>
        <v>604</v>
      </c>
      <c r="K868" s="17">
        <f t="shared" si="943"/>
        <v>603.93333333333328</v>
      </c>
      <c r="L868" s="17">
        <f t="shared" si="944"/>
        <v>603.79999999999995</v>
      </c>
      <c r="M868" s="17">
        <f t="shared" si="945"/>
        <v>603.6</v>
      </c>
    </row>
    <row r="869" spans="1:13" x14ac:dyDescent="0.35">
      <c r="B869" s="2">
        <v>30</v>
      </c>
      <c r="C869" s="2">
        <f t="shared" si="935"/>
        <v>2623</v>
      </c>
      <c r="D869" s="2">
        <f t="shared" si="936"/>
        <v>2593</v>
      </c>
      <c r="E869" s="3">
        <f t="shared" si="937"/>
        <v>18151</v>
      </c>
      <c r="F869" s="17">
        <f t="shared" si="938"/>
        <v>605</v>
      </c>
      <c r="G869" s="17">
        <f t="shared" si="939"/>
        <v>604.79999999999995</v>
      </c>
      <c r="H869" s="17">
        <f t="shared" si="940"/>
        <v>604.66666666666663</v>
      </c>
      <c r="I869" s="17">
        <f t="shared" si="941"/>
        <v>604.6</v>
      </c>
      <c r="J869" s="17">
        <f t="shared" si="942"/>
        <v>604.4666666666667</v>
      </c>
      <c r="K869" s="17">
        <f t="shared" si="943"/>
        <v>604.4</v>
      </c>
      <c r="L869" s="17">
        <f t="shared" si="944"/>
        <v>604.26666666666665</v>
      </c>
      <c r="M869" s="17">
        <f t="shared" si="945"/>
        <v>604.06666666666672</v>
      </c>
    </row>
    <row r="870" spans="1:13" x14ac:dyDescent="0.35">
      <c r="B870" s="2">
        <v>30</v>
      </c>
      <c r="C870" s="2">
        <f t="shared" si="935"/>
        <v>2627</v>
      </c>
      <c r="D870" s="2">
        <f t="shared" si="936"/>
        <v>2597</v>
      </c>
      <c r="E870" s="3">
        <f t="shared" si="937"/>
        <v>18179</v>
      </c>
      <c r="F870" s="17">
        <f t="shared" si="938"/>
        <v>605.93333333333328</v>
      </c>
      <c r="G870" s="17">
        <f t="shared" si="939"/>
        <v>605.73333333333335</v>
      </c>
      <c r="H870" s="17">
        <f t="shared" si="940"/>
        <v>605.6</v>
      </c>
      <c r="I870" s="17">
        <f t="shared" si="941"/>
        <v>605.5333333333333</v>
      </c>
      <c r="J870" s="17">
        <f t="shared" si="942"/>
        <v>605.4</v>
      </c>
      <c r="K870" s="17">
        <f t="shared" si="943"/>
        <v>605.33333333333337</v>
      </c>
      <c r="L870" s="17">
        <f t="shared" si="944"/>
        <v>605.20000000000005</v>
      </c>
      <c r="M870" s="17">
        <f t="shared" si="945"/>
        <v>605</v>
      </c>
    </row>
    <row r="871" spans="1:13" x14ac:dyDescent="0.35">
      <c r="B871" s="2">
        <v>30</v>
      </c>
      <c r="C871" s="2">
        <f t="shared" si="935"/>
        <v>2629</v>
      </c>
      <c r="D871" s="2">
        <f t="shared" si="936"/>
        <v>2599</v>
      </c>
      <c r="E871" s="3">
        <f t="shared" si="937"/>
        <v>18193</v>
      </c>
      <c r="F871" s="17">
        <f t="shared" si="938"/>
        <v>606.4</v>
      </c>
      <c r="G871" s="17">
        <f t="shared" si="939"/>
        <v>606.20000000000005</v>
      </c>
      <c r="H871" s="17">
        <f t="shared" si="940"/>
        <v>606.06666666666672</v>
      </c>
      <c r="I871" s="17">
        <f t="shared" si="941"/>
        <v>606</v>
      </c>
      <c r="J871" s="17">
        <f t="shared" si="942"/>
        <v>605.86666666666667</v>
      </c>
      <c r="K871" s="17">
        <f t="shared" si="943"/>
        <v>605.79999999999995</v>
      </c>
      <c r="L871" s="17">
        <f t="shared" si="944"/>
        <v>605.66666666666663</v>
      </c>
      <c r="M871" s="17">
        <f t="shared" si="945"/>
        <v>605.4666666666667</v>
      </c>
    </row>
    <row r="872" spans="1:13" x14ac:dyDescent="0.35">
      <c r="B872" s="2">
        <v>30</v>
      </c>
      <c r="C872" s="2">
        <f t="shared" si="935"/>
        <v>2633</v>
      </c>
      <c r="D872" s="2">
        <f t="shared" si="936"/>
        <v>2603</v>
      </c>
      <c r="E872" s="3">
        <f t="shared" si="937"/>
        <v>18221</v>
      </c>
      <c r="F872" s="17">
        <f t="shared" si="938"/>
        <v>607.33333333333337</v>
      </c>
      <c r="G872" s="17">
        <f t="shared" si="939"/>
        <v>607.13333333333333</v>
      </c>
      <c r="H872" s="17">
        <f t="shared" si="940"/>
        <v>607</v>
      </c>
      <c r="I872" s="17">
        <f t="shared" si="941"/>
        <v>606.93333333333328</v>
      </c>
      <c r="J872" s="17">
        <f t="shared" si="942"/>
        <v>606.79999999999995</v>
      </c>
      <c r="K872" s="17">
        <f t="shared" si="943"/>
        <v>606.73333333333335</v>
      </c>
      <c r="L872" s="17">
        <f t="shared" si="944"/>
        <v>606.6</v>
      </c>
      <c r="M872" s="17">
        <f t="shared" si="945"/>
        <v>606.4</v>
      </c>
    </row>
    <row r="873" spans="1:13" x14ac:dyDescent="0.35">
      <c r="B873" s="2">
        <v>30</v>
      </c>
      <c r="C873" s="2">
        <f t="shared" si="935"/>
        <v>2639</v>
      </c>
      <c r="D873" s="2">
        <f t="shared" si="936"/>
        <v>2609</v>
      </c>
      <c r="E873" s="3">
        <f t="shared" si="937"/>
        <v>18263</v>
      </c>
      <c r="F873" s="17">
        <f t="shared" si="938"/>
        <v>608.73333333333335</v>
      </c>
      <c r="G873" s="17">
        <f t="shared" si="939"/>
        <v>608.5333333333333</v>
      </c>
      <c r="H873" s="17">
        <f t="shared" si="940"/>
        <v>608.4</v>
      </c>
      <c r="I873" s="17">
        <f t="shared" si="941"/>
        <v>608.33333333333337</v>
      </c>
      <c r="J873" s="17">
        <f t="shared" si="942"/>
        <v>608.20000000000005</v>
      </c>
      <c r="K873" s="17">
        <f t="shared" si="943"/>
        <v>608.13333333333333</v>
      </c>
      <c r="L873" s="17">
        <f t="shared" si="944"/>
        <v>608</v>
      </c>
      <c r="M873" s="17">
        <f t="shared" si="945"/>
        <v>607.79999999999995</v>
      </c>
    </row>
    <row r="874" spans="1:13" ht="16.8" thickBot="1" x14ac:dyDescent="0.4">
      <c r="F874" s="17"/>
      <c r="G874" s="17"/>
      <c r="H874" s="17"/>
      <c r="I874" s="17"/>
      <c r="J874" s="17"/>
      <c r="K874" s="17"/>
      <c r="L874" s="17"/>
      <c r="M874" s="17"/>
    </row>
    <row r="875" spans="1:13" ht="16.8" thickBot="1" x14ac:dyDescent="0.4">
      <c r="A875" s="1">
        <f>A865+1</f>
        <v>88</v>
      </c>
      <c r="C875" s="18" t="s">
        <v>2</v>
      </c>
      <c r="E875" s="13">
        <f>E856</f>
        <v>17857</v>
      </c>
      <c r="F875" s="19">
        <v>1</v>
      </c>
      <c r="G875" s="20">
        <v>7</v>
      </c>
      <c r="H875" s="20">
        <v>11</v>
      </c>
      <c r="I875" s="20">
        <v>13</v>
      </c>
      <c r="J875" s="20">
        <v>17</v>
      </c>
      <c r="K875" s="20">
        <v>19</v>
      </c>
      <c r="L875" s="20">
        <v>23</v>
      </c>
      <c r="M875" s="21">
        <v>29</v>
      </c>
    </row>
    <row r="876" spans="1:13" x14ac:dyDescent="0.35">
      <c r="B876" s="2">
        <v>30</v>
      </c>
      <c r="C876" s="2">
        <f>D876+B876</f>
        <v>2641</v>
      </c>
      <c r="D876" s="2">
        <f>C866</f>
        <v>2611</v>
      </c>
      <c r="E876" s="3">
        <f>D876*$E$5</f>
        <v>18277</v>
      </c>
      <c r="F876" s="17">
        <f>(E876-1)/30</f>
        <v>609.20000000000005</v>
      </c>
      <c r="G876" s="17">
        <f>($E876-7)/30</f>
        <v>609</v>
      </c>
      <c r="H876" s="17">
        <f>($E876-11)/30</f>
        <v>608.86666666666667</v>
      </c>
      <c r="I876" s="17">
        <f>($E876-13)/30</f>
        <v>608.79999999999995</v>
      </c>
      <c r="J876" s="17">
        <f>($E876-17)/30</f>
        <v>608.66666666666663</v>
      </c>
      <c r="K876" s="17">
        <f>($E876-19)/30</f>
        <v>608.6</v>
      </c>
      <c r="L876" s="17">
        <f>($E876-23)/30</f>
        <v>608.4666666666667</v>
      </c>
      <c r="M876" s="17">
        <f>($E876-29)/30</f>
        <v>608.26666666666665</v>
      </c>
    </row>
    <row r="877" spans="1:13" x14ac:dyDescent="0.35">
      <c r="B877" s="2">
        <v>30</v>
      </c>
      <c r="C877" s="2">
        <f t="shared" ref="C877:C883" si="946">D877+B877</f>
        <v>2647</v>
      </c>
      <c r="D877" s="2">
        <f t="shared" ref="D877:D883" si="947">C867</f>
        <v>2617</v>
      </c>
      <c r="E877" s="3">
        <f t="shared" ref="E877:E883" si="948">D877*$E$5</f>
        <v>18319</v>
      </c>
      <c r="F877" s="17">
        <f t="shared" ref="F877:F883" si="949">(E877-1)/30</f>
        <v>610.6</v>
      </c>
      <c r="G877" s="17">
        <f t="shared" ref="G877:G883" si="950">($E877-7)/30</f>
        <v>610.4</v>
      </c>
      <c r="H877" s="17">
        <f t="shared" ref="H877:H883" si="951">($E877-11)/30</f>
        <v>610.26666666666665</v>
      </c>
      <c r="I877" s="17">
        <f t="shared" ref="I877:I883" si="952">($E877-13)/30</f>
        <v>610.20000000000005</v>
      </c>
      <c r="J877" s="17">
        <f t="shared" ref="J877:J883" si="953">($E877-17)/30</f>
        <v>610.06666666666672</v>
      </c>
      <c r="K877" s="17">
        <f t="shared" ref="K877:K883" si="954">($E877-19)/30</f>
        <v>610</v>
      </c>
      <c r="L877" s="17">
        <f t="shared" ref="L877:L883" si="955">($E877-23)/30</f>
        <v>609.86666666666667</v>
      </c>
      <c r="M877" s="17">
        <f t="shared" ref="M877:M883" si="956">($E877-29)/30</f>
        <v>609.66666666666663</v>
      </c>
    </row>
    <row r="878" spans="1:13" x14ac:dyDescent="0.35">
      <c r="B878" s="2">
        <v>30</v>
      </c>
      <c r="C878" s="2">
        <f t="shared" si="946"/>
        <v>2651</v>
      </c>
      <c r="D878" s="2">
        <f t="shared" si="947"/>
        <v>2621</v>
      </c>
      <c r="E878" s="3">
        <f t="shared" si="948"/>
        <v>18347</v>
      </c>
      <c r="F878" s="17">
        <f t="shared" si="949"/>
        <v>611.5333333333333</v>
      </c>
      <c r="G878" s="17">
        <f t="shared" si="950"/>
        <v>611.33333333333337</v>
      </c>
      <c r="H878" s="17">
        <f t="shared" si="951"/>
        <v>611.20000000000005</v>
      </c>
      <c r="I878" s="17">
        <f t="shared" si="952"/>
        <v>611.13333333333333</v>
      </c>
      <c r="J878" s="17">
        <f t="shared" si="953"/>
        <v>611</v>
      </c>
      <c r="K878" s="17">
        <f t="shared" si="954"/>
        <v>610.93333333333328</v>
      </c>
      <c r="L878" s="17">
        <f t="shared" si="955"/>
        <v>610.79999999999995</v>
      </c>
      <c r="M878" s="17">
        <f t="shared" si="956"/>
        <v>610.6</v>
      </c>
    </row>
    <row r="879" spans="1:13" x14ac:dyDescent="0.35">
      <c r="B879" s="2">
        <v>30</v>
      </c>
      <c r="C879" s="2">
        <f t="shared" si="946"/>
        <v>2653</v>
      </c>
      <c r="D879" s="2">
        <f t="shared" si="947"/>
        <v>2623</v>
      </c>
      <c r="E879" s="3">
        <f t="shared" si="948"/>
        <v>18361</v>
      </c>
      <c r="F879" s="17">
        <f t="shared" si="949"/>
        <v>612</v>
      </c>
      <c r="G879" s="17">
        <f t="shared" si="950"/>
        <v>611.79999999999995</v>
      </c>
      <c r="H879" s="17">
        <f t="shared" si="951"/>
        <v>611.66666666666663</v>
      </c>
      <c r="I879" s="17">
        <f t="shared" si="952"/>
        <v>611.6</v>
      </c>
      <c r="J879" s="17">
        <f t="shared" si="953"/>
        <v>611.4666666666667</v>
      </c>
      <c r="K879" s="17">
        <f t="shared" si="954"/>
        <v>611.4</v>
      </c>
      <c r="L879" s="17">
        <f t="shared" si="955"/>
        <v>611.26666666666665</v>
      </c>
      <c r="M879" s="17">
        <f t="shared" si="956"/>
        <v>611.06666666666672</v>
      </c>
    </row>
    <row r="880" spans="1:13" x14ac:dyDescent="0.35">
      <c r="B880" s="2">
        <v>30</v>
      </c>
      <c r="C880" s="2">
        <f t="shared" si="946"/>
        <v>2657</v>
      </c>
      <c r="D880" s="2">
        <f t="shared" si="947"/>
        <v>2627</v>
      </c>
      <c r="E880" s="3">
        <f t="shared" si="948"/>
        <v>18389</v>
      </c>
      <c r="F880" s="17">
        <f t="shared" si="949"/>
        <v>612.93333333333328</v>
      </c>
      <c r="G880" s="17">
        <f t="shared" si="950"/>
        <v>612.73333333333335</v>
      </c>
      <c r="H880" s="17">
        <f t="shared" si="951"/>
        <v>612.6</v>
      </c>
      <c r="I880" s="17">
        <f t="shared" si="952"/>
        <v>612.5333333333333</v>
      </c>
      <c r="J880" s="17">
        <f t="shared" si="953"/>
        <v>612.4</v>
      </c>
      <c r="K880" s="17">
        <f t="shared" si="954"/>
        <v>612.33333333333337</v>
      </c>
      <c r="L880" s="17">
        <f t="shared" si="955"/>
        <v>612.20000000000005</v>
      </c>
      <c r="M880" s="17">
        <f t="shared" si="956"/>
        <v>612</v>
      </c>
    </row>
    <row r="881" spans="1:13" x14ac:dyDescent="0.35">
      <c r="B881" s="2">
        <v>30</v>
      </c>
      <c r="C881" s="2">
        <f t="shared" si="946"/>
        <v>2659</v>
      </c>
      <c r="D881" s="2">
        <f t="shared" si="947"/>
        <v>2629</v>
      </c>
      <c r="E881" s="3">
        <f t="shared" si="948"/>
        <v>18403</v>
      </c>
      <c r="F881" s="17">
        <f t="shared" si="949"/>
        <v>613.4</v>
      </c>
      <c r="G881" s="17">
        <f t="shared" si="950"/>
        <v>613.20000000000005</v>
      </c>
      <c r="H881" s="17">
        <f t="shared" si="951"/>
        <v>613.06666666666672</v>
      </c>
      <c r="I881" s="17">
        <f t="shared" si="952"/>
        <v>613</v>
      </c>
      <c r="J881" s="17">
        <f t="shared" si="953"/>
        <v>612.86666666666667</v>
      </c>
      <c r="K881" s="17">
        <f t="shared" si="954"/>
        <v>612.79999999999995</v>
      </c>
      <c r="L881" s="17">
        <f t="shared" si="955"/>
        <v>612.66666666666663</v>
      </c>
      <c r="M881" s="17">
        <f t="shared" si="956"/>
        <v>612.4666666666667</v>
      </c>
    </row>
    <row r="882" spans="1:13" x14ac:dyDescent="0.35">
      <c r="B882" s="2">
        <v>30</v>
      </c>
      <c r="C882" s="2">
        <f t="shared" si="946"/>
        <v>2663</v>
      </c>
      <c r="D882" s="2">
        <f t="shared" si="947"/>
        <v>2633</v>
      </c>
      <c r="E882" s="3">
        <f t="shared" si="948"/>
        <v>18431</v>
      </c>
      <c r="F882" s="17">
        <f t="shared" si="949"/>
        <v>614.33333333333337</v>
      </c>
      <c r="G882" s="17">
        <f t="shared" si="950"/>
        <v>614.13333333333333</v>
      </c>
      <c r="H882" s="17">
        <f t="shared" si="951"/>
        <v>614</v>
      </c>
      <c r="I882" s="17">
        <f t="shared" si="952"/>
        <v>613.93333333333328</v>
      </c>
      <c r="J882" s="17">
        <f t="shared" si="953"/>
        <v>613.79999999999995</v>
      </c>
      <c r="K882" s="17">
        <f t="shared" si="954"/>
        <v>613.73333333333335</v>
      </c>
      <c r="L882" s="17">
        <f t="shared" si="955"/>
        <v>613.6</v>
      </c>
      <c r="M882" s="17">
        <f t="shared" si="956"/>
        <v>613.4</v>
      </c>
    </row>
    <row r="883" spans="1:13" x14ac:dyDescent="0.35">
      <c r="B883" s="2">
        <v>30</v>
      </c>
      <c r="C883" s="2">
        <f t="shared" si="946"/>
        <v>2669</v>
      </c>
      <c r="D883" s="2">
        <f t="shared" si="947"/>
        <v>2639</v>
      </c>
      <c r="E883" s="3">
        <f t="shared" si="948"/>
        <v>18473</v>
      </c>
      <c r="F883" s="17">
        <f t="shared" si="949"/>
        <v>615.73333333333335</v>
      </c>
      <c r="G883" s="17">
        <f t="shared" si="950"/>
        <v>615.5333333333333</v>
      </c>
      <c r="H883" s="17">
        <f t="shared" si="951"/>
        <v>615.4</v>
      </c>
      <c r="I883" s="17">
        <f t="shared" si="952"/>
        <v>615.33333333333337</v>
      </c>
      <c r="J883" s="17">
        <f t="shared" si="953"/>
        <v>615.20000000000005</v>
      </c>
      <c r="K883" s="17">
        <f t="shared" si="954"/>
        <v>615.13333333333333</v>
      </c>
      <c r="L883" s="17">
        <f t="shared" si="955"/>
        <v>615</v>
      </c>
      <c r="M883" s="17">
        <f t="shared" si="956"/>
        <v>614.79999999999995</v>
      </c>
    </row>
    <row r="884" spans="1:13" ht="16.8" thickBot="1" x14ac:dyDescent="0.4">
      <c r="F884" s="17"/>
      <c r="G884" s="17"/>
      <c r="H884" s="17"/>
      <c r="I884" s="17"/>
      <c r="J884" s="17"/>
      <c r="K884" s="17"/>
      <c r="L884" s="17"/>
      <c r="M884" s="17"/>
    </row>
    <row r="885" spans="1:13" ht="16.8" thickBot="1" x14ac:dyDescent="0.4">
      <c r="A885" s="1">
        <f>A875+1</f>
        <v>89</v>
      </c>
      <c r="C885" s="18" t="s">
        <v>2</v>
      </c>
      <c r="E885" s="13">
        <f>E866</f>
        <v>18067</v>
      </c>
      <c r="F885" s="19">
        <v>1</v>
      </c>
      <c r="G885" s="20">
        <v>7</v>
      </c>
      <c r="H885" s="20">
        <v>11</v>
      </c>
      <c r="I885" s="20">
        <v>13</v>
      </c>
      <c r="J885" s="20">
        <v>17</v>
      </c>
      <c r="K885" s="20">
        <v>19</v>
      </c>
      <c r="L885" s="20">
        <v>23</v>
      </c>
      <c r="M885" s="21">
        <v>29</v>
      </c>
    </row>
    <row r="886" spans="1:13" x14ac:dyDescent="0.35">
      <c r="B886" s="2">
        <v>30</v>
      </c>
      <c r="C886" s="2">
        <f>D886+B886</f>
        <v>2671</v>
      </c>
      <c r="D886" s="2">
        <f>C876</f>
        <v>2641</v>
      </c>
      <c r="E886" s="3">
        <f>D886*$E$5</f>
        <v>18487</v>
      </c>
      <c r="F886" s="17">
        <f>(E886-1)/30</f>
        <v>616.20000000000005</v>
      </c>
      <c r="G886" s="17">
        <f>($E886-7)/30</f>
        <v>616</v>
      </c>
      <c r="H886" s="17">
        <f>($E886-11)/30</f>
        <v>615.86666666666667</v>
      </c>
      <c r="I886" s="17">
        <f>($E886-13)/30</f>
        <v>615.79999999999995</v>
      </c>
      <c r="J886" s="17">
        <f>($E886-17)/30</f>
        <v>615.66666666666663</v>
      </c>
      <c r="K886" s="17">
        <f>($E886-19)/30</f>
        <v>615.6</v>
      </c>
      <c r="L886" s="17">
        <f>($E886-23)/30</f>
        <v>615.4666666666667</v>
      </c>
      <c r="M886" s="17">
        <f>($E886-29)/30</f>
        <v>615.26666666666665</v>
      </c>
    </row>
    <row r="887" spans="1:13" x14ac:dyDescent="0.35">
      <c r="B887" s="2">
        <v>30</v>
      </c>
      <c r="C887" s="2">
        <f t="shared" ref="C887:C893" si="957">D887+B887</f>
        <v>2677</v>
      </c>
      <c r="D887" s="2">
        <f t="shared" ref="D887:D893" si="958">C877</f>
        <v>2647</v>
      </c>
      <c r="E887" s="3">
        <f t="shared" ref="E887:E893" si="959">D887*$E$5</f>
        <v>18529</v>
      </c>
      <c r="F887" s="17">
        <f t="shared" ref="F887:F893" si="960">(E887-1)/30</f>
        <v>617.6</v>
      </c>
      <c r="G887" s="17">
        <f t="shared" ref="G887:G893" si="961">($E887-7)/30</f>
        <v>617.4</v>
      </c>
      <c r="H887" s="17">
        <f t="shared" ref="H887:H893" si="962">($E887-11)/30</f>
        <v>617.26666666666665</v>
      </c>
      <c r="I887" s="17">
        <f t="shared" ref="I887:I893" si="963">($E887-13)/30</f>
        <v>617.20000000000005</v>
      </c>
      <c r="J887" s="17">
        <f t="shared" ref="J887:J893" si="964">($E887-17)/30</f>
        <v>617.06666666666672</v>
      </c>
      <c r="K887" s="17">
        <f t="shared" ref="K887:K893" si="965">($E887-19)/30</f>
        <v>617</v>
      </c>
      <c r="L887" s="17">
        <f t="shared" ref="L887:L893" si="966">($E887-23)/30</f>
        <v>616.86666666666667</v>
      </c>
      <c r="M887" s="17">
        <f t="shared" ref="M887:M893" si="967">($E887-29)/30</f>
        <v>616.66666666666663</v>
      </c>
    </row>
    <row r="888" spans="1:13" x14ac:dyDescent="0.35">
      <c r="B888" s="2">
        <v>30</v>
      </c>
      <c r="C888" s="2">
        <f t="shared" si="957"/>
        <v>2681</v>
      </c>
      <c r="D888" s="2">
        <f t="shared" si="958"/>
        <v>2651</v>
      </c>
      <c r="E888" s="3">
        <f t="shared" si="959"/>
        <v>18557</v>
      </c>
      <c r="F888" s="17">
        <f t="shared" si="960"/>
        <v>618.5333333333333</v>
      </c>
      <c r="G888" s="17">
        <f t="shared" si="961"/>
        <v>618.33333333333337</v>
      </c>
      <c r="H888" s="17">
        <f t="shared" si="962"/>
        <v>618.20000000000005</v>
      </c>
      <c r="I888" s="17">
        <f t="shared" si="963"/>
        <v>618.13333333333333</v>
      </c>
      <c r="J888" s="17">
        <f t="shared" si="964"/>
        <v>618</v>
      </c>
      <c r="K888" s="17">
        <f t="shared" si="965"/>
        <v>617.93333333333328</v>
      </c>
      <c r="L888" s="17">
        <f t="shared" si="966"/>
        <v>617.79999999999995</v>
      </c>
      <c r="M888" s="17">
        <f t="shared" si="967"/>
        <v>617.6</v>
      </c>
    </row>
    <row r="889" spans="1:13" x14ac:dyDescent="0.35">
      <c r="B889" s="2">
        <v>30</v>
      </c>
      <c r="C889" s="2">
        <f t="shared" si="957"/>
        <v>2683</v>
      </c>
      <c r="D889" s="2">
        <f t="shared" si="958"/>
        <v>2653</v>
      </c>
      <c r="E889" s="3">
        <f t="shared" si="959"/>
        <v>18571</v>
      </c>
      <c r="F889" s="17">
        <f t="shared" si="960"/>
        <v>619</v>
      </c>
      <c r="G889" s="17">
        <f t="shared" si="961"/>
        <v>618.79999999999995</v>
      </c>
      <c r="H889" s="17">
        <f t="shared" si="962"/>
        <v>618.66666666666663</v>
      </c>
      <c r="I889" s="17">
        <f t="shared" si="963"/>
        <v>618.6</v>
      </c>
      <c r="J889" s="17">
        <f t="shared" si="964"/>
        <v>618.4666666666667</v>
      </c>
      <c r="K889" s="17">
        <f t="shared" si="965"/>
        <v>618.4</v>
      </c>
      <c r="L889" s="17">
        <f t="shared" si="966"/>
        <v>618.26666666666665</v>
      </c>
      <c r="M889" s="17">
        <f t="shared" si="967"/>
        <v>618.06666666666672</v>
      </c>
    </row>
    <row r="890" spans="1:13" x14ac:dyDescent="0.35">
      <c r="B890" s="2">
        <v>30</v>
      </c>
      <c r="C890" s="2">
        <f t="shared" si="957"/>
        <v>2687</v>
      </c>
      <c r="D890" s="2">
        <f t="shared" si="958"/>
        <v>2657</v>
      </c>
      <c r="E890" s="3">
        <f t="shared" si="959"/>
        <v>18599</v>
      </c>
      <c r="F890" s="17">
        <f t="shared" si="960"/>
        <v>619.93333333333328</v>
      </c>
      <c r="G890" s="17">
        <f t="shared" si="961"/>
        <v>619.73333333333335</v>
      </c>
      <c r="H890" s="17">
        <f t="shared" si="962"/>
        <v>619.6</v>
      </c>
      <c r="I890" s="17">
        <f t="shared" si="963"/>
        <v>619.5333333333333</v>
      </c>
      <c r="J890" s="17">
        <f t="shared" si="964"/>
        <v>619.4</v>
      </c>
      <c r="K890" s="17">
        <f t="shared" si="965"/>
        <v>619.33333333333337</v>
      </c>
      <c r="L890" s="17">
        <f t="shared" si="966"/>
        <v>619.20000000000005</v>
      </c>
      <c r="M890" s="17">
        <f t="shared" si="967"/>
        <v>619</v>
      </c>
    </row>
    <row r="891" spans="1:13" x14ac:dyDescent="0.35">
      <c r="B891" s="2">
        <v>30</v>
      </c>
      <c r="C891" s="2">
        <f t="shared" si="957"/>
        <v>2689</v>
      </c>
      <c r="D891" s="2">
        <f t="shared" si="958"/>
        <v>2659</v>
      </c>
      <c r="E891" s="3">
        <f t="shared" si="959"/>
        <v>18613</v>
      </c>
      <c r="F891" s="17">
        <f t="shared" si="960"/>
        <v>620.4</v>
      </c>
      <c r="G891" s="17">
        <f t="shared" si="961"/>
        <v>620.20000000000005</v>
      </c>
      <c r="H891" s="17">
        <f t="shared" si="962"/>
        <v>620.06666666666672</v>
      </c>
      <c r="I891" s="17">
        <f t="shared" si="963"/>
        <v>620</v>
      </c>
      <c r="J891" s="17">
        <f t="shared" si="964"/>
        <v>619.86666666666667</v>
      </c>
      <c r="K891" s="17">
        <f t="shared" si="965"/>
        <v>619.79999999999995</v>
      </c>
      <c r="L891" s="17">
        <f t="shared" si="966"/>
        <v>619.66666666666663</v>
      </c>
      <c r="M891" s="17">
        <f t="shared" si="967"/>
        <v>619.4666666666667</v>
      </c>
    </row>
    <row r="892" spans="1:13" x14ac:dyDescent="0.35">
      <c r="B892" s="2">
        <v>30</v>
      </c>
      <c r="C892" s="2">
        <f t="shared" si="957"/>
        <v>2693</v>
      </c>
      <c r="D892" s="2">
        <f t="shared" si="958"/>
        <v>2663</v>
      </c>
      <c r="E892" s="3">
        <f t="shared" si="959"/>
        <v>18641</v>
      </c>
      <c r="F892" s="17">
        <f t="shared" si="960"/>
        <v>621.33333333333337</v>
      </c>
      <c r="G892" s="17">
        <f t="shared" si="961"/>
        <v>621.13333333333333</v>
      </c>
      <c r="H892" s="17">
        <f t="shared" si="962"/>
        <v>621</v>
      </c>
      <c r="I892" s="17">
        <f t="shared" si="963"/>
        <v>620.93333333333328</v>
      </c>
      <c r="J892" s="17">
        <f t="shared" si="964"/>
        <v>620.79999999999995</v>
      </c>
      <c r="K892" s="17">
        <f t="shared" si="965"/>
        <v>620.73333333333335</v>
      </c>
      <c r="L892" s="17">
        <f t="shared" si="966"/>
        <v>620.6</v>
      </c>
      <c r="M892" s="17">
        <f t="shared" si="967"/>
        <v>620.4</v>
      </c>
    </row>
    <row r="893" spans="1:13" x14ac:dyDescent="0.35">
      <c r="B893" s="2">
        <v>30</v>
      </c>
      <c r="C893" s="2">
        <f t="shared" si="957"/>
        <v>2699</v>
      </c>
      <c r="D893" s="2">
        <f t="shared" si="958"/>
        <v>2669</v>
      </c>
      <c r="E893" s="3">
        <f t="shared" si="959"/>
        <v>18683</v>
      </c>
      <c r="F893" s="17">
        <f t="shared" si="960"/>
        <v>622.73333333333335</v>
      </c>
      <c r="G893" s="17">
        <f t="shared" si="961"/>
        <v>622.5333333333333</v>
      </c>
      <c r="H893" s="17">
        <f t="shared" si="962"/>
        <v>622.4</v>
      </c>
      <c r="I893" s="17">
        <f t="shared" si="963"/>
        <v>622.33333333333337</v>
      </c>
      <c r="J893" s="17">
        <f t="shared" si="964"/>
        <v>622.20000000000005</v>
      </c>
      <c r="K893" s="17">
        <f t="shared" si="965"/>
        <v>622.13333333333333</v>
      </c>
      <c r="L893" s="17">
        <f t="shared" si="966"/>
        <v>622</v>
      </c>
      <c r="M893" s="17">
        <f t="shared" si="967"/>
        <v>621.79999999999995</v>
      </c>
    </row>
    <row r="894" spans="1:13" ht="16.8" thickBot="1" x14ac:dyDescent="0.4">
      <c r="F894" s="17"/>
      <c r="G894" s="17"/>
      <c r="H894" s="17"/>
      <c r="I894" s="17"/>
      <c r="J894" s="17"/>
      <c r="K894" s="17"/>
      <c r="L894" s="17"/>
      <c r="M894" s="17"/>
    </row>
    <row r="895" spans="1:13" ht="16.8" thickBot="1" x14ac:dyDescent="0.4">
      <c r="A895" s="1">
        <f>A885+1</f>
        <v>90</v>
      </c>
      <c r="C895" s="18" t="s">
        <v>2</v>
      </c>
      <c r="E895" s="13">
        <f>E876</f>
        <v>18277</v>
      </c>
      <c r="F895" s="19">
        <v>1</v>
      </c>
      <c r="G895" s="20">
        <v>7</v>
      </c>
      <c r="H895" s="20">
        <v>11</v>
      </c>
      <c r="I895" s="20">
        <v>13</v>
      </c>
      <c r="J895" s="20">
        <v>17</v>
      </c>
      <c r="K895" s="20">
        <v>19</v>
      </c>
      <c r="L895" s="20">
        <v>23</v>
      </c>
      <c r="M895" s="21">
        <v>29</v>
      </c>
    </row>
    <row r="896" spans="1:13" x14ac:dyDescent="0.35">
      <c r="B896" s="2">
        <v>30</v>
      </c>
      <c r="C896" s="2">
        <f>D896+B896</f>
        <v>2701</v>
      </c>
      <c r="D896" s="2">
        <f>C886</f>
        <v>2671</v>
      </c>
      <c r="E896" s="3">
        <f>D896*$E$5</f>
        <v>18697</v>
      </c>
      <c r="F896" s="17">
        <f>(E896-1)/30</f>
        <v>623.20000000000005</v>
      </c>
      <c r="G896" s="17">
        <f>($E896-7)/30</f>
        <v>623</v>
      </c>
      <c r="H896" s="17">
        <f>($E896-11)/30</f>
        <v>622.86666666666667</v>
      </c>
      <c r="I896" s="17">
        <f>($E896-13)/30</f>
        <v>622.79999999999995</v>
      </c>
      <c r="J896" s="17">
        <f>($E896-17)/30</f>
        <v>622.66666666666663</v>
      </c>
      <c r="K896" s="17">
        <f>($E896-19)/30</f>
        <v>622.6</v>
      </c>
      <c r="L896" s="17">
        <f>($E896-23)/30</f>
        <v>622.4666666666667</v>
      </c>
      <c r="M896" s="17">
        <f>($E896-29)/30</f>
        <v>622.26666666666665</v>
      </c>
    </row>
    <row r="897" spans="1:13" x14ac:dyDescent="0.35">
      <c r="B897" s="2">
        <v>30</v>
      </c>
      <c r="C897" s="2">
        <f t="shared" ref="C897:C903" si="968">D897+B897</f>
        <v>2707</v>
      </c>
      <c r="D897" s="2">
        <f t="shared" ref="D897:D903" si="969">C887</f>
        <v>2677</v>
      </c>
      <c r="E897" s="3">
        <f t="shared" ref="E897:E903" si="970">D897*$E$5</f>
        <v>18739</v>
      </c>
      <c r="F897" s="17">
        <f t="shared" ref="F897:F903" si="971">(E897-1)/30</f>
        <v>624.6</v>
      </c>
      <c r="G897" s="17">
        <f t="shared" ref="G897:G903" si="972">($E897-7)/30</f>
        <v>624.4</v>
      </c>
      <c r="H897" s="17">
        <f t="shared" ref="H897:H903" si="973">($E897-11)/30</f>
        <v>624.26666666666665</v>
      </c>
      <c r="I897" s="17">
        <f t="shared" ref="I897:I903" si="974">($E897-13)/30</f>
        <v>624.20000000000005</v>
      </c>
      <c r="J897" s="17">
        <f t="shared" ref="J897:J903" si="975">($E897-17)/30</f>
        <v>624.06666666666672</v>
      </c>
      <c r="K897" s="17">
        <f t="shared" ref="K897:K903" si="976">($E897-19)/30</f>
        <v>624</v>
      </c>
      <c r="L897" s="17">
        <f t="shared" ref="L897:L903" si="977">($E897-23)/30</f>
        <v>623.86666666666667</v>
      </c>
      <c r="M897" s="17">
        <f t="shared" ref="M897:M903" si="978">($E897-29)/30</f>
        <v>623.66666666666663</v>
      </c>
    </row>
    <row r="898" spans="1:13" x14ac:dyDescent="0.35">
      <c r="B898" s="2">
        <v>30</v>
      </c>
      <c r="C898" s="2">
        <f t="shared" si="968"/>
        <v>2711</v>
      </c>
      <c r="D898" s="2">
        <f t="shared" si="969"/>
        <v>2681</v>
      </c>
      <c r="E898" s="3">
        <f t="shared" si="970"/>
        <v>18767</v>
      </c>
      <c r="F898" s="17">
        <f t="shared" si="971"/>
        <v>625.5333333333333</v>
      </c>
      <c r="G898" s="17">
        <f t="shared" si="972"/>
        <v>625.33333333333337</v>
      </c>
      <c r="H898" s="17">
        <f t="shared" si="973"/>
        <v>625.20000000000005</v>
      </c>
      <c r="I898" s="17">
        <f t="shared" si="974"/>
        <v>625.13333333333333</v>
      </c>
      <c r="J898" s="17">
        <f t="shared" si="975"/>
        <v>625</v>
      </c>
      <c r="K898" s="17">
        <f t="shared" si="976"/>
        <v>624.93333333333328</v>
      </c>
      <c r="L898" s="17">
        <f t="shared" si="977"/>
        <v>624.79999999999995</v>
      </c>
      <c r="M898" s="17">
        <f t="shared" si="978"/>
        <v>624.6</v>
      </c>
    </row>
    <row r="899" spans="1:13" x14ac:dyDescent="0.35">
      <c r="B899" s="2">
        <v>30</v>
      </c>
      <c r="C899" s="2">
        <f t="shared" si="968"/>
        <v>2713</v>
      </c>
      <c r="D899" s="2">
        <f t="shared" si="969"/>
        <v>2683</v>
      </c>
      <c r="E899" s="3">
        <f t="shared" si="970"/>
        <v>18781</v>
      </c>
      <c r="F899" s="17">
        <f t="shared" si="971"/>
        <v>626</v>
      </c>
      <c r="G899" s="17">
        <f t="shared" si="972"/>
        <v>625.79999999999995</v>
      </c>
      <c r="H899" s="17">
        <f t="shared" si="973"/>
        <v>625.66666666666663</v>
      </c>
      <c r="I899" s="17">
        <f t="shared" si="974"/>
        <v>625.6</v>
      </c>
      <c r="J899" s="17">
        <f t="shared" si="975"/>
        <v>625.4666666666667</v>
      </c>
      <c r="K899" s="17">
        <f t="shared" si="976"/>
        <v>625.4</v>
      </c>
      <c r="L899" s="17">
        <f t="shared" si="977"/>
        <v>625.26666666666665</v>
      </c>
      <c r="M899" s="17">
        <f t="shared" si="978"/>
        <v>625.06666666666672</v>
      </c>
    </row>
    <row r="900" spans="1:13" x14ac:dyDescent="0.35">
      <c r="B900" s="2">
        <v>30</v>
      </c>
      <c r="C900" s="2">
        <f t="shared" si="968"/>
        <v>2717</v>
      </c>
      <c r="D900" s="2">
        <f t="shared" si="969"/>
        <v>2687</v>
      </c>
      <c r="E900" s="3">
        <f t="shared" si="970"/>
        <v>18809</v>
      </c>
      <c r="F900" s="17">
        <f t="shared" si="971"/>
        <v>626.93333333333328</v>
      </c>
      <c r="G900" s="17">
        <f t="shared" si="972"/>
        <v>626.73333333333335</v>
      </c>
      <c r="H900" s="17">
        <f t="shared" si="973"/>
        <v>626.6</v>
      </c>
      <c r="I900" s="17">
        <f t="shared" si="974"/>
        <v>626.5333333333333</v>
      </c>
      <c r="J900" s="17">
        <f t="shared" si="975"/>
        <v>626.4</v>
      </c>
      <c r="K900" s="17">
        <f t="shared" si="976"/>
        <v>626.33333333333337</v>
      </c>
      <c r="L900" s="17">
        <f t="shared" si="977"/>
        <v>626.20000000000005</v>
      </c>
      <c r="M900" s="17">
        <f t="shared" si="978"/>
        <v>626</v>
      </c>
    </row>
    <row r="901" spans="1:13" x14ac:dyDescent="0.35">
      <c r="B901" s="2">
        <v>30</v>
      </c>
      <c r="C901" s="2">
        <f t="shared" si="968"/>
        <v>2719</v>
      </c>
      <c r="D901" s="2">
        <f t="shared" si="969"/>
        <v>2689</v>
      </c>
      <c r="E901" s="3">
        <f t="shared" si="970"/>
        <v>18823</v>
      </c>
      <c r="F901" s="17">
        <f t="shared" si="971"/>
        <v>627.4</v>
      </c>
      <c r="G901" s="17">
        <f t="shared" si="972"/>
        <v>627.20000000000005</v>
      </c>
      <c r="H901" s="17">
        <f t="shared" si="973"/>
        <v>627.06666666666672</v>
      </c>
      <c r="I901" s="17">
        <f t="shared" si="974"/>
        <v>627</v>
      </c>
      <c r="J901" s="17">
        <f t="shared" si="975"/>
        <v>626.86666666666667</v>
      </c>
      <c r="K901" s="17">
        <f t="shared" si="976"/>
        <v>626.79999999999995</v>
      </c>
      <c r="L901" s="17">
        <f t="shared" si="977"/>
        <v>626.66666666666663</v>
      </c>
      <c r="M901" s="17">
        <f t="shared" si="978"/>
        <v>626.4666666666667</v>
      </c>
    </row>
    <row r="902" spans="1:13" x14ac:dyDescent="0.35">
      <c r="B902" s="2">
        <v>30</v>
      </c>
      <c r="C902" s="2">
        <f t="shared" si="968"/>
        <v>2723</v>
      </c>
      <c r="D902" s="2">
        <f t="shared" si="969"/>
        <v>2693</v>
      </c>
      <c r="E902" s="3">
        <f t="shared" si="970"/>
        <v>18851</v>
      </c>
      <c r="F902" s="17">
        <f t="shared" si="971"/>
        <v>628.33333333333337</v>
      </c>
      <c r="G902" s="17">
        <f t="shared" si="972"/>
        <v>628.13333333333333</v>
      </c>
      <c r="H902" s="17">
        <f t="shared" si="973"/>
        <v>628</v>
      </c>
      <c r="I902" s="17">
        <f t="shared" si="974"/>
        <v>627.93333333333328</v>
      </c>
      <c r="J902" s="17">
        <f t="shared" si="975"/>
        <v>627.79999999999995</v>
      </c>
      <c r="K902" s="17">
        <f t="shared" si="976"/>
        <v>627.73333333333335</v>
      </c>
      <c r="L902" s="17">
        <f t="shared" si="977"/>
        <v>627.6</v>
      </c>
      <c r="M902" s="17">
        <f t="shared" si="978"/>
        <v>627.4</v>
      </c>
    </row>
    <row r="903" spans="1:13" x14ac:dyDescent="0.35">
      <c r="B903" s="2">
        <v>30</v>
      </c>
      <c r="C903" s="2">
        <f t="shared" si="968"/>
        <v>2729</v>
      </c>
      <c r="D903" s="2">
        <f t="shared" si="969"/>
        <v>2699</v>
      </c>
      <c r="E903" s="3">
        <f t="shared" si="970"/>
        <v>18893</v>
      </c>
      <c r="F903" s="17">
        <f t="shared" si="971"/>
        <v>629.73333333333335</v>
      </c>
      <c r="G903" s="17">
        <f t="shared" si="972"/>
        <v>629.5333333333333</v>
      </c>
      <c r="H903" s="17">
        <f t="shared" si="973"/>
        <v>629.4</v>
      </c>
      <c r="I903" s="17">
        <f t="shared" si="974"/>
        <v>629.33333333333337</v>
      </c>
      <c r="J903" s="17">
        <f t="shared" si="975"/>
        <v>629.20000000000005</v>
      </c>
      <c r="K903" s="17">
        <f t="shared" si="976"/>
        <v>629.13333333333333</v>
      </c>
      <c r="L903" s="17">
        <f t="shared" si="977"/>
        <v>629</v>
      </c>
      <c r="M903" s="17">
        <f t="shared" si="978"/>
        <v>628.79999999999995</v>
      </c>
    </row>
    <row r="904" spans="1:13" ht="16.8" thickBot="1" x14ac:dyDescent="0.4">
      <c r="F904" s="17"/>
      <c r="G904" s="17"/>
      <c r="H904" s="17"/>
      <c r="I904" s="17"/>
      <c r="J904" s="17"/>
      <c r="K904" s="17"/>
      <c r="L904" s="17"/>
      <c r="M904" s="17"/>
    </row>
    <row r="905" spans="1:13" ht="16.8" thickBot="1" x14ac:dyDescent="0.4">
      <c r="A905" s="1">
        <f>A895+1</f>
        <v>91</v>
      </c>
      <c r="C905" s="18" t="s">
        <v>2</v>
      </c>
      <c r="E905" s="13">
        <f>E886</f>
        <v>18487</v>
      </c>
      <c r="F905" s="19">
        <v>1</v>
      </c>
      <c r="G905" s="20">
        <v>7</v>
      </c>
      <c r="H905" s="20">
        <v>11</v>
      </c>
      <c r="I905" s="20">
        <v>13</v>
      </c>
      <c r="J905" s="20">
        <v>17</v>
      </c>
      <c r="K905" s="20">
        <v>19</v>
      </c>
      <c r="L905" s="20">
        <v>23</v>
      </c>
      <c r="M905" s="21">
        <v>29</v>
      </c>
    </row>
    <row r="906" spans="1:13" x14ac:dyDescent="0.35">
      <c r="B906" s="2">
        <v>30</v>
      </c>
      <c r="C906" s="2">
        <f>D906+B906</f>
        <v>2731</v>
      </c>
      <c r="D906" s="2">
        <f>C896</f>
        <v>2701</v>
      </c>
      <c r="E906" s="3">
        <f>D906*$E$5</f>
        <v>18907</v>
      </c>
      <c r="F906" s="17">
        <f>(E906-1)/30</f>
        <v>630.20000000000005</v>
      </c>
      <c r="G906" s="17">
        <f>($E906-7)/30</f>
        <v>630</v>
      </c>
      <c r="H906" s="17">
        <f>($E906-11)/30</f>
        <v>629.86666666666667</v>
      </c>
      <c r="I906" s="17">
        <f>($E906-13)/30</f>
        <v>629.79999999999995</v>
      </c>
      <c r="J906" s="17">
        <f>($E906-17)/30</f>
        <v>629.66666666666663</v>
      </c>
      <c r="K906" s="17">
        <f>($E906-19)/30</f>
        <v>629.6</v>
      </c>
      <c r="L906" s="17">
        <f>($E906-23)/30</f>
        <v>629.4666666666667</v>
      </c>
      <c r="M906" s="17">
        <f>($E906-29)/30</f>
        <v>629.26666666666665</v>
      </c>
    </row>
    <row r="907" spans="1:13" x14ac:dyDescent="0.35">
      <c r="B907" s="2">
        <v>30</v>
      </c>
      <c r="C907" s="2">
        <f t="shared" ref="C907:C913" si="979">D907+B907</f>
        <v>2737</v>
      </c>
      <c r="D907" s="2">
        <f t="shared" ref="D907:D913" si="980">C897</f>
        <v>2707</v>
      </c>
      <c r="E907" s="3">
        <f t="shared" ref="E907:E913" si="981">D907*$E$5</f>
        <v>18949</v>
      </c>
      <c r="F907" s="17">
        <f t="shared" ref="F907:F913" si="982">(E907-1)/30</f>
        <v>631.6</v>
      </c>
      <c r="G907" s="17">
        <f t="shared" ref="G907:G913" si="983">($E907-7)/30</f>
        <v>631.4</v>
      </c>
      <c r="H907" s="17">
        <f t="shared" ref="H907:H913" si="984">($E907-11)/30</f>
        <v>631.26666666666665</v>
      </c>
      <c r="I907" s="17">
        <f t="shared" ref="I907:I913" si="985">($E907-13)/30</f>
        <v>631.20000000000005</v>
      </c>
      <c r="J907" s="17">
        <f t="shared" ref="J907:J913" si="986">($E907-17)/30</f>
        <v>631.06666666666672</v>
      </c>
      <c r="K907" s="17">
        <f t="shared" ref="K907:K913" si="987">($E907-19)/30</f>
        <v>631</v>
      </c>
      <c r="L907" s="17">
        <f t="shared" ref="L907:L913" si="988">($E907-23)/30</f>
        <v>630.86666666666667</v>
      </c>
      <c r="M907" s="17">
        <f t="shared" ref="M907:M913" si="989">($E907-29)/30</f>
        <v>630.66666666666663</v>
      </c>
    </row>
    <row r="908" spans="1:13" x14ac:dyDescent="0.35">
      <c r="B908" s="2">
        <v>30</v>
      </c>
      <c r="C908" s="2">
        <f t="shared" si="979"/>
        <v>2741</v>
      </c>
      <c r="D908" s="2">
        <f t="shared" si="980"/>
        <v>2711</v>
      </c>
      <c r="E908" s="3">
        <f t="shared" si="981"/>
        <v>18977</v>
      </c>
      <c r="F908" s="17">
        <f t="shared" si="982"/>
        <v>632.5333333333333</v>
      </c>
      <c r="G908" s="17">
        <f t="shared" si="983"/>
        <v>632.33333333333337</v>
      </c>
      <c r="H908" s="17">
        <f t="shared" si="984"/>
        <v>632.20000000000005</v>
      </c>
      <c r="I908" s="17">
        <f t="shared" si="985"/>
        <v>632.13333333333333</v>
      </c>
      <c r="J908" s="17">
        <f t="shared" si="986"/>
        <v>632</v>
      </c>
      <c r="K908" s="17">
        <f t="shared" si="987"/>
        <v>631.93333333333328</v>
      </c>
      <c r="L908" s="17">
        <f t="shared" si="988"/>
        <v>631.79999999999995</v>
      </c>
      <c r="M908" s="17">
        <f t="shared" si="989"/>
        <v>631.6</v>
      </c>
    </row>
    <row r="909" spans="1:13" x14ac:dyDescent="0.35">
      <c r="B909" s="2">
        <v>30</v>
      </c>
      <c r="C909" s="2">
        <f t="shared" si="979"/>
        <v>2743</v>
      </c>
      <c r="D909" s="2">
        <f t="shared" si="980"/>
        <v>2713</v>
      </c>
      <c r="E909" s="3">
        <f t="shared" si="981"/>
        <v>18991</v>
      </c>
      <c r="F909" s="17">
        <f t="shared" si="982"/>
        <v>633</v>
      </c>
      <c r="G909" s="17">
        <f t="shared" si="983"/>
        <v>632.79999999999995</v>
      </c>
      <c r="H909" s="17">
        <f t="shared" si="984"/>
        <v>632.66666666666663</v>
      </c>
      <c r="I909" s="17">
        <f t="shared" si="985"/>
        <v>632.6</v>
      </c>
      <c r="J909" s="17">
        <f t="shared" si="986"/>
        <v>632.4666666666667</v>
      </c>
      <c r="K909" s="17">
        <f t="shared" si="987"/>
        <v>632.4</v>
      </c>
      <c r="L909" s="17">
        <f t="shared" si="988"/>
        <v>632.26666666666665</v>
      </c>
      <c r="M909" s="17">
        <f t="shared" si="989"/>
        <v>632.06666666666672</v>
      </c>
    </row>
    <row r="910" spans="1:13" x14ac:dyDescent="0.35">
      <c r="B910" s="2">
        <v>30</v>
      </c>
      <c r="C910" s="2">
        <f t="shared" si="979"/>
        <v>2747</v>
      </c>
      <c r="D910" s="2">
        <f t="shared" si="980"/>
        <v>2717</v>
      </c>
      <c r="E910" s="3">
        <f t="shared" si="981"/>
        <v>19019</v>
      </c>
      <c r="F910" s="17">
        <f t="shared" si="982"/>
        <v>633.93333333333328</v>
      </c>
      <c r="G910" s="17">
        <f t="shared" si="983"/>
        <v>633.73333333333335</v>
      </c>
      <c r="H910" s="17">
        <f t="shared" si="984"/>
        <v>633.6</v>
      </c>
      <c r="I910" s="17">
        <f t="shared" si="985"/>
        <v>633.5333333333333</v>
      </c>
      <c r="J910" s="17">
        <f t="shared" si="986"/>
        <v>633.4</v>
      </c>
      <c r="K910" s="17">
        <f t="shared" si="987"/>
        <v>633.33333333333337</v>
      </c>
      <c r="L910" s="17">
        <f t="shared" si="988"/>
        <v>633.20000000000005</v>
      </c>
      <c r="M910" s="17">
        <f t="shared" si="989"/>
        <v>633</v>
      </c>
    </row>
    <row r="911" spans="1:13" x14ac:dyDescent="0.35">
      <c r="B911" s="2">
        <v>30</v>
      </c>
      <c r="C911" s="2">
        <f t="shared" si="979"/>
        <v>2749</v>
      </c>
      <c r="D911" s="2">
        <f t="shared" si="980"/>
        <v>2719</v>
      </c>
      <c r="E911" s="3">
        <f t="shared" si="981"/>
        <v>19033</v>
      </c>
      <c r="F911" s="17">
        <f t="shared" si="982"/>
        <v>634.4</v>
      </c>
      <c r="G911" s="17">
        <f t="shared" si="983"/>
        <v>634.20000000000005</v>
      </c>
      <c r="H911" s="17">
        <f t="shared" si="984"/>
        <v>634.06666666666672</v>
      </c>
      <c r="I911" s="17">
        <f t="shared" si="985"/>
        <v>634</v>
      </c>
      <c r="J911" s="17">
        <f t="shared" si="986"/>
        <v>633.86666666666667</v>
      </c>
      <c r="K911" s="17">
        <f t="shared" si="987"/>
        <v>633.79999999999995</v>
      </c>
      <c r="L911" s="17">
        <f t="shared" si="988"/>
        <v>633.66666666666663</v>
      </c>
      <c r="M911" s="17">
        <f t="shared" si="989"/>
        <v>633.4666666666667</v>
      </c>
    </row>
    <row r="912" spans="1:13" x14ac:dyDescent="0.35">
      <c r="B912" s="2">
        <v>30</v>
      </c>
      <c r="C912" s="2">
        <f t="shared" si="979"/>
        <v>2753</v>
      </c>
      <c r="D912" s="2">
        <f t="shared" si="980"/>
        <v>2723</v>
      </c>
      <c r="E912" s="3">
        <f t="shared" si="981"/>
        <v>19061</v>
      </c>
      <c r="F912" s="17">
        <f t="shared" si="982"/>
        <v>635.33333333333337</v>
      </c>
      <c r="G912" s="17">
        <f t="shared" si="983"/>
        <v>635.13333333333333</v>
      </c>
      <c r="H912" s="17">
        <f t="shared" si="984"/>
        <v>635</v>
      </c>
      <c r="I912" s="17">
        <f t="shared" si="985"/>
        <v>634.93333333333328</v>
      </c>
      <c r="J912" s="17">
        <f t="shared" si="986"/>
        <v>634.79999999999995</v>
      </c>
      <c r="K912" s="17">
        <f t="shared" si="987"/>
        <v>634.73333333333335</v>
      </c>
      <c r="L912" s="17">
        <f t="shared" si="988"/>
        <v>634.6</v>
      </c>
      <c r="M912" s="17">
        <f t="shared" si="989"/>
        <v>634.4</v>
      </c>
    </row>
    <row r="913" spans="1:13" x14ac:dyDescent="0.35">
      <c r="B913" s="2">
        <v>30</v>
      </c>
      <c r="C913" s="2">
        <f t="shared" si="979"/>
        <v>2759</v>
      </c>
      <c r="D913" s="2">
        <f t="shared" si="980"/>
        <v>2729</v>
      </c>
      <c r="E913" s="3">
        <f t="shared" si="981"/>
        <v>19103</v>
      </c>
      <c r="F913" s="17">
        <f t="shared" si="982"/>
        <v>636.73333333333335</v>
      </c>
      <c r="G913" s="17">
        <f t="shared" si="983"/>
        <v>636.5333333333333</v>
      </c>
      <c r="H913" s="17">
        <f t="shared" si="984"/>
        <v>636.4</v>
      </c>
      <c r="I913" s="17">
        <f t="shared" si="985"/>
        <v>636.33333333333337</v>
      </c>
      <c r="J913" s="17">
        <f t="shared" si="986"/>
        <v>636.20000000000005</v>
      </c>
      <c r="K913" s="17">
        <f t="shared" si="987"/>
        <v>636.13333333333333</v>
      </c>
      <c r="L913" s="17">
        <f t="shared" si="988"/>
        <v>636</v>
      </c>
      <c r="M913" s="17">
        <f t="shared" si="989"/>
        <v>635.79999999999995</v>
      </c>
    </row>
    <row r="914" spans="1:13" ht="16.8" thickBot="1" x14ac:dyDescent="0.4">
      <c r="F914" s="17"/>
      <c r="G914" s="17"/>
      <c r="H914" s="17"/>
      <c r="I914" s="17"/>
      <c r="J914" s="17"/>
      <c r="K914" s="17"/>
      <c r="L914" s="17"/>
      <c r="M914" s="17"/>
    </row>
    <row r="915" spans="1:13" ht="16.8" thickBot="1" x14ac:dyDescent="0.4">
      <c r="A915" s="1">
        <f>A905+1</f>
        <v>92</v>
      </c>
      <c r="C915" s="18" t="s">
        <v>2</v>
      </c>
      <c r="E915" s="13">
        <f>E896</f>
        <v>18697</v>
      </c>
      <c r="F915" s="19">
        <v>1</v>
      </c>
      <c r="G915" s="20">
        <v>7</v>
      </c>
      <c r="H915" s="20">
        <v>11</v>
      </c>
      <c r="I915" s="20">
        <v>13</v>
      </c>
      <c r="J915" s="20">
        <v>17</v>
      </c>
      <c r="K915" s="20">
        <v>19</v>
      </c>
      <c r="L915" s="20">
        <v>23</v>
      </c>
      <c r="M915" s="21">
        <v>29</v>
      </c>
    </row>
    <row r="916" spans="1:13" x14ac:dyDescent="0.35">
      <c r="B916" s="2">
        <v>30</v>
      </c>
      <c r="C916" s="2">
        <f>D916+B916</f>
        <v>2761</v>
      </c>
      <c r="D916" s="2">
        <f>C906</f>
        <v>2731</v>
      </c>
      <c r="E916" s="3">
        <f>D916*$E$5</f>
        <v>19117</v>
      </c>
      <c r="F916" s="17">
        <f>(E916-1)/30</f>
        <v>637.20000000000005</v>
      </c>
      <c r="G916" s="17">
        <f>($E916-7)/30</f>
        <v>637</v>
      </c>
      <c r="H916" s="17">
        <f>($E916-11)/30</f>
        <v>636.86666666666667</v>
      </c>
      <c r="I916" s="17">
        <f>($E916-13)/30</f>
        <v>636.79999999999995</v>
      </c>
      <c r="J916" s="17">
        <f>($E916-17)/30</f>
        <v>636.66666666666663</v>
      </c>
      <c r="K916" s="17">
        <f>($E916-19)/30</f>
        <v>636.6</v>
      </c>
      <c r="L916" s="17">
        <f>($E916-23)/30</f>
        <v>636.4666666666667</v>
      </c>
      <c r="M916" s="17">
        <f>($E916-29)/30</f>
        <v>636.26666666666665</v>
      </c>
    </row>
    <row r="917" spans="1:13" x14ac:dyDescent="0.35">
      <c r="B917" s="2">
        <v>30</v>
      </c>
      <c r="C917" s="2">
        <f t="shared" ref="C917:C923" si="990">D917+B917</f>
        <v>2767</v>
      </c>
      <c r="D917" s="2">
        <f t="shared" ref="D917:D923" si="991">C907</f>
        <v>2737</v>
      </c>
      <c r="E917" s="3">
        <f t="shared" ref="E917:E923" si="992">D917*$E$5</f>
        <v>19159</v>
      </c>
      <c r="F917" s="17">
        <f t="shared" ref="F917:F923" si="993">(E917-1)/30</f>
        <v>638.6</v>
      </c>
      <c r="G917" s="17">
        <f t="shared" ref="G917:G923" si="994">($E917-7)/30</f>
        <v>638.4</v>
      </c>
      <c r="H917" s="17">
        <f t="shared" ref="H917:H923" si="995">($E917-11)/30</f>
        <v>638.26666666666665</v>
      </c>
      <c r="I917" s="17">
        <f t="shared" ref="I917:I923" si="996">($E917-13)/30</f>
        <v>638.20000000000005</v>
      </c>
      <c r="J917" s="17">
        <f t="shared" ref="J917:J923" si="997">($E917-17)/30</f>
        <v>638.06666666666672</v>
      </c>
      <c r="K917" s="17">
        <f t="shared" ref="K917:K923" si="998">($E917-19)/30</f>
        <v>638</v>
      </c>
      <c r="L917" s="17">
        <f t="shared" ref="L917:L923" si="999">($E917-23)/30</f>
        <v>637.86666666666667</v>
      </c>
      <c r="M917" s="17">
        <f t="shared" ref="M917:M923" si="1000">($E917-29)/30</f>
        <v>637.66666666666663</v>
      </c>
    </row>
    <row r="918" spans="1:13" x14ac:dyDescent="0.35">
      <c r="B918" s="2">
        <v>30</v>
      </c>
      <c r="C918" s="2">
        <f t="shared" si="990"/>
        <v>2771</v>
      </c>
      <c r="D918" s="2">
        <f t="shared" si="991"/>
        <v>2741</v>
      </c>
      <c r="E918" s="3">
        <f t="shared" si="992"/>
        <v>19187</v>
      </c>
      <c r="F918" s="17">
        <f t="shared" si="993"/>
        <v>639.5333333333333</v>
      </c>
      <c r="G918" s="17">
        <f t="shared" si="994"/>
        <v>639.33333333333337</v>
      </c>
      <c r="H918" s="17">
        <f t="shared" si="995"/>
        <v>639.20000000000005</v>
      </c>
      <c r="I918" s="17">
        <f t="shared" si="996"/>
        <v>639.13333333333333</v>
      </c>
      <c r="J918" s="17">
        <f t="shared" si="997"/>
        <v>639</v>
      </c>
      <c r="K918" s="17">
        <f t="shared" si="998"/>
        <v>638.93333333333328</v>
      </c>
      <c r="L918" s="17">
        <f t="shared" si="999"/>
        <v>638.79999999999995</v>
      </c>
      <c r="M918" s="17">
        <f t="shared" si="1000"/>
        <v>638.6</v>
      </c>
    </row>
    <row r="919" spans="1:13" x14ac:dyDescent="0.35">
      <c r="B919" s="2">
        <v>30</v>
      </c>
      <c r="C919" s="2">
        <f t="shared" si="990"/>
        <v>2773</v>
      </c>
      <c r="D919" s="2">
        <f t="shared" si="991"/>
        <v>2743</v>
      </c>
      <c r="E919" s="3">
        <f t="shared" si="992"/>
        <v>19201</v>
      </c>
      <c r="F919" s="17">
        <f t="shared" si="993"/>
        <v>640</v>
      </c>
      <c r="G919" s="17">
        <f t="shared" si="994"/>
        <v>639.79999999999995</v>
      </c>
      <c r="H919" s="17">
        <f t="shared" si="995"/>
        <v>639.66666666666663</v>
      </c>
      <c r="I919" s="17">
        <f t="shared" si="996"/>
        <v>639.6</v>
      </c>
      <c r="J919" s="17">
        <f t="shared" si="997"/>
        <v>639.4666666666667</v>
      </c>
      <c r="K919" s="17">
        <f t="shared" si="998"/>
        <v>639.4</v>
      </c>
      <c r="L919" s="17">
        <f t="shared" si="999"/>
        <v>639.26666666666665</v>
      </c>
      <c r="M919" s="17">
        <f t="shared" si="1000"/>
        <v>639.06666666666672</v>
      </c>
    </row>
    <row r="920" spans="1:13" x14ac:dyDescent="0.35">
      <c r="B920" s="2">
        <v>30</v>
      </c>
      <c r="C920" s="2">
        <f t="shared" si="990"/>
        <v>2777</v>
      </c>
      <c r="D920" s="2">
        <f t="shared" si="991"/>
        <v>2747</v>
      </c>
      <c r="E920" s="3">
        <f t="shared" si="992"/>
        <v>19229</v>
      </c>
      <c r="F920" s="17">
        <f t="shared" si="993"/>
        <v>640.93333333333328</v>
      </c>
      <c r="G920" s="17">
        <f t="shared" si="994"/>
        <v>640.73333333333335</v>
      </c>
      <c r="H920" s="17">
        <f t="shared" si="995"/>
        <v>640.6</v>
      </c>
      <c r="I920" s="17">
        <f t="shared" si="996"/>
        <v>640.5333333333333</v>
      </c>
      <c r="J920" s="17">
        <f t="shared" si="997"/>
        <v>640.4</v>
      </c>
      <c r="K920" s="17">
        <f t="shared" si="998"/>
        <v>640.33333333333337</v>
      </c>
      <c r="L920" s="17">
        <f t="shared" si="999"/>
        <v>640.20000000000005</v>
      </c>
      <c r="M920" s="17">
        <f t="shared" si="1000"/>
        <v>640</v>
      </c>
    </row>
    <row r="921" spans="1:13" x14ac:dyDescent="0.35">
      <c r="B921" s="2">
        <v>30</v>
      </c>
      <c r="C921" s="2">
        <f t="shared" si="990"/>
        <v>2779</v>
      </c>
      <c r="D921" s="2">
        <f t="shared" si="991"/>
        <v>2749</v>
      </c>
      <c r="E921" s="3">
        <f t="shared" si="992"/>
        <v>19243</v>
      </c>
      <c r="F921" s="17">
        <f t="shared" si="993"/>
        <v>641.4</v>
      </c>
      <c r="G921" s="17">
        <f t="shared" si="994"/>
        <v>641.20000000000005</v>
      </c>
      <c r="H921" s="17">
        <f t="shared" si="995"/>
        <v>641.06666666666672</v>
      </c>
      <c r="I921" s="17">
        <f t="shared" si="996"/>
        <v>641</v>
      </c>
      <c r="J921" s="17">
        <f t="shared" si="997"/>
        <v>640.86666666666667</v>
      </c>
      <c r="K921" s="17">
        <f t="shared" si="998"/>
        <v>640.79999999999995</v>
      </c>
      <c r="L921" s="17">
        <f t="shared" si="999"/>
        <v>640.66666666666663</v>
      </c>
      <c r="M921" s="17">
        <f t="shared" si="1000"/>
        <v>640.4666666666667</v>
      </c>
    </row>
    <row r="922" spans="1:13" x14ac:dyDescent="0.35">
      <c r="B922" s="2">
        <v>30</v>
      </c>
      <c r="C922" s="2">
        <f t="shared" si="990"/>
        <v>2783</v>
      </c>
      <c r="D922" s="2">
        <f t="shared" si="991"/>
        <v>2753</v>
      </c>
      <c r="E922" s="3">
        <f t="shared" si="992"/>
        <v>19271</v>
      </c>
      <c r="F922" s="17">
        <f t="shared" si="993"/>
        <v>642.33333333333337</v>
      </c>
      <c r="G922" s="17">
        <f t="shared" si="994"/>
        <v>642.13333333333333</v>
      </c>
      <c r="H922" s="17">
        <f t="shared" si="995"/>
        <v>642</v>
      </c>
      <c r="I922" s="17">
        <f t="shared" si="996"/>
        <v>641.93333333333328</v>
      </c>
      <c r="J922" s="17">
        <f t="shared" si="997"/>
        <v>641.79999999999995</v>
      </c>
      <c r="K922" s="17">
        <f t="shared" si="998"/>
        <v>641.73333333333335</v>
      </c>
      <c r="L922" s="17">
        <f t="shared" si="999"/>
        <v>641.6</v>
      </c>
      <c r="M922" s="17">
        <f t="shared" si="1000"/>
        <v>641.4</v>
      </c>
    </row>
    <row r="923" spans="1:13" x14ac:dyDescent="0.35">
      <c r="B923" s="2">
        <v>30</v>
      </c>
      <c r="C923" s="2">
        <f t="shared" si="990"/>
        <v>2789</v>
      </c>
      <c r="D923" s="2">
        <f t="shared" si="991"/>
        <v>2759</v>
      </c>
      <c r="E923" s="3">
        <f t="shared" si="992"/>
        <v>19313</v>
      </c>
      <c r="F923" s="17">
        <f t="shared" si="993"/>
        <v>643.73333333333335</v>
      </c>
      <c r="G923" s="17">
        <f t="shared" si="994"/>
        <v>643.5333333333333</v>
      </c>
      <c r="H923" s="17">
        <f t="shared" si="995"/>
        <v>643.4</v>
      </c>
      <c r="I923" s="17">
        <f t="shared" si="996"/>
        <v>643.33333333333337</v>
      </c>
      <c r="J923" s="17">
        <f t="shared" si="997"/>
        <v>643.20000000000005</v>
      </c>
      <c r="K923" s="17">
        <f t="shared" si="998"/>
        <v>643.13333333333333</v>
      </c>
      <c r="L923" s="17">
        <f t="shared" si="999"/>
        <v>643</v>
      </c>
      <c r="M923" s="17">
        <f t="shared" si="1000"/>
        <v>642.79999999999995</v>
      </c>
    </row>
    <row r="924" spans="1:13" ht="16.8" thickBot="1" x14ac:dyDescent="0.4">
      <c r="F924" s="17"/>
      <c r="G924" s="17"/>
      <c r="H924" s="17"/>
      <c r="I924" s="17"/>
      <c r="J924" s="17"/>
      <c r="K924" s="17"/>
      <c r="L924" s="17"/>
      <c r="M924" s="17"/>
    </row>
    <row r="925" spans="1:13" ht="16.8" thickBot="1" x14ac:dyDescent="0.4">
      <c r="A925" s="1">
        <f>A915+1</f>
        <v>93</v>
      </c>
      <c r="C925" s="18" t="s">
        <v>2</v>
      </c>
      <c r="E925" s="13">
        <f>E906</f>
        <v>18907</v>
      </c>
      <c r="F925" s="19">
        <v>1</v>
      </c>
      <c r="G925" s="20">
        <v>7</v>
      </c>
      <c r="H925" s="20">
        <v>11</v>
      </c>
      <c r="I925" s="20">
        <v>13</v>
      </c>
      <c r="J925" s="20">
        <v>17</v>
      </c>
      <c r="K925" s="20">
        <v>19</v>
      </c>
      <c r="L925" s="20">
        <v>23</v>
      </c>
      <c r="M925" s="21">
        <v>29</v>
      </c>
    </row>
    <row r="926" spans="1:13" x14ac:dyDescent="0.35">
      <c r="B926" s="2">
        <v>30</v>
      </c>
      <c r="C926" s="2">
        <f>D926+B926</f>
        <v>2791</v>
      </c>
      <c r="D926" s="2">
        <f>C916</f>
        <v>2761</v>
      </c>
      <c r="E926" s="3">
        <f>D926*$E$5</f>
        <v>19327</v>
      </c>
      <c r="F926" s="17">
        <f>(E926-1)/30</f>
        <v>644.20000000000005</v>
      </c>
      <c r="G926" s="17">
        <f>($E926-7)/30</f>
        <v>644</v>
      </c>
      <c r="H926" s="17">
        <f>($E926-11)/30</f>
        <v>643.86666666666667</v>
      </c>
      <c r="I926" s="17">
        <f>($E926-13)/30</f>
        <v>643.79999999999995</v>
      </c>
      <c r="J926" s="17">
        <f>($E926-17)/30</f>
        <v>643.66666666666663</v>
      </c>
      <c r="K926" s="17">
        <f>($E926-19)/30</f>
        <v>643.6</v>
      </c>
      <c r="L926" s="17">
        <f>($E926-23)/30</f>
        <v>643.4666666666667</v>
      </c>
      <c r="M926" s="17">
        <f>($E926-29)/30</f>
        <v>643.26666666666665</v>
      </c>
    </row>
    <row r="927" spans="1:13" x14ac:dyDescent="0.35">
      <c r="B927" s="2">
        <v>30</v>
      </c>
      <c r="C927" s="2">
        <f t="shared" ref="C927:C933" si="1001">D927+B927</f>
        <v>2797</v>
      </c>
      <c r="D927" s="2">
        <f t="shared" ref="D927:D933" si="1002">C917</f>
        <v>2767</v>
      </c>
      <c r="E927" s="3">
        <f t="shared" ref="E927:E933" si="1003">D927*$E$5</f>
        <v>19369</v>
      </c>
      <c r="F927" s="17">
        <f t="shared" ref="F927:F933" si="1004">(E927-1)/30</f>
        <v>645.6</v>
      </c>
      <c r="G927" s="17">
        <f t="shared" ref="G927:G933" si="1005">($E927-7)/30</f>
        <v>645.4</v>
      </c>
      <c r="H927" s="17">
        <f t="shared" ref="H927:H933" si="1006">($E927-11)/30</f>
        <v>645.26666666666665</v>
      </c>
      <c r="I927" s="17">
        <f t="shared" ref="I927:I933" si="1007">($E927-13)/30</f>
        <v>645.20000000000005</v>
      </c>
      <c r="J927" s="17">
        <f t="shared" ref="J927:J933" si="1008">($E927-17)/30</f>
        <v>645.06666666666672</v>
      </c>
      <c r="K927" s="17">
        <f t="shared" ref="K927:K933" si="1009">($E927-19)/30</f>
        <v>645</v>
      </c>
      <c r="L927" s="17">
        <f t="shared" ref="L927:L933" si="1010">($E927-23)/30</f>
        <v>644.86666666666667</v>
      </c>
      <c r="M927" s="17">
        <f t="shared" ref="M927:M933" si="1011">($E927-29)/30</f>
        <v>644.66666666666663</v>
      </c>
    </row>
    <row r="928" spans="1:13" x14ac:dyDescent="0.35">
      <c r="B928" s="2">
        <v>30</v>
      </c>
      <c r="C928" s="2">
        <f t="shared" si="1001"/>
        <v>2801</v>
      </c>
      <c r="D928" s="2">
        <f t="shared" si="1002"/>
        <v>2771</v>
      </c>
      <c r="E928" s="3">
        <f t="shared" si="1003"/>
        <v>19397</v>
      </c>
      <c r="F928" s="17">
        <f t="shared" si="1004"/>
        <v>646.5333333333333</v>
      </c>
      <c r="G928" s="17">
        <f t="shared" si="1005"/>
        <v>646.33333333333337</v>
      </c>
      <c r="H928" s="17">
        <f t="shared" si="1006"/>
        <v>646.20000000000005</v>
      </c>
      <c r="I928" s="17">
        <f t="shared" si="1007"/>
        <v>646.13333333333333</v>
      </c>
      <c r="J928" s="17">
        <f t="shared" si="1008"/>
        <v>646</v>
      </c>
      <c r="K928" s="17">
        <f t="shared" si="1009"/>
        <v>645.93333333333328</v>
      </c>
      <c r="L928" s="17">
        <f t="shared" si="1010"/>
        <v>645.79999999999995</v>
      </c>
      <c r="M928" s="17">
        <f t="shared" si="1011"/>
        <v>645.6</v>
      </c>
    </row>
    <row r="929" spans="1:13" x14ac:dyDescent="0.35">
      <c r="B929" s="2">
        <v>30</v>
      </c>
      <c r="C929" s="2">
        <f t="shared" si="1001"/>
        <v>2803</v>
      </c>
      <c r="D929" s="2">
        <f t="shared" si="1002"/>
        <v>2773</v>
      </c>
      <c r="E929" s="3">
        <f t="shared" si="1003"/>
        <v>19411</v>
      </c>
      <c r="F929" s="17">
        <f t="shared" si="1004"/>
        <v>647</v>
      </c>
      <c r="G929" s="17">
        <f t="shared" si="1005"/>
        <v>646.79999999999995</v>
      </c>
      <c r="H929" s="17">
        <f t="shared" si="1006"/>
        <v>646.66666666666663</v>
      </c>
      <c r="I929" s="17">
        <f t="shared" si="1007"/>
        <v>646.6</v>
      </c>
      <c r="J929" s="17">
        <f t="shared" si="1008"/>
        <v>646.4666666666667</v>
      </c>
      <c r="K929" s="17">
        <f t="shared" si="1009"/>
        <v>646.4</v>
      </c>
      <c r="L929" s="17">
        <f t="shared" si="1010"/>
        <v>646.26666666666665</v>
      </c>
      <c r="M929" s="17">
        <f t="shared" si="1011"/>
        <v>646.06666666666672</v>
      </c>
    </row>
    <row r="930" spans="1:13" x14ac:dyDescent="0.35">
      <c r="B930" s="2">
        <v>30</v>
      </c>
      <c r="C930" s="2">
        <f t="shared" si="1001"/>
        <v>2807</v>
      </c>
      <c r="D930" s="2">
        <f t="shared" si="1002"/>
        <v>2777</v>
      </c>
      <c r="E930" s="3">
        <f t="shared" si="1003"/>
        <v>19439</v>
      </c>
      <c r="F930" s="17">
        <f t="shared" si="1004"/>
        <v>647.93333333333328</v>
      </c>
      <c r="G930" s="17">
        <f t="shared" si="1005"/>
        <v>647.73333333333335</v>
      </c>
      <c r="H930" s="17">
        <f t="shared" si="1006"/>
        <v>647.6</v>
      </c>
      <c r="I930" s="17">
        <f t="shared" si="1007"/>
        <v>647.5333333333333</v>
      </c>
      <c r="J930" s="17">
        <f t="shared" si="1008"/>
        <v>647.4</v>
      </c>
      <c r="K930" s="17">
        <f t="shared" si="1009"/>
        <v>647.33333333333337</v>
      </c>
      <c r="L930" s="17">
        <f t="shared" si="1010"/>
        <v>647.20000000000005</v>
      </c>
      <c r="M930" s="17">
        <f t="shared" si="1011"/>
        <v>647</v>
      </c>
    </row>
    <row r="931" spans="1:13" x14ac:dyDescent="0.35">
      <c r="B931" s="2">
        <v>30</v>
      </c>
      <c r="C931" s="2">
        <f t="shared" si="1001"/>
        <v>2809</v>
      </c>
      <c r="D931" s="2">
        <f t="shared" si="1002"/>
        <v>2779</v>
      </c>
      <c r="E931" s="3">
        <f t="shared" si="1003"/>
        <v>19453</v>
      </c>
      <c r="F931" s="17">
        <f t="shared" si="1004"/>
        <v>648.4</v>
      </c>
      <c r="G931" s="17">
        <f t="shared" si="1005"/>
        <v>648.20000000000005</v>
      </c>
      <c r="H931" s="17">
        <f t="shared" si="1006"/>
        <v>648.06666666666672</v>
      </c>
      <c r="I931" s="17">
        <f t="shared" si="1007"/>
        <v>648</v>
      </c>
      <c r="J931" s="17">
        <f t="shared" si="1008"/>
        <v>647.86666666666667</v>
      </c>
      <c r="K931" s="17">
        <f t="shared" si="1009"/>
        <v>647.79999999999995</v>
      </c>
      <c r="L931" s="17">
        <f t="shared" si="1010"/>
        <v>647.66666666666663</v>
      </c>
      <c r="M931" s="17">
        <f t="shared" si="1011"/>
        <v>647.4666666666667</v>
      </c>
    </row>
    <row r="932" spans="1:13" x14ac:dyDescent="0.35">
      <c r="B932" s="2">
        <v>30</v>
      </c>
      <c r="C932" s="2">
        <f t="shared" si="1001"/>
        <v>2813</v>
      </c>
      <c r="D932" s="2">
        <f t="shared" si="1002"/>
        <v>2783</v>
      </c>
      <c r="E932" s="3">
        <f t="shared" si="1003"/>
        <v>19481</v>
      </c>
      <c r="F932" s="17">
        <f t="shared" si="1004"/>
        <v>649.33333333333337</v>
      </c>
      <c r="G932" s="17">
        <f t="shared" si="1005"/>
        <v>649.13333333333333</v>
      </c>
      <c r="H932" s="17">
        <f t="shared" si="1006"/>
        <v>649</v>
      </c>
      <c r="I932" s="17">
        <f t="shared" si="1007"/>
        <v>648.93333333333328</v>
      </c>
      <c r="J932" s="17">
        <f t="shared" si="1008"/>
        <v>648.79999999999995</v>
      </c>
      <c r="K932" s="17">
        <f t="shared" si="1009"/>
        <v>648.73333333333335</v>
      </c>
      <c r="L932" s="17">
        <f t="shared" si="1010"/>
        <v>648.6</v>
      </c>
      <c r="M932" s="17">
        <f t="shared" si="1011"/>
        <v>648.4</v>
      </c>
    </row>
    <row r="933" spans="1:13" x14ac:dyDescent="0.35">
      <c r="B933" s="2">
        <v>30</v>
      </c>
      <c r="C933" s="2">
        <f t="shared" si="1001"/>
        <v>2819</v>
      </c>
      <c r="D933" s="2">
        <f t="shared" si="1002"/>
        <v>2789</v>
      </c>
      <c r="E933" s="3">
        <f t="shared" si="1003"/>
        <v>19523</v>
      </c>
      <c r="F933" s="17">
        <f t="shared" si="1004"/>
        <v>650.73333333333335</v>
      </c>
      <c r="G933" s="17">
        <f t="shared" si="1005"/>
        <v>650.5333333333333</v>
      </c>
      <c r="H933" s="17">
        <f t="shared" si="1006"/>
        <v>650.4</v>
      </c>
      <c r="I933" s="17">
        <f t="shared" si="1007"/>
        <v>650.33333333333337</v>
      </c>
      <c r="J933" s="17">
        <f t="shared" si="1008"/>
        <v>650.20000000000005</v>
      </c>
      <c r="K933" s="17">
        <f t="shared" si="1009"/>
        <v>650.13333333333333</v>
      </c>
      <c r="L933" s="17">
        <f t="shared" si="1010"/>
        <v>650</v>
      </c>
      <c r="M933" s="17">
        <f t="shared" si="1011"/>
        <v>649.79999999999995</v>
      </c>
    </row>
    <row r="934" spans="1:13" ht="16.8" thickBot="1" x14ac:dyDescent="0.4">
      <c r="F934" s="17"/>
      <c r="G934" s="17"/>
      <c r="H934" s="17"/>
      <c r="I934" s="17"/>
      <c r="J934" s="17"/>
      <c r="K934" s="17"/>
      <c r="L934" s="17"/>
      <c r="M934" s="17"/>
    </row>
    <row r="935" spans="1:13" ht="16.8" thickBot="1" x14ac:dyDescent="0.4">
      <c r="A935" s="1">
        <f>A925+1</f>
        <v>94</v>
      </c>
      <c r="C935" s="18" t="s">
        <v>2</v>
      </c>
      <c r="E935" s="13">
        <f>E916</f>
        <v>19117</v>
      </c>
      <c r="F935" s="19">
        <v>1</v>
      </c>
      <c r="G935" s="20">
        <v>7</v>
      </c>
      <c r="H935" s="20">
        <v>11</v>
      </c>
      <c r="I935" s="20">
        <v>13</v>
      </c>
      <c r="J935" s="20">
        <v>17</v>
      </c>
      <c r="K935" s="20">
        <v>19</v>
      </c>
      <c r="L935" s="20">
        <v>23</v>
      </c>
      <c r="M935" s="21">
        <v>29</v>
      </c>
    </row>
    <row r="936" spans="1:13" x14ac:dyDescent="0.35">
      <c r="B936" s="2">
        <v>30</v>
      </c>
      <c r="C936" s="2">
        <f>D936+B936</f>
        <v>2821</v>
      </c>
      <c r="D936" s="2">
        <f>C926</f>
        <v>2791</v>
      </c>
      <c r="E936" s="3">
        <f>D936*$E$5</f>
        <v>19537</v>
      </c>
      <c r="F936" s="17">
        <f>(E936-1)/30</f>
        <v>651.20000000000005</v>
      </c>
      <c r="G936" s="17">
        <f>($E936-7)/30</f>
        <v>651</v>
      </c>
      <c r="H936" s="17">
        <f>($E936-11)/30</f>
        <v>650.86666666666667</v>
      </c>
      <c r="I936" s="17">
        <f>($E936-13)/30</f>
        <v>650.79999999999995</v>
      </c>
      <c r="J936" s="17">
        <f>($E936-17)/30</f>
        <v>650.66666666666663</v>
      </c>
      <c r="K936" s="17">
        <f>($E936-19)/30</f>
        <v>650.6</v>
      </c>
      <c r="L936" s="17">
        <f>($E936-23)/30</f>
        <v>650.4666666666667</v>
      </c>
      <c r="M936" s="17">
        <f>($E936-29)/30</f>
        <v>650.26666666666665</v>
      </c>
    </row>
    <row r="937" spans="1:13" x14ac:dyDescent="0.35">
      <c r="B937" s="2">
        <v>30</v>
      </c>
      <c r="C937" s="2">
        <f t="shared" ref="C937:C943" si="1012">D937+B937</f>
        <v>2827</v>
      </c>
      <c r="D937" s="2">
        <f t="shared" ref="D937:D943" si="1013">C927</f>
        <v>2797</v>
      </c>
      <c r="E937" s="3">
        <f t="shared" ref="E937:E943" si="1014">D937*$E$5</f>
        <v>19579</v>
      </c>
      <c r="F937" s="17">
        <f t="shared" ref="F937:F943" si="1015">(E937-1)/30</f>
        <v>652.6</v>
      </c>
      <c r="G937" s="17">
        <f t="shared" ref="G937:G943" si="1016">($E937-7)/30</f>
        <v>652.4</v>
      </c>
      <c r="H937" s="17">
        <f t="shared" ref="H937:H943" si="1017">($E937-11)/30</f>
        <v>652.26666666666665</v>
      </c>
      <c r="I937" s="17">
        <f t="shared" ref="I937:I943" si="1018">($E937-13)/30</f>
        <v>652.20000000000005</v>
      </c>
      <c r="J937" s="17">
        <f t="shared" ref="J937:J943" si="1019">($E937-17)/30</f>
        <v>652.06666666666672</v>
      </c>
      <c r="K937" s="17">
        <f t="shared" ref="K937:K943" si="1020">($E937-19)/30</f>
        <v>652</v>
      </c>
      <c r="L937" s="17">
        <f t="shared" ref="L937:L943" si="1021">($E937-23)/30</f>
        <v>651.86666666666667</v>
      </c>
      <c r="M937" s="17">
        <f t="shared" ref="M937:M943" si="1022">($E937-29)/30</f>
        <v>651.66666666666663</v>
      </c>
    </row>
    <row r="938" spans="1:13" x14ac:dyDescent="0.35">
      <c r="B938" s="2">
        <v>30</v>
      </c>
      <c r="C938" s="2">
        <f t="shared" si="1012"/>
        <v>2831</v>
      </c>
      <c r="D938" s="2">
        <f t="shared" si="1013"/>
        <v>2801</v>
      </c>
      <c r="E938" s="3">
        <f t="shared" si="1014"/>
        <v>19607</v>
      </c>
      <c r="F938" s="17">
        <f t="shared" si="1015"/>
        <v>653.5333333333333</v>
      </c>
      <c r="G938" s="17">
        <f t="shared" si="1016"/>
        <v>653.33333333333337</v>
      </c>
      <c r="H938" s="17">
        <f t="shared" si="1017"/>
        <v>653.20000000000005</v>
      </c>
      <c r="I938" s="17">
        <f t="shared" si="1018"/>
        <v>653.13333333333333</v>
      </c>
      <c r="J938" s="17">
        <f t="shared" si="1019"/>
        <v>653</v>
      </c>
      <c r="K938" s="17">
        <f t="shared" si="1020"/>
        <v>652.93333333333328</v>
      </c>
      <c r="L938" s="17">
        <f t="shared" si="1021"/>
        <v>652.79999999999995</v>
      </c>
      <c r="M938" s="17">
        <f t="shared" si="1022"/>
        <v>652.6</v>
      </c>
    </row>
    <row r="939" spans="1:13" x14ac:dyDescent="0.35">
      <c r="B939" s="2">
        <v>30</v>
      </c>
      <c r="C939" s="2">
        <f t="shared" si="1012"/>
        <v>2833</v>
      </c>
      <c r="D939" s="2">
        <f t="shared" si="1013"/>
        <v>2803</v>
      </c>
      <c r="E939" s="3">
        <f t="shared" si="1014"/>
        <v>19621</v>
      </c>
      <c r="F939" s="17">
        <f t="shared" si="1015"/>
        <v>654</v>
      </c>
      <c r="G939" s="17">
        <f t="shared" si="1016"/>
        <v>653.79999999999995</v>
      </c>
      <c r="H939" s="17">
        <f t="shared" si="1017"/>
        <v>653.66666666666663</v>
      </c>
      <c r="I939" s="17">
        <f t="shared" si="1018"/>
        <v>653.6</v>
      </c>
      <c r="J939" s="17">
        <f t="shared" si="1019"/>
        <v>653.4666666666667</v>
      </c>
      <c r="K939" s="17">
        <f t="shared" si="1020"/>
        <v>653.4</v>
      </c>
      <c r="L939" s="17">
        <f t="shared" si="1021"/>
        <v>653.26666666666665</v>
      </c>
      <c r="M939" s="17">
        <f t="shared" si="1022"/>
        <v>653.06666666666672</v>
      </c>
    </row>
    <row r="940" spans="1:13" x14ac:dyDescent="0.35">
      <c r="B940" s="2">
        <v>30</v>
      </c>
      <c r="C940" s="2">
        <f t="shared" si="1012"/>
        <v>2837</v>
      </c>
      <c r="D940" s="2">
        <f t="shared" si="1013"/>
        <v>2807</v>
      </c>
      <c r="E940" s="3">
        <f t="shared" si="1014"/>
        <v>19649</v>
      </c>
      <c r="F940" s="17">
        <f t="shared" si="1015"/>
        <v>654.93333333333328</v>
      </c>
      <c r="G940" s="17">
        <f t="shared" si="1016"/>
        <v>654.73333333333335</v>
      </c>
      <c r="H940" s="17">
        <f t="shared" si="1017"/>
        <v>654.6</v>
      </c>
      <c r="I940" s="17">
        <f t="shared" si="1018"/>
        <v>654.5333333333333</v>
      </c>
      <c r="J940" s="17">
        <f t="shared" si="1019"/>
        <v>654.4</v>
      </c>
      <c r="K940" s="17">
        <f t="shared" si="1020"/>
        <v>654.33333333333337</v>
      </c>
      <c r="L940" s="17">
        <f t="shared" si="1021"/>
        <v>654.20000000000005</v>
      </c>
      <c r="M940" s="17">
        <f t="shared" si="1022"/>
        <v>654</v>
      </c>
    </row>
    <row r="941" spans="1:13" x14ac:dyDescent="0.35">
      <c r="B941" s="2">
        <v>30</v>
      </c>
      <c r="C941" s="2">
        <f t="shared" si="1012"/>
        <v>2839</v>
      </c>
      <c r="D941" s="2">
        <f t="shared" si="1013"/>
        <v>2809</v>
      </c>
      <c r="E941" s="3">
        <f t="shared" si="1014"/>
        <v>19663</v>
      </c>
      <c r="F941" s="17">
        <f t="shared" si="1015"/>
        <v>655.4</v>
      </c>
      <c r="G941" s="17">
        <f t="shared" si="1016"/>
        <v>655.20000000000005</v>
      </c>
      <c r="H941" s="17">
        <f t="shared" si="1017"/>
        <v>655.06666666666672</v>
      </c>
      <c r="I941" s="17">
        <f t="shared" si="1018"/>
        <v>655</v>
      </c>
      <c r="J941" s="17">
        <f t="shared" si="1019"/>
        <v>654.86666666666667</v>
      </c>
      <c r="K941" s="17">
        <f t="shared" si="1020"/>
        <v>654.79999999999995</v>
      </c>
      <c r="L941" s="17">
        <f t="shared" si="1021"/>
        <v>654.66666666666663</v>
      </c>
      <c r="M941" s="17">
        <f t="shared" si="1022"/>
        <v>654.4666666666667</v>
      </c>
    </row>
    <row r="942" spans="1:13" x14ac:dyDescent="0.35">
      <c r="B942" s="2">
        <v>30</v>
      </c>
      <c r="C942" s="2">
        <f t="shared" si="1012"/>
        <v>2843</v>
      </c>
      <c r="D942" s="2">
        <f t="shared" si="1013"/>
        <v>2813</v>
      </c>
      <c r="E942" s="3">
        <f t="shared" si="1014"/>
        <v>19691</v>
      </c>
      <c r="F942" s="17">
        <f t="shared" si="1015"/>
        <v>656.33333333333337</v>
      </c>
      <c r="G942" s="17">
        <f t="shared" si="1016"/>
        <v>656.13333333333333</v>
      </c>
      <c r="H942" s="17">
        <f t="shared" si="1017"/>
        <v>656</v>
      </c>
      <c r="I942" s="17">
        <f t="shared" si="1018"/>
        <v>655.93333333333328</v>
      </c>
      <c r="J942" s="17">
        <f t="shared" si="1019"/>
        <v>655.8</v>
      </c>
      <c r="K942" s="17">
        <f t="shared" si="1020"/>
        <v>655.73333333333335</v>
      </c>
      <c r="L942" s="17">
        <f t="shared" si="1021"/>
        <v>655.6</v>
      </c>
      <c r="M942" s="17">
        <f t="shared" si="1022"/>
        <v>655.4</v>
      </c>
    </row>
    <row r="943" spans="1:13" x14ac:dyDescent="0.35">
      <c r="B943" s="2">
        <v>30</v>
      </c>
      <c r="C943" s="2">
        <f t="shared" si="1012"/>
        <v>2849</v>
      </c>
      <c r="D943" s="2">
        <f t="shared" si="1013"/>
        <v>2819</v>
      </c>
      <c r="E943" s="3">
        <f t="shared" si="1014"/>
        <v>19733</v>
      </c>
      <c r="F943" s="17">
        <f t="shared" si="1015"/>
        <v>657.73333333333335</v>
      </c>
      <c r="G943" s="17">
        <f t="shared" si="1016"/>
        <v>657.5333333333333</v>
      </c>
      <c r="H943" s="17">
        <f t="shared" si="1017"/>
        <v>657.4</v>
      </c>
      <c r="I943" s="17">
        <f t="shared" si="1018"/>
        <v>657.33333333333337</v>
      </c>
      <c r="J943" s="17">
        <f t="shared" si="1019"/>
        <v>657.2</v>
      </c>
      <c r="K943" s="17">
        <f t="shared" si="1020"/>
        <v>657.13333333333333</v>
      </c>
      <c r="L943" s="17">
        <f t="shared" si="1021"/>
        <v>657</v>
      </c>
      <c r="M943" s="17">
        <f t="shared" si="1022"/>
        <v>656.8</v>
      </c>
    </row>
    <row r="944" spans="1:13" ht="16.8" thickBot="1" x14ac:dyDescent="0.4">
      <c r="F944" s="17"/>
      <c r="G944" s="17"/>
      <c r="H944" s="17"/>
      <c r="I944" s="17"/>
      <c r="J944" s="17"/>
      <c r="K944" s="17"/>
      <c r="L944" s="17"/>
      <c r="M944" s="17"/>
    </row>
    <row r="945" spans="1:13" ht="16.8" thickBot="1" x14ac:dyDescent="0.4">
      <c r="A945" s="1">
        <f>A935+1</f>
        <v>95</v>
      </c>
      <c r="C945" s="18" t="s">
        <v>2</v>
      </c>
      <c r="E945" s="13">
        <f>E926</f>
        <v>19327</v>
      </c>
      <c r="F945" s="19">
        <v>1</v>
      </c>
      <c r="G945" s="20">
        <v>7</v>
      </c>
      <c r="H945" s="20">
        <v>11</v>
      </c>
      <c r="I945" s="20">
        <v>13</v>
      </c>
      <c r="J945" s="20">
        <v>17</v>
      </c>
      <c r="K945" s="20">
        <v>19</v>
      </c>
      <c r="L945" s="20">
        <v>23</v>
      </c>
      <c r="M945" s="21">
        <v>29</v>
      </c>
    </row>
    <row r="946" spans="1:13" x14ac:dyDescent="0.35">
      <c r="B946" s="2">
        <v>30</v>
      </c>
      <c r="C946" s="2">
        <f>D946+B946</f>
        <v>2851</v>
      </c>
      <c r="D946" s="2">
        <f>C936</f>
        <v>2821</v>
      </c>
      <c r="E946" s="3">
        <f>D946*$E$5</f>
        <v>19747</v>
      </c>
      <c r="F946" s="17">
        <f>(E946-1)/30</f>
        <v>658.2</v>
      </c>
      <c r="G946" s="17">
        <f>($E946-7)/30</f>
        <v>658</v>
      </c>
      <c r="H946" s="17">
        <f>($E946-11)/30</f>
        <v>657.86666666666667</v>
      </c>
      <c r="I946" s="17">
        <f>($E946-13)/30</f>
        <v>657.8</v>
      </c>
      <c r="J946" s="17">
        <f>($E946-17)/30</f>
        <v>657.66666666666663</v>
      </c>
      <c r="K946" s="17">
        <f>($E946-19)/30</f>
        <v>657.6</v>
      </c>
      <c r="L946" s="17">
        <f>($E946-23)/30</f>
        <v>657.4666666666667</v>
      </c>
      <c r="M946" s="17">
        <f>($E946-29)/30</f>
        <v>657.26666666666665</v>
      </c>
    </row>
    <row r="947" spans="1:13" x14ac:dyDescent="0.35">
      <c r="B947" s="2">
        <v>30</v>
      </c>
      <c r="C947" s="2">
        <f t="shared" ref="C947:C953" si="1023">D947+B947</f>
        <v>2857</v>
      </c>
      <c r="D947" s="2">
        <f t="shared" ref="D947:D953" si="1024">C937</f>
        <v>2827</v>
      </c>
      <c r="E947" s="3">
        <f t="shared" ref="E947:E953" si="1025">D947*$E$5</f>
        <v>19789</v>
      </c>
      <c r="F947" s="17">
        <f t="shared" ref="F947:F953" si="1026">(E947-1)/30</f>
        <v>659.6</v>
      </c>
      <c r="G947" s="17">
        <f t="shared" ref="G947:G953" si="1027">($E947-7)/30</f>
        <v>659.4</v>
      </c>
      <c r="H947" s="17">
        <f t="shared" ref="H947:H953" si="1028">($E947-11)/30</f>
        <v>659.26666666666665</v>
      </c>
      <c r="I947" s="17">
        <f t="shared" ref="I947:I953" si="1029">($E947-13)/30</f>
        <v>659.2</v>
      </c>
      <c r="J947" s="17">
        <f t="shared" ref="J947:J953" si="1030">($E947-17)/30</f>
        <v>659.06666666666672</v>
      </c>
      <c r="K947" s="17">
        <f t="shared" ref="K947:K953" si="1031">($E947-19)/30</f>
        <v>659</v>
      </c>
      <c r="L947" s="17">
        <f t="shared" ref="L947:L953" si="1032">($E947-23)/30</f>
        <v>658.86666666666667</v>
      </c>
      <c r="M947" s="17">
        <f t="shared" ref="M947:M953" si="1033">($E947-29)/30</f>
        <v>658.66666666666663</v>
      </c>
    </row>
    <row r="948" spans="1:13" x14ac:dyDescent="0.35">
      <c r="B948" s="2">
        <v>30</v>
      </c>
      <c r="C948" s="2">
        <f t="shared" si="1023"/>
        <v>2861</v>
      </c>
      <c r="D948" s="2">
        <f t="shared" si="1024"/>
        <v>2831</v>
      </c>
      <c r="E948" s="3">
        <f t="shared" si="1025"/>
        <v>19817</v>
      </c>
      <c r="F948" s="17">
        <f t="shared" si="1026"/>
        <v>660.5333333333333</v>
      </c>
      <c r="G948" s="17">
        <f t="shared" si="1027"/>
        <v>660.33333333333337</v>
      </c>
      <c r="H948" s="17">
        <f t="shared" si="1028"/>
        <v>660.2</v>
      </c>
      <c r="I948" s="17">
        <f t="shared" si="1029"/>
        <v>660.13333333333333</v>
      </c>
      <c r="J948" s="17">
        <f t="shared" si="1030"/>
        <v>660</v>
      </c>
      <c r="K948" s="17">
        <f t="shared" si="1031"/>
        <v>659.93333333333328</v>
      </c>
      <c r="L948" s="17">
        <f t="shared" si="1032"/>
        <v>659.8</v>
      </c>
      <c r="M948" s="17">
        <f t="shared" si="1033"/>
        <v>659.6</v>
      </c>
    </row>
    <row r="949" spans="1:13" x14ac:dyDescent="0.35">
      <c r="B949" s="2">
        <v>30</v>
      </c>
      <c r="C949" s="2">
        <f t="shared" si="1023"/>
        <v>2863</v>
      </c>
      <c r="D949" s="2">
        <f t="shared" si="1024"/>
        <v>2833</v>
      </c>
      <c r="E949" s="3">
        <f t="shared" si="1025"/>
        <v>19831</v>
      </c>
      <c r="F949" s="17">
        <f t="shared" si="1026"/>
        <v>661</v>
      </c>
      <c r="G949" s="17">
        <f t="shared" si="1027"/>
        <v>660.8</v>
      </c>
      <c r="H949" s="17">
        <f t="shared" si="1028"/>
        <v>660.66666666666663</v>
      </c>
      <c r="I949" s="17">
        <f t="shared" si="1029"/>
        <v>660.6</v>
      </c>
      <c r="J949" s="17">
        <f t="shared" si="1030"/>
        <v>660.4666666666667</v>
      </c>
      <c r="K949" s="17">
        <f t="shared" si="1031"/>
        <v>660.4</v>
      </c>
      <c r="L949" s="17">
        <f t="shared" si="1032"/>
        <v>660.26666666666665</v>
      </c>
      <c r="M949" s="17">
        <f t="shared" si="1033"/>
        <v>660.06666666666672</v>
      </c>
    </row>
    <row r="950" spans="1:13" x14ac:dyDescent="0.35">
      <c r="B950" s="2">
        <v>30</v>
      </c>
      <c r="C950" s="2">
        <f t="shared" si="1023"/>
        <v>2867</v>
      </c>
      <c r="D950" s="2">
        <f t="shared" si="1024"/>
        <v>2837</v>
      </c>
      <c r="E950" s="3">
        <f t="shared" si="1025"/>
        <v>19859</v>
      </c>
      <c r="F950" s="17">
        <f t="shared" si="1026"/>
        <v>661.93333333333328</v>
      </c>
      <c r="G950" s="17">
        <f t="shared" si="1027"/>
        <v>661.73333333333335</v>
      </c>
      <c r="H950" s="17">
        <f t="shared" si="1028"/>
        <v>661.6</v>
      </c>
      <c r="I950" s="17">
        <f t="shared" si="1029"/>
        <v>661.5333333333333</v>
      </c>
      <c r="J950" s="17">
        <f t="shared" si="1030"/>
        <v>661.4</v>
      </c>
      <c r="K950" s="17">
        <f t="shared" si="1031"/>
        <v>661.33333333333337</v>
      </c>
      <c r="L950" s="17">
        <f t="shared" si="1032"/>
        <v>661.2</v>
      </c>
      <c r="M950" s="17">
        <f t="shared" si="1033"/>
        <v>661</v>
      </c>
    </row>
    <row r="951" spans="1:13" x14ac:dyDescent="0.35">
      <c r="B951" s="2">
        <v>30</v>
      </c>
      <c r="C951" s="2">
        <f t="shared" si="1023"/>
        <v>2869</v>
      </c>
      <c r="D951" s="2">
        <f t="shared" si="1024"/>
        <v>2839</v>
      </c>
      <c r="E951" s="3">
        <f t="shared" si="1025"/>
        <v>19873</v>
      </c>
      <c r="F951" s="17">
        <f t="shared" si="1026"/>
        <v>662.4</v>
      </c>
      <c r="G951" s="17">
        <f t="shared" si="1027"/>
        <v>662.2</v>
      </c>
      <c r="H951" s="17">
        <f t="shared" si="1028"/>
        <v>662.06666666666672</v>
      </c>
      <c r="I951" s="17">
        <f t="shared" si="1029"/>
        <v>662</v>
      </c>
      <c r="J951" s="17">
        <f t="shared" si="1030"/>
        <v>661.86666666666667</v>
      </c>
      <c r="K951" s="17">
        <f t="shared" si="1031"/>
        <v>661.8</v>
      </c>
      <c r="L951" s="17">
        <f t="shared" si="1032"/>
        <v>661.66666666666663</v>
      </c>
      <c r="M951" s="17">
        <f t="shared" si="1033"/>
        <v>661.4666666666667</v>
      </c>
    </row>
    <row r="952" spans="1:13" x14ac:dyDescent="0.35">
      <c r="B952" s="2">
        <v>30</v>
      </c>
      <c r="C952" s="2">
        <f t="shared" si="1023"/>
        <v>2873</v>
      </c>
      <c r="D952" s="2">
        <f t="shared" si="1024"/>
        <v>2843</v>
      </c>
      <c r="E952" s="3">
        <f t="shared" si="1025"/>
        <v>19901</v>
      </c>
      <c r="F952" s="17">
        <f t="shared" si="1026"/>
        <v>663.33333333333337</v>
      </c>
      <c r="G952" s="17">
        <f t="shared" si="1027"/>
        <v>663.13333333333333</v>
      </c>
      <c r="H952" s="17">
        <f t="shared" si="1028"/>
        <v>663</v>
      </c>
      <c r="I952" s="17">
        <f t="shared" si="1029"/>
        <v>662.93333333333328</v>
      </c>
      <c r="J952" s="17">
        <f t="shared" si="1030"/>
        <v>662.8</v>
      </c>
      <c r="K952" s="17">
        <f t="shared" si="1031"/>
        <v>662.73333333333335</v>
      </c>
      <c r="L952" s="17">
        <f t="shared" si="1032"/>
        <v>662.6</v>
      </c>
      <c r="M952" s="17">
        <f t="shared" si="1033"/>
        <v>662.4</v>
      </c>
    </row>
    <row r="953" spans="1:13" x14ac:dyDescent="0.35">
      <c r="B953" s="2">
        <v>30</v>
      </c>
      <c r="C953" s="2">
        <f t="shared" si="1023"/>
        <v>2879</v>
      </c>
      <c r="D953" s="2">
        <f t="shared" si="1024"/>
        <v>2849</v>
      </c>
      <c r="E953" s="3">
        <f t="shared" si="1025"/>
        <v>19943</v>
      </c>
      <c r="F953" s="17">
        <f t="shared" si="1026"/>
        <v>664.73333333333335</v>
      </c>
      <c r="G953" s="17">
        <f t="shared" si="1027"/>
        <v>664.5333333333333</v>
      </c>
      <c r="H953" s="17">
        <f t="shared" si="1028"/>
        <v>664.4</v>
      </c>
      <c r="I953" s="17">
        <f t="shared" si="1029"/>
        <v>664.33333333333337</v>
      </c>
      <c r="J953" s="17">
        <f t="shared" si="1030"/>
        <v>664.2</v>
      </c>
      <c r="K953" s="17">
        <f t="shared" si="1031"/>
        <v>664.13333333333333</v>
      </c>
      <c r="L953" s="17">
        <f t="shared" si="1032"/>
        <v>664</v>
      </c>
      <c r="M953" s="17">
        <f t="shared" si="1033"/>
        <v>663.8</v>
      </c>
    </row>
    <row r="954" spans="1:13" ht="16.8" thickBot="1" x14ac:dyDescent="0.4">
      <c r="F954" s="17"/>
      <c r="G954" s="17"/>
      <c r="H954" s="17"/>
      <c r="I954" s="17"/>
      <c r="J954" s="17"/>
      <c r="K954" s="17"/>
      <c r="L954" s="17"/>
      <c r="M954" s="17"/>
    </row>
    <row r="955" spans="1:13" ht="16.8" thickBot="1" x14ac:dyDescent="0.4">
      <c r="A955" s="1">
        <f>A945+1</f>
        <v>96</v>
      </c>
      <c r="C955" s="18" t="s">
        <v>2</v>
      </c>
      <c r="E955" s="13">
        <f>E936</f>
        <v>19537</v>
      </c>
      <c r="F955" s="19">
        <v>1</v>
      </c>
      <c r="G955" s="20">
        <v>7</v>
      </c>
      <c r="H955" s="20">
        <v>11</v>
      </c>
      <c r="I955" s="20">
        <v>13</v>
      </c>
      <c r="J955" s="20">
        <v>17</v>
      </c>
      <c r="K955" s="20">
        <v>19</v>
      </c>
      <c r="L955" s="20">
        <v>23</v>
      </c>
      <c r="M955" s="21">
        <v>29</v>
      </c>
    </row>
    <row r="956" spans="1:13" x14ac:dyDescent="0.35">
      <c r="B956" s="2">
        <v>30</v>
      </c>
      <c r="C956" s="2">
        <f>D956+B956</f>
        <v>2881</v>
      </c>
      <c r="D956" s="2">
        <f>C946</f>
        <v>2851</v>
      </c>
      <c r="E956" s="3">
        <f>D956*$E$5</f>
        <v>19957</v>
      </c>
      <c r="F956" s="17">
        <f>(E956-1)/30</f>
        <v>665.2</v>
      </c>
      <c r="G956" s="17">
        <f>($E956-7)/30</f>
        <v>665</v>
      </c>
      <c r="H956" s="17">
        <f>($E956-11)/30</f>
        <v>664.86666666666667</v>
      </c>
      <c r="I956" s="17">
        <f>($E956-13)/30</f>
        <v>664.8</v>
      </c>
      <c r="J956" s="17">
        <f>($E956-17)/30</f>
        <v>664.66666666666663</v>
      </c>
      <c r="K956" s="17">
        <f>($E956-19)/30</f>
        <v>664.6</v>
      </c>
      <c r="L956" s="17">
        <f>($E956-23)/30</f>
        <v>664.4666666666667</v>
      </c>
      <c r="M956" s="17">
        <f>($E956-29)/30</f>
        <v>664.26666666666665</v>
      </c>
    </row>
    <row r="957" spans="1:13" x14ac:dyDescent="0.35">
      <c r="B957" s="2">
        <v>30</v>
      </c>
      <c r="C957" s="2">
        <f t="shared" ref="C957:C963" si="1034">D957+B957</f>
        <v>2887</v>
      </c>
      <c r="D957" s="2">
        <f t="shared" ref="D957:D963" si="1035">C947</f>
        <v>2857</v>
      </c>
      <c r="E957" s="3">
        <f t="shared" ref="E957:E963" si="1036">D957*$E$5</f>
        <v>19999</v>
      </c>
      <c r="F957" s="17">
        <f t="shared" ref="F957:F963" si="1037">(E957-1)/30</f>
        <v>666.6</v>
      </c>
      <c r="G957" s="17">
        <f t="shared" ref="G957:G963" si="1038">($E957-7)/30</f>
        <v>666.4</v>
      </c>
      <c r="H957" s="17">
        <f t="shared" ref="H957:H963" si="1039">($E957-11)/30</f>
        <v>666.26666666666665</v>
      </c>
      <c r="I957" s="17">
        <f t="shared" ref="I957:I963" si="1040">($E957-13)/30</f>
        <v>666.2</v>
      </c>
      <c r="J957" s="17">
        <f t="shared" ref="J957:J963" si="1041">($E957-17)/30</f>
        <v>666.06666666666672</v>
      </c>
      <c r="K957" s="17">
        <f t="shared" ref="K957:K963" si="1042">($E957-19)/30</f>
        <v>666</v>
      </c>
      <c r="L957" s="17">
        <f t="shared" ref="L957:L963" si="1043">($E957-23)/30</f>
        <v>665.86666666666667</v>
      </c>
      <c r="M957" s="17">
        <f t="shared" ref="M957:M963" si="1044">($E957-29)/30</f>
        <v>665.66666666666663</v>
      </c>
    </row>
    <row r="958" spans="1:13" x14ac:dyDescent="0.35">
      <c r="B958" s="2">
        <v>30</v>
      </c>
      <c r="C958" s="2">
        <f t="shared" si="1034"/>
        <v>2891</v>
      </c>
      <c r="D958" s="2">
        <f t="shared" si="1035"/>
        <v>2861</v>
      </c>
      <c r="E958" s="3">
        <f t="shared" si="1036"/>
        <v>20027</v>
      </c>
      <c r="F958" s="17">
        <f t="shared" si="1037"/>
        <v>667.5333333333333</v>
      </c>
      <c r="G958" s="17">
        <f t="shared" si="1038"/>
        <v>667.33333333333337</v>
      </c>
      <c r="H958" s="17">
        <f t="shared" si="1039"/>
        <v>667.2</v>
      </c>
      <c r="I958" s="17">
        <f t="shared" si="1040"/>
        <v>667.13333333333333</v>
      </c>
      <c r="J958" s="17">
        <f t="shared" si="1041"/>
        <v>667</v>
      </c>
      <c r="K958" s="17">
        <f t="shared" si="1042"/>
        <v>666.93333333333328</v>
      </c>
      <c r="L958" s="17">
        <f t="shared" si="1043"/>
        <v>666.8</v>
      </c>
      <c r="M958" s="17">
        <f t="shared" si="1044"/>
        <v>666.6</v>
      </c>
    </row>
    <row r="959" spans="1:13" x14ac:dyDescent="0.35">
      <c r="B959" s="2">
        <v>30</v>
      </c>
      <c r="C959" s="2">
        <f t="shared" si="1034"/>
        <v>2893</v>
      </c>
      <c r="D959" s="2">
        <f t="shared" si="1035"/>
        <v>2863</v>
      </c>
      <c r="E959" s="3">
        <f t="shared" si="1036"/>
        <v>20041</v>
      </c>
      <c r="F959" s="17">
        <f t="shared" si="1037"/>
        <v>668</v>
      </c>
      <c r="G959" s="17">
        <f t="shared" si="1038"/>
        <v>667.8</v>
      </c>
      <c r="H959" s="17">
        <f t="shared" si="1039"/>
        <v>667.66666666666663</v>
      </c>
      <c r="I959" s="17">
        <f t="shared" si="1040"/>
        <v>667.6</v>
      </c>
      <c r="J959" s="17">
        <f t="shared" si="1041"/>
        <v>667.4666666666667</v>
      </c>
      <c r="K959" s="17">
        <f t="shared" si="1042"/>
        <v>667.4</v>
      </c>
      <c r="L959" s="17">
        <f t="shared" si="1043"/>
        <v>667.26666666666665</v>
      </c>
      <c r="M959" s="17">
        <f t="shared" si="1044"/>
        <v>667.06666666666672</v>
      </c>
    </row>
    <row r="960" spans="1:13" x14ac:dyDescent="0.35">
      <c r="B960" s="2">
        <v>30</v>
      </c>
      <c r="C960" s="2">
        <f t="shared" si="1034"/>
        <v>2897</v>
      </c>
      <c r="D960" s="2">
        <f t="shared" si="1035"/>
        <v>2867</v>
      </c>
      <c r="E960" s="3">
        <f t="shared" si="1036"/>
        <v>20069</v>
      </c>
      <c r="F960" s="17">
        <f t="shared" si="1037"/>
        <v>668.93333333333328</v>
      </c>
      <c r="G960" s="17">
        <f t="shared" si="1038"/>
        <v>668.73333333333335</v>
      </c>
      <c r="H960" s="17">
        <f t="shared" si="1039"/>
        <v>668.6</v>
      </c>
      <c r="I960" s="17">
        <f t="shared" si="1040"/>
        <v>668.5333333333333</v>
      </c>
      <c r="J960" s="17">
        <f t="shared" si="1041"/>
        <v>668.4</v>
      </c>
      <c r="K960" s="17">
        <f t="shared" si="1042"/>
        <v>668.33333333333337</v>
      </c>
      <c r="L960" s="17">
        <f t="shared" si="1043"/>
        <v>668.2</v>
      </c>
      <c r="M960" s="17">
        <f t="shared" si="1044"/>
        <v>668</v>
      </c>
    </row>
    <row r="961" spans="1:13" x14ac:dyDescent="0.35">
      <c r="B961" s="2">
        <v>30</v>
      </c>
      <c r="C961" s="2">
        <f t="shared" si="1034"/>
        <v>2899</v>
      </c>
      <c r="D961" s="2">
        <f t="shared" si="1035"/>
        <v>2869</v>
      </c>
      <c r="E961" s="3">
        <f t="shared" si="1036"/>
        <v>20083</v>
      </c>
      <c r="F961" s="17">
        <f t="shared" si="1037"/>
        <v>669.4</v>
      </c>
      <c r="G961" s="17">
        <f t="shared" si="1038"/>
        <v>669.2</v>
      </c>
      <c r="H961" s="17">
        <f t="shared" si="1039"/>
        <v>669.06666666666672</v>
      </c>
      <c r="I961" s="17">
        <f t="shared" si="1040"/>
        <v>669</v>
      </c>
      <c r="J961" s="17">
        <f t="shared" si="1041"/>
        <v>668.86666666666667</v>
      </c>
      <c r="K961" s="17">
        <f t="shared" si="1042"/>
        <v>668.8</v>
      </c>
      <c r="L961" s="17">
        <f t="shared" si="1043"/>
        <v>668.66666666666663</v>
      </c>
      <c r="M961" s="17">
        <f t="shared" si="1044"/>
        <v>668.4666666666667</v>
      </c>
    </row>
    <row r="962" spans="1:13" x14ac:dyDescent="0.35">
      <c r="B962" s="2">
        <v>30</v>
      </c>
      <c r="C962" s="2">
        <f t="shared" si="1034"/>
        <v>2903</v>
      </c>
      <c r="D962" s="2">
        <f t="shared" si="1035"/>
        <v>2873</v>
      </c>
      <c r="E962" s="3">
        <f t="shared" si="1036"/>
        <v>20111</v>
      </c>
      <c r="F962" s="17">
        <f t="shared" si="1037"/>
        <v>670.33333333333337</v>
      </c>
      <c r="G962" s="17">
        <f t="shared" si="1038"/>
        <v>670.13333333333333</v>
      </c>
      <c r="H962" s="17">
        <f t="shared" si="1039"/>
        <v>670</v>
      </c>
      <c r="I962" s="17">
        <f t="shared" si="1040"/>
        <v>669.93333333333328</v>
      </c>
      <c r="J962" s="17">
        <f t="shared" si="1041"/>
        <v>669.8</v>
      </c>
      <c r="K962" s="17">
        <f t="shared" si="1042"/>
        <v>669.73333333333335</v>
      </c>
      <c r="L962" s="17">
        <f t="shared" si="1043"/>
        <v>669.6</v>
      </c>
      <c r="M962" s="17">
        <f t="shared" si="1044"/>
        <v>669.4</v>
      </c>
    </row>
    <row r="963" spans="1:13" x14ac:dyDescent="0.35">
      <c r="B963" s="2">
        <v>30</v>
      </c>
      <c r="C963" s="2">
        <f t="shared" si="1034"/>
        <v>2909</v>
      </c>
      <c r="D963" s="2">
        <f t="shared" si="1035"/>
        <v>2879</v>
      </c>
      <c r="E963" s="3">
        <f t="shared" si="1036"/>
        <v>20153</v>
      </c>
      <c r="F963" s="17">
        <f t="shared" si="1037"/>
        <v>671.73333333333335</v>
      </c>
      <c r="G963" s="17">
        <f t="shared" si="1038"/>
        <v>671.5333333333333</v>
      </c>
      <c r="H963" s="17">
        <f t="shared" si="1039"/>
        <v>671.4</v>
      </c>
      <c r="I963" s="17">
        <f t="shared" si="1040"/>
        <v>671.33333333333337</v>
      </c>
      <c r="J963" s="17">
        <f t="shared" si="1041"/>
        <v>671.2</v>
      </c>
      <c r="K963" s="17">
        <f t="shared" si="1042"/>
        <v>671.13333333333333</v>
      </c>
      <c r="L963" s="17">
        <f t="shared" si="1043"/>
        <v>671</v>
      </c>
      <c r="M963" s="17">
        <f t="shared" si="1044"/>
        <v>670.8</v>
      </c>
    </row>
    <row r="964" spans="1:13" ht="16.8" thickBot="1" x14ac:dyDescent="0.4">
      <c r="F964" s="17"/>
      <c r="G964" s="17"/>
      <c r="H964" s="17"/>
      <c r="I964" s="17"/>
      <c r="J964" s="17"/>
      <c r="K964" s="17"/>
      <c r="L964" s="17"/>
      <c r="M964" s="17"/>
    </row>
    <row r="965" spans="1:13" ht="16.8" thickBot="1" x14ac:dyDescent="0.4">
      <c r="A965" s="1">
        <f>A955+1</f>
        <v>97</v>
      </c>
      <c r="C965" s="18" t="s">
        <v>2</v>
      </c>
      <c r="E965" s="13">
        <f>E946</f>
        <v>19747</v>
      </c>
      <c r="F965" s="19">
        <v>1</v>
      </c>
      <c r="G965" s="20">
        <v>7</v>
      </c>
      <c r="H965" s="20">
        <v>11</v>
      </c>
      <c r="I965" s="20">
        <v>13</v>
      </c>
      <c r="J965" s="20">
        <v>17</v>
      </c>
      <c r="K965" s="20">
        <v>19</v>
      </c>
      <c r="L965" s="20">
        <v>23</v>
      </c>
      <c r="M965" s="21">
        <v>29</v>
      </c>
    </row>
    <row r="966" spans="1:13" x14ac:dyDescent="0.35">
      <c r="B966" s="2">
        <v>30</v>
      </c>
      <c r="C966" s="2">
        <f>D966+B966</f>
        <v>2911</v>
      </c>
      <c r="D966" s="2">
        <f>C956</f>
        <v>2881</v>
      </c>
      <c r="E966" s="3">
        <f>D966*$E$5</f>
        <v>20167</v>
      </c>
      <c r="F966" s="17">
        <f>(E966-1)/30</f>
        <v>672.2</v>
      </c>
      <c r="G966" s="17">
        <f>($E966-7)/30</f>
        <v>672</v>
      </c>
      <c r="H966" s="17">
        <f>($E966-11)/30</f>
        <v>671.86666666666667</v>
      </c>
      <c r="I966" s="17">
        <f>($E966-13)/30</f>
        <v>671.8</v>
      </c>
      <c r="J966" s="17">
        <f>($E966-17)/30</f>
        <v>671.66666666666663</v>
      </c>
      <c r="K966" s="17">
        <f>($E966-19)/30</f>
        <v>671.6</v>
      </c>
      <c r="L966" s="17">
        <f>($E966-23)/30</f>
        <v>671.4666666666667</v>
      </c>
      <c r="M966" s="17">
        <f>($E966-29)/30</f>
        <v>671.26666666666665</v>
      </c>
    </row>
    <row r="967" spans="1:13" x14ac:dyDescent="0.35">
      <c r="B967" s="2">
        <v>30</v>
      </c>
      <c r="C967" s="2">
        <f t="shared" ref="C967:C973" si="1045">D967+B967</f>
        <v>2917</v>
      </c>
      <c r="D967" s="2">
        <f t="shared" ref="D967:D973" si="1046">C957</f>
        <v>2887</v>
      </c>
      <c r="E967" s="3">
        <f t="shared" ref="E967:E973" si="1047">D967*$E$5</f>
        <v>20209</v>
      </c>
      <c r="F967" s="17">
        <f t="shared" ref="F967:F973" si="1048">(E967-1)/30</f>
        <v>673.6</v>
      </c>
      <c r="G967" s="17">
        <f t="shared" ref="G967:G973" si="1049">($E967-7)/30</f>
        <v>673.4</v>
      </c>
      <c r="H967" s="17">
        <f t="shared" ref="H967:H973" si="1050">($E967-11)/30</f>
        <v>673.26666666666665</v>
      </c>
      <c r="I967" s="17">
        <f t="shared" ref="I967:I973" si="1051">($E967-13)/30</f>
        <v>673.2</v>
      </c>
      <c r="J967" s="17">
        <f t="shared" ref="J967:J973" si="1052">($E967-17)/30</f>
        <v>673.06666666666672</v>
      </c>
      <c r="K967" s="17">
        <f t="shared" ref="K967:K973" si="1053">($E967-19)/30</f>
        <v>673</v>
      </c>
      <c r="L967" s="17">
        <f t="shared" ref="L967:L973" si="1054">($E967-23)/30</f>
        <v>672.86666666666667</v>
      </c>
      <c r="M967" s="17">
        <f t="shared" ref="M967:M973" si="1055">($E967-29)/30</f>
        <v>672.66666666666663</v>
      </c>
    </row>
    <row r="968" spans="1:13" x14ac:dyDescent="0.35">
      <c r="B968" s="2">
        <v>30</v>
      </c>
      <c r="C968" s="2">
        <f t="shared" si="1045"/>
        <v>2921</v>
      </c>
      <c r="D968" s="2">
        <f t="shared" si="1046"/>
        <v>2891</v>
      </c>
      <c r="E968" s="3">
        <f t="shared" si="1047"/>
        <v>20237</v>
      </c>
      <c r="F968" s="17">
        <f t="shared" si="1048"/>
        <v>674.5333333333333</v>
      </c>
      <c r="G968" s="17">
        <f t="shared" si="1049"/>
        <v>674.33333333333337</v>
      </c>
      <c r="H968" s="17">
        <f t="shared" si="1050"/>
        <v>674.2</v>
      </c>
      <c r="I968" s="17">
        <f t="shared" si="1051"/>
        <v>674.13333333333333</v>
      </c>
      <c r="J968" s="17">
        <f t="shared" si="1052"/>
        <v>674</v>
      </c>
      <c r="K968" s="17">
        <f t="shared" si="1053"/>
        <v>673.93333333333328</v>
      </c>
      <c r="L968" s="17">
        <f t="shared" si="1054"/>
        <v>673.8</v>
      </c>
      <c r="M968" s="17">
        <f t="shared" si="1055"/>
        <v>673.6</v>
      </c>
    </row>
    <row r="969" spans="1:13" x14ac:dyDescent="0.35">
      <c r="B969" s="2">
        <v>30</v>
      </c>
      <c r="C969" s="2">
        <f t="shared" si="1045"/>
        <v>2923</v>
      </c>
      <c r="D969" s="2">
        <f t="shared" si="1046"/>
        <v>2893</v>
      </c>
      <c r="E969" s="3">
        <f t="shared" si="1047"/>
        <v>20251</v>
      </c>
      <c r="F969" s="17">
        <f t="shared" si="1048"/>
        <v>675</v>
      </c>
      <c r="G969" s="17">
        <f t="shared" si="1049"/>
        <v>674.8</v>
      </c>
      <c r="H969" s="17">
        <f t="shared" si="1050"/>
        <v>674.66666666666663</v>
      </c>
      <c r="I969" s="17">
        <f t="shared" si="1051"/>
        <v>674.6</v>
      </c>
      <c r="J969" s="17">
        <f t="shared" si="1052"/>
        <v>674.4666666666667</v>
      </c>
      <c r="K969" s="17">
        <f t="shared" si="1053"/>
        <v>674.4</v>
      </c>
      <c r="L969" s="17">
        <f t="shared" si="1054"/>
        <v>674.26666666666665</v>
      </c>
      <c r="M969" s="17">
        <f t="shared" si="1055"/>
        <v>674.06666666666672</v>
      </c>
    </row>
    <row r="970" spans="1:13" x14ac:dyDescent="0.35">
      <c r="B970" s="2">
        <v>30</v>
      </c>
      <c r="C970" s="2">
        <f t="shared" si="1045"/>
        <v>2927</v>
      </c>
      <c r="D970" s="2">
        <f t="shared" si="1046"/>
        <v>2897</v>
      </c>
      <c r="E970" s="3">
        <f t="shared" si="1047"/>
        <v>20279</v>
      </c>
      <c r="F970" s="17">
        <f t="shared" si="1048"/>
        <v>675.93333333333328</v>
      </c>
      <c r="G970" s="17">
        <f t="shared" si="1049"/>
        <v>675.73333333333335</v>
      </c>
      <c r="H970" s="17">
        <f t="shared" si="1050"/>
        <v>675.6</v>
      </c>
      <c r="I970" s="17">
        <f t="shared" si="1051"/>
        <v>675.5333333333333</v>
      </c>
      <c r="J970" s="17">
        <f t="shared" si="1052"/>
        <v>675.4</v>
      </c>
      <c r="K970" s="17">
        <f t="shared" si="1053"/>
        <v>675.33333333333337</v>
      </c>
      <c r="L970" s="17">
        <f t="shared" si="1054"/>
        <v>675.2</v>
      </c>
      <c r="M970" s="17">
        <f t="shared" si="1055"/>
        <v>675</v>
      </c>
    </row>
    <row r="971" spans="1:13" x14ac:dyDescent="0.35">
      <c r="B971" s="2">
        <v>30</v>
      </c>
      <c r="C971" s="2">
        <f t="shared" si="1045"/>
        <v>2929</v>
      </c>
      <c r="D971" s="2">
        <f t="shared" si="1046"/>
        <v>2899</v>
      </c>
      <c r="E971" s="3">
        <f t="shared" si="1047"/>
        <v>20293</v>
      </c>
      <c r="F971" s="17">
        <f t="shared" si="1048"/>
        <v>676.4</v>
      </c>
      <c r="G971" s="17">
        <f t="shared" si="1049"/>
        <v>676.2</v>
      </c>
      <c r="H971" s="17">
        <f t="shared" si="1050"/>
        <v>676.06666666666672</v>
      </c>
      <c r="I971" s="17">
        <f t="shared" si="1051"/>
        <v>676</v>
      </c>
      <c r="J971" s="17">
        <f t="shared" si="1052"/>
        <v>675.86666666666667</v>
      </c>
      <c r="K971" s="17">
        <f t="shared" si="1053"/>
        <v>675.8</v>
      </c>
      <c r="L971" s="17">
        <f t="shared" si="1054"/>
        <v>675.66666666666663</v>
      </c>
      <c r="M971" s="17">
        <f t="shared" si="1055"/>
        <v>675.4666666666667</v>
      </c>
    </row>
    <row r="972" spans="1:13" x14ac:dyDescent="0.35">
      <c r="B972" s="2">
        <v>30</v>
      </c>
      <c r="C972" s="2">
        <f t="shared" si="1045"/>
        <v>2933</v>
      </c>
      <c r="D972" s="2">
        <f t="shared" si="1046"/>
        <v>2903</v>
      </c>
      <c r="E972" s="3">
        <f t="shared" si="1047"/>
        <v>20321</v>
      </c>
      <c r="F972" s="17">
        <f t="shared" si="1048"/>
        <v>677.33333333333337</v>
      </c>
      <c r="G972" s="17">
        <f t="shared" si="1049"/>
        <v>677.13333333333333</v>
      </c>
      <c r="H972" s="17">
        <f t="shared" si="1050"/>
        <v>677</v>
      </c>
      <c r="I972" s="17">
        <f t="shared" si="1051"/>
        <v>676.93333333333328</v>
      </c>
      <c r="J972" s="17">
        <f t="shared" si="1052"/>
        <v>676.8</v>
      </c>
      <c r="K972" s="17">
        <f t="shared" si="1053"/>
        <v>676.73333333333335</v>
      </c>
      <c r="L972" s="17">
        <f t="shared" si="1054"/>
        <v>676.6</v>
      </c>
      <c r="M972" s="17">
        <f t="shared" si="1055"/>
        <v>676.4</v>
      </c>
    </row>
    <row r="973" spans="1:13" x14ac:dyDescent="0.35">
      <c r="B973" s="2">
        <v>30</v>
      </c>
      <c r="C973" s="2">
        <f t="shared" si="1045"/>
        <v>2939</v>
      </c>
      <c r="D973" s="2">
        <f t="shared" si="1046"/>
        <v>2909</v>
      </c>
      <c r="E973" s="3">
        <f t="shared" si="1047"/>
        <v>20363</v>
      </c>
      <c r="F973" s="17">
        <f t="shared" si="1048"/>
        <v>678.73333333333335</v>
      </c>
      <c r="G973" s="17">
        <f t="shared" si="1049"/>
        <v>678.5333333333333</v>
      </c>
      <c r="H973" s="17">
        <f t="shared" si="1050"/>
        <v>678.4</v>
      </c>
      <c r="I973" s="17">
        <f t="shared" si="1051"/>
        <v>678.33333333333337</v>
      </c>
      <c r="J973" s="17">
        <f t="shared" si="1052"/>
        <v>678.2</v>
      </c>
      <c r="K973" s="17">
        <f t="shared" si="1053"/>
        <v>678.13333333333333</v>
      </c>
      <c r="L973" s="17">
        <f t="shared" si="1054"/>
        <v>678</v>
      </c>
      <c r="M973" s="17">
        <f t="shared" si="1055"/>
        <v>677.8</v>
      </c>
    </row>
    <row r="974" spans="1:13" ht="16.8" thickBot="1" x14ac:dyDescent="0.4">
      <c r="F974" s="17"/>
      <c r="G974" s="17"/>
      <c r="H974" s="17"/>
      <c r="I974" s="17"/>
      <c r="J974" s="17"/>
      <c r="K974" s="17"/>
      <c r="L974" s="17"/>
      <c r="M974" s="17"/>
    </row>
    <row r="975" spans="1:13" ht="16.8" thickBot="1" x14ac:dyDescent="0.4">
      <c r="A975" s="1">
        <f>A965+1</f>
        <v>98</v>
      </c>
      <c r="C975" s="18" t="s">
        <v>2</v>
      </c>
      <c r="E975" s="13">
        <f>E956</f>
        <v>19957</v>
      </c>
      <c r="F975" s="19">
        <v>1</v>
      </c>
      <c r="G975" s="20">
        <v>7</v>
      </c>
      <c r="H975" s="20">
        <v>11</v>
      </c>
      <c r="I975" s="20">
        <v>13</v>
      </c>
      <c r="J975" s="20">
        <v>17</v>
      </c>
      <c r="K975" s="20">
        <v>19</v>
      </c>
      <c r="L975" s="20">
        <v>23</v>
      </c>
      <c r="M975" s="21">
        <v>29</v>
      </c>
    </row>
    <row r="976" spans="1:13" x14ac:dyDescent="0.35">
      <c r="B976" s="2">
        <v>30</v>
      </c>
      <c r="C976" s="2">
        <f>D976+B976</f>
        <v>2941</v>
      </c>
      <c r="D976" s="2">
        <f>C966</f>
        <v>2911</v>
      </c>
      <c r="E976" s="3">
        <f>D976*$E$5</f>
        <v>20377</v>
      </c>
      <c r="F976" s="17">
        <f>(E976-1)/30</f>
        <v>679.2</v>
      </c>
      <c r="G976" s="17">
        <f>($E976-7)/30</f>
        <v>679</v>
      </c>
      <c r="H976" s="17">
        <f>($E976-11)/30</f>
        <v>678.86666666666667</v>
      </c>
      <c r="I976" s="17">
        <f>($E976-13)/30</f>
        <v>678.8</v>
      </c>
      <c r="J976" s="17">
        <f>($E976-17)/30</f>
        <v>678.66666666666663</v>
      </c>
      <c r="K976" s="17">
        <f>($E976-19)/30</f>
        <v>678.6</v>
      </c>
      <c r="L976" s="17">
        <f>($E976-23)/30</f>
        <v>678.4666666666667</v>
      </c>
      <c r="M976" s="17">
        <f>($E976-29)/30</f>
        <v>678.26666666666665</v>
      </c>
    </row>
    <row r="977" spans="1:13" x14ac:dyDescent="0.35">
      <c r="B977" s="2">
        <v>30</v>
      </c>
      <c r="C977" s="2">
        <f t="shared" ref="C977:C983" si="1056">D977+B977</f>
        <v>2947</v>
      </c>
      <c r="D977" s="2">
        <f t="shared" ref="D977:D983" si="1057">C967</f>
        <v>2917</v>
      </c>
      <c r="E977" s="3">
        <f t="shared" ref="E977:E983" si="1058">D977*$E$5</f>
        <v>20419</v>
      </c>
      <c r="F977" s="17">
        <f t="shared" ref="F977:F983" si="1059">(E977-1)/30</f>
        <v>680.6</v>
      </c>
      <c r="G977" s="17">
        <f t="shared" ref="G977:G983" si="1060">($E977-7)/30</f>
        <v>680.4</v>
      </c>
      <c r="H977" s="17">
        <f t="shared" ref="H977:H983" si="1061">($E977-11)/30</f>
        <v>680.26666666666665</v>
      </c>
      <c r="I977" s="17">
        <f t="shared" ref="I977:I983" si="1062">($E977-13)/30</f>
        <v>680.2</v>
      </c>
      <c r="J977" s="17">
        <f t="shared" ref="J977:J983" si="1063">($E977-17)/30</f>
        <v>680.06666666666672</v>
      </c>
      <c r="K977" s="17">
        <f t="shared" ref="K977:K983" si="1064">($E977-19)/30</f>
        <v>680</v>
      </c>
      <c r="L977" s="17">
        <f t="shared" ref="L977:L983" si="1065">($E977-23)/30</f>
        <v>679.86666666666667</v>
      </c>
      <c r="M977" s="17">
        <f t="shared" ref="M977:M983" si="1066">($E977-29)/30</f>
        <v>679.66666666666663</v>
      </c>
    </row>
    <row r="978" spans="1:13" x14ac:dyDescent="0.35">
      <c r="B978" s="2">
        <v>30</v>
      </c>
      <c r="C978" s="2">
        <f t="shared" si="1056"/>
        <v>2951</v>
      </c>
      <c r="D978" s="2">
        <f t="shared" si="1057"/>
        <v>2921</v>
      </c>
      <c r="E978" s="3">
        <f t="shared" si="1058"/>
        <v>20447</v>
      </c>
      <c r="F978" s="17">
        <f t="shared" si="1059"/>
        <v>681.5333333333333</v>
      </c>
      <c r="G978" s="17">
        <f t="shared" si="1060"/>
        <v>681.33333333333337</v>
      </c>
      <c r="H978" s="17">
        <f t="shared" si="1061"/>
        <v>681.2</v>
      </c>
      <c r="I978" s="17">
        <f t="shared" si="1062"/>
        <v>681.13333333333333</v>
      </c>
      <c r="J978" s="17">
        <f t="shared" si="1063"/>
        <v>681</v>
      </c>
      <c r="K978" s="17">
        <f t="shared" si="1064"/>
        <v>680.93333333333328</v>
      </c>
      <c r="L978" s="17">
        <f t="shared" si="1065"/>
        <v>680.8</v>
      </c>
      <c r="M978" s="17">
        <f t="shared" si="1066"/>
        <v>680.6</v>
      </c>
    </row>
    <row r="979" spans="1:13" x14ac:dyDescent="0.35">
      <c r="B979" s="2">
        <v>30</v>
      </c>
      <c r="C979" s="2">
        <f t="shared" si="1056"/>
        <v>2953</v>
      </c>
      <c r="D979" s="2">
        <f t="shared" si="1057"/>
        <v>2923</v>
      </c>
      <c r="E979" s="3">
        <f t="shared" si="1058"/>
        <v>20461</v>
      </c>
      <c r="F979" s="17">
        <f t="shared" si="1059"/>
        <v>682</v>
      </c>
      <c r="G979" s="17">
        <f t="shared" si="1060"/>
        <v>681.8</v>
      </c>
      <c r="H979" s="17">
        <f t="shared" si="1061"/>
        <v>681.66666666666663</v>
      </c>
      <c r="I979" s="17">
        <f t="shared" si="1062"/>
        <v>681.6</v>
      </c>
      <c r="J979" s="17">
        <f t="shared" si="1063"/>
        <v>681.4666666666667</v>
      </c>
      <c r="K979" s="17">
        <f t="shared" si="1064"/>
        <v>681.4</v>
      </c>
      <c r="L979" s="17">
        <f t="shared" si="1065"/>
        <v>681.26666666666665</v>
      </c>
      <c r="M979" s="17">
        <f t="shared" si="1066"/>
        <v>681.06666666666672</v>
      </c>
    </row>
    <row r="980" spans="1:13" x14ac:dyDescent="0.35">
      <c r="B980" s="2">
        <v>30</v>
      </c>
      <c r="C980" s="2">
        <f t="shared" si="1056"/>
        <v>2957</v>
      </c>
      <c r="D980" s="2">
        <f t="shared" si="1057"/>
        <v>2927</v>
      </c>
      <c r="E980" s="3">
        <f t="shared" si="1058"/>
        <v>20489</v>
      </c>
      <c r="F980" s="17">
        <f t="shared" si="1059"/>
        <v>682.93333333333328</v>
      </c>
      <c r="G980" s="17">
        <f t="shared" si="1060"/>
        <v>682.73333333333335</v>
      </c>
      <c r="H980" s="17">
        <f t="shared" si="1061"/>
        <v>682.6</v>
      </c>
      <c r="I980" s="17">
        <f t="shared" si="1062"/>
        <v>682.5333333333333</v>
      </c>
      <c r="J980" s="17">
        <f t="shared" si="1063"/>
        <v>682.4</v>
      </c>
      <c r="K980" s="17">
        <f t="shared" si="1064"/>
        <v>682.33333333333337</v>
      </c>
      <c r="L980" s="17">
        <f t="shared" si="1065"/>
        <v>682.2</v>
      </c>
      <c r="M980" s="17">
        <f t="shared" si="1066"/>
        <v>682</v>
      </c>
    </row>
    <row r="981" spans="1:13" x14ac:dyDescent="0.35">
      <c r="B981" s="2">
        <v>30</v>
      </c>
      <c r="C981" s="2">
        <f t="shared" si="1056"/>
        <v>2959</v>
      </c>
      <c r="D981" s="2">
        <f t="shared" si="1057"/>
        <v>2929</v>
      </c>
      <c r="E981" s="3">
        <f t="shared" si="1058"/>
        <v>20503</v>
      </c>
      <c r="F981" s="17">
        <f t="shared" si="1059"/>
        <v>683.4</v>
      </c>
      <c r="G981" s="17">
        <f t="shared" si="1060"/>
        <v>683.2</v>
      </c>
      <c r="H981" s="17">
        <f t="shared" si="1061"/>
        <v>683.06666666666672</v>
      </c>
      <c r="I981" s="17">
        <f t="shared" si="1062"/>
        <v>683</v>
      </c>
      <c r="J981" s="17">
        <f t="shared" si="1063"/>
        <v>682.86666666666667</v>
      </c>
      <c r="K981" s="17">
        <f t="shared" si="1064"/>
        <v>682.8</v>
      </c>
      <c r="L981" s="17">
        <f t="shared" si="1065"/>
        <v>682.66666666666663</v>
      </c>
      <c r="M981" s="17">
        <f t="shared" si="1066"/>
        <v>682.4666666666667</v>
      </c>
    </row>
    <row r="982" spans="1:13" x14ac:dyDescent="0.35">
      <c r="B982" s="2">
        <v>30</v>
      </c>
      <c r="C982" s="2">
        <f t="shared" si="1056"/>
        <v>2963</v>
      </c>
      <c r="D982" s="2">
        <f t="shared" si="1057"/>
        <v>2933</v>
      </c>
      <c r="E982" s="3">
        <f t="shared" si="1058"/>
        <v>20531</v>
      </c>
      <c r="F982" s="17">
        <f t="shared" si="1059"/>
        <v>684.33333333333337</v>
      </c>
      <c r="G982" s="17">
        <f t="shared" si="1060"/>
        <v>684.13333333333333</v>
      </c>
      <c r="H982" s="17">
        <f t="shared" si="1061"/>
        <v>684</v>
      </c>
      <c r="I982" s="17">
        <f t="shared" si="1062"/>
        <v>683.93333333333328</v>
      </c>
      <c r="J982" s="17">
        <f t="shared" si="1063"/>
        <v>683.8</v>
      </c>
      <c r="K982" s="17">
        <f t="shared" si="1064"/>
        <v>683.73333333333335</v>
      </c>
      <c r="L982" s="17">
        <f t="shared" si="1065"/>
        <v>683.6</v>
      </c>
      <c r="M982" s="17">
        <f t="shared" si="1066"/>
        <v>683.4</v>
      </c>
    </row>
    <row r="983" spans="1:13" x14ac:dyDescent="0.35">
      <c r="B983" s="2">
        <v>30</v>
      </c>
      <c r="C983" s="2">
        <f t="shared" si="1056"/>
        <v>2969</v>
      </c>
      <c r="D983" s="2">
        <f t="shared" si="1057"/>
        <v>2939</v>
      </c>
      <c r="E983" s="3">
        <f t="shared" si="1058"/>
        <v>20573</v>
      </c>
      <c r="F983" s="17">
        <f t="shared" si="1059"/>
        <v>685.73333333333335</v>
      </c>
      <c r="G983" s="17">
        <f t="shared" si="1060"/>
        <v>685.5333333333333</v>
      </c>
      <c r="H983" s="17">
        <f t="shared" si="1061"/>
        <v>685.4</v>
      </c>
      <c r="I983" s="17">
        <f t="shared" si="1062"/>
        <v>685.33333333333337</v>
      </c>
      <c r="J983" s="17">
        <f t="shared" si="1063"/>
        <v>685.2</v>
      </c>
      <c r="K983" s="17">
        <f t="shared" si="1064"/>
        <v>685.13333333333333</v>
      </c>
      <c r="L983" s="17">
        <f t="shared" si="1065"/>
        <v>685</v>
      </c>
      <c r="M983" s="17">
        <f t="shared" si="1066"/>
        <v>684.8</v>
      </c>
    </row>
    <row r="984" spans="1:13" ht="16.8" thickBot="1" x14ac:dyDescent="0.4">
      <c r="F984" s="17"/>
      <c r="G984" s="17"/>
      <c r="H984" s="17"/>
      <c r="I984" s="17"/>
      <c r="J984" s="17"/>
      <c r="K984" s="17"/>
      <c r="L984" s="17"/>
      <c r="M984" s="17"/>
    </row>
    <row r="985" spans="1:13" ht="16.8" thickBot="1" x14ac:dyDescent="0.4">
      <c r="A985" s="1">
        <f>A975+1</f>
        <v>99</v>
      </c>
      <c r="C985" s="18" t="s">
        <v>2</v>
      </c>
      <c r="E985" s="13">
        <f>E966</f>
        <v>20167</v>
      </c>
      <c r="F985" s="19">
        <v>1</v>
      </c>
      <c r="G985" s="20">
        <v>7</v>
      </c>
      <c r="H985" s="20">
        <v>11</v>
      </c>
      <c r="I985" s="20">
        <v>13</v>
      </c>
      <c r="J985" s="20">
        <v>17</v>
      </c>
      <c r="K985" s="20">
        <v>19</v>
      </c>
      <c r="L985" s="20">
        <v>23</v>
      </c>
      <c r="M985" s="21">
        <v>29</v>
      </c>
    </row>
    <row r="986" spans="1:13" x14ac:dyDescent="0.35">
      <c r="B986" s="2">
        <v>30</v>
      </c>
      <c r="C986" s="2">
        <f>D986+B986</f>
        <v>2971</v>
      </c>
      <c r="D986" s="2">
        <f>C976</f>
        <v>2941</v>
      </c>
      <c r="E986" s="3">
        <f>D986*$E$5</f>
        <v>20587</v>
      </c>
      <c r="F986" s="17">
        <f>(E986-1)/30</f>
        <v>686.2</v>
      </c>
      <c r="G986" s="17">
        <f>($E986-7)/30</f>
        <v>686</v>
      </c>
      <c r="H986" s="17">
        <f>($E986-11)/30</f>
        <v>685.86666666666667</v>
      </c>
      <c r="I986" s="17">
        <f>($E986-13)/30</f>
        <v>685.8</v>
      </c>
      <c r="J986" s="17">
        <f>($E986-17)/30</f>
        <v>685.66666666666663</v>
      </c>
      <c r="K986" s="17">
        <f>($E986-19)/30</f>
        <v>685.6</v>
      </c>
      <c r="L986" s="17">
        <f>($E986-23)/30</f>
        <v>685.4666666666667</v>
      </c>
      <c r="M986" s="17">
        <f>($E986-29)/30</f>
        <v>685.26666666666665</v>
      </c>
    </row>
    <row r="987" spans="1:13" x14ac:dyDescent="0.35">
      <c r="B987" s="2">
        <v>30</v>
      </c>
      <c r="C987" s="2">
        <f t="shared" ref="C987:C993" si="1067">D987+B987</f>
        <v>2977</v>
      </c>
      <c r="D987" s="2">
        <f t="shared" ref="D987:D993" si="1068">C977</f>
        <v>2947</v>
      </c>
      <c r="E987" s="3">
        <f t="shared" ref="E987:E993" si="1069">D987*$E$5</f>
        <v>20629</v>
      </c>
      <c r="F987" s="17">
        <f t="shared" ref="F987:F993" si="1070">(E987-1)/30</f>
        <v>687.6</v>
      </c>
      <c r="G987" s="17">
        <f t="shared" ref="G987:G993" si="1071">($E987-7)/30</f>
        <v>687.4</v>
      </c>
      <c r="H987" s="17">
        <f t="shared" ref="H987:H993" si="1072">($E987-11)/30</f>
        <v>687.26666666666665</v>
      </c>
      <c r="I987" s="17">
        <f t="shared" ref="I987:I993" si="1073">($E987-13)/30</f>
        <v>687.2</v>
      </c>
      <c r="J987" s="17">
        <f t="shared" ref="J987:J993" si="1074">($E987-17)/30</f>
        <v>687.06666666666672</v>
      </c>
      <c r="K987" s="17">
        <f t="shared" ref="K987:K993" si="1075">($E987-19)/30</f>
        <v>687</v>
      </c>
      <c r="L987" s="17">
        <f t="shared" ref="L987:L993" si="1076">($E987-23)/30</f>
        <v>686.86666666666667</v>
      </c>
      <c r="M987" s="17">
        <f t="shared" ref="M987:M993" si="1077">($E987-29)/30</f>
        <v>686.66666666666663</v>
      </c>
    </row>
    <row r="988" spans="1:13" x14ac:dyDescent="0.35">
      <c r="B988" s="2">
        <v>30</v>
      </c>
      <c r="C988" s="2">
        <f t="shared" si="1067"/>
        <v>2981</v>
      </c>
      <c r="D988" s="2">
        <f t="shared" si="1068"/>
        <v>2951</v>
      </c>
      <c r="E988" s="3">
        <f t="shared" si="1069"/>
        <v>20657</v>
      </c>
      <c r="F988" s="17">
        <f t="shared" si="1070"/>
        <v>688.5333333333333</v>
      </c>
      <c r="G988" s="17">
        <f t="shared" si="1071"/>
        <v>688.33333333333337</v>
      </c>
      <c r="H988" s="17">
        <f t="shared" si="1072"/>
        <v>688.2</v>
      </c>
      <c r="I988" s="17">
        <f t="shared" si="1073"/>
        <v>688.13333333333333</v>
      </c>
      <c r="J988" s="17">
        <f t="shared" si="1074"/>
        <v>688</v>
      </c>
      <c r="K988" s="17">
        <f t="shared" si="1075"/>
        <v>687.93333333333328</v>
      </c>
      <c r="L988" s="17">
        <f t="shared" si="1076"/>
        <v>687.8</v>
      </c>
      <c r="M988" s="17">
        <f t="shared" si="1077"/>
        <v>687.6</v>
      </c>
    </row>
    <row r="989" spans="1:13" x14ac:dyDescent="0.35">
      <c r="B989" s="2">
        <v>30</v>
      </c>
      <c r="C989" s="2">
        <f t="shared" si="1067"/>
        <v>2983</v>
      </c>
      <c r="D989" s="2">
        <f t="shared" si="1068"/>
        <v>2953</v>
      </c>
      <c r="E989" s="3">
        <f t="shared" si="1069"/>
        <v>20671</v>
      </c>
      <c r="F989" s="17">
        <f t="shared" si="1070"/>
        <v>689</v>
      </c>
      <c r="G989" s="17">
        <f t="shared" si="1071"/>
        <v>688.8</v>
      </c>
      <c r="H989" s="17">
        <f t="shared" si="1072"/>
        <v>688.66666666666663</v>
      </c>
      <c r="I989" s="17">
        <f t="shared" si="1073"/>
        <v>688.6</v>
      </c>
      <c r="J989" s="17">
        <f t="shared" si="1074"/>
        <v>688.4666666666667</v>
      </c>
      <c r="K989" s="17">
        <f t="shared" si="1075"/>
        <v>688.4</v>
      </c>
      <c r="L989" s="17">
        <f t="shared" si="1076"/>
        <v>688.26666666666665</v>
      </c>
      <c r="M989" s="17">
        <f t="shared" si="1077"/>
        <v>688.06666666666672</v>
      </c>
    </row>
    <row r="990" spans="1:13" x14ac:dyDescent="0.35">
      <c r="B990" s="2">
        <v>30</v>
      </c>
      <c r="C990" s="2">
        <f t="shared" si="1067"/>
        <v>2987</v>
      </c>
      <c r="D990" s="2">
        <f t="shared" si="1068"/>
        <v>2957</v>
      </c>
      <c r="E990" s="3">
        <f t="shared" si="1069"/>
        <v>20699</v>
      </c>
      <c r="F990" s="17">
        <f t="shared" si="1070"/>
        <v>689.93333333333328</v>
      </c>
      <c r="G990" s="17">
        <f t="shared" si="1071"/>
        <v>689.73333333333335</v>
      </c>
      <c r="H990" s="17">
        <f t="shared" si="1072"/>
        <v>689.6</v>
      </c>
      <c r="I990" s="17">
        <f t="shared" si="1073"/>
        <v>689.5333333333333</v>
      </c>
      <c r="J990" s="17">
        <f t="shared" si="1074"/>
        <v>689.4</v>
      </c>
      <c r="K990" s="17">
        <f t="shared" si="1075"/>
        <v>689.33333333333337</v>
      </c>
      <c r="L990" s="17">
        <f t="shared" si="1076"/>
        <v>689.2</v>
      </c>
      <c r="M990" s="17">
        <f t="shared" si="1077"/>
        <v>689</v>
      </c>
    </row>
    <row r="991" spans="1:13" x14ac:dyDescent="0.35">
      <c r="B991" s="2">
        <v>30</v>
      </c>
      <c r="C991" s="2">
        <f t="shared" si="1067"/>
        <v>2989</v>
      </c>
      <c r="D991" s="2">
        <f t="shared" si="1068"/>
        <v>2959</v>
      </c>
      <c r="E991" s="3">
        <f t="shared" si="1069"/>
        <v>20713</v>
      </c>
      <c r="F991" s="17">
        <f t="shared" si="1070"/>
        <v>690.4</v>
      </c>
      <c r="G991" s="17">
        <f t="shared" si="1071"/>
        <v>690.2</v>
      </c>
      <c r="H991" s="17">
        <f t="shared" si="1072"/>
        <v>690.06666666666672</v>
      </c>
      <c r="I991" s="17">
        <f t="shared" si="1073"/>
        <v>690</v>
      </c>
      <c r="J991" s="17">
        <f t="shared" si="1074"/>
        <v>689.86666666666667</v>
      </c>
      <c r="K991" s="17">
        <f t="shared" si="1075"/>
        <v>689.8</v>
      </c>
      <c r="L991" s="17">
        <f t="shared" si="1076"/>
        <v>689.66666666666663</v>
      </c>
      <c r="M991" s="17">
        <f t="shared" si="1077"/>
        <v>689.4666666666667</v>
      </c>
    </row>
    <row r="992" spans="1:13" x14ac:dyDescent="0.35">
      <c r="B992" s="2">
        <v>30</v>
      </c>
      <c r="C992" s="2">
        <f t="shared" si="1067"/>
        <v>2993</v>
      </c>
      <c r="D992" s="2">
        <f t="shared" si="1068"/>
        <v>2963</v>
      </c>
      <c r="E992" s="3">
        <f t="shared" si="1069"/>
        <v>20741</v>
      </c>
      <c r="F992" s="17">
        <f t="shared" si="1070"/>
        <v>691.33333333333337</v>
      </c>
      <c r="G992" s="17">
        <f t="shared" si="1071"/>
        <v>691.13333333333333</v>
      </c>
      <c r="H992" s="17">
        <f t="shared" si="1072"/>
        <v>691</v>
      </c>
      <c r="I992" s="17">
        <f t="shared" si="1073"/>
        <v>690.93333333333328</v>
      </c>
      <c r="J992" s="17">
        <f t="shared" si="1074"/>
        <v>690.8</v>
      </c>
      <c r="K992" s="17">
        <f t="shared" si="1075"/>
        <v>690.73333333333335</v>
      </c>
      <c r="L992" s="17">
        <f t="shared" si="1076"/>
        <v>690.6</v>
      </c>
      <c r="M992" s="17">
        <f t="shared" si="1077"/>
        <v>690.4</v>
      </c>
    </row>
    <row r="993" spans="1:13" x14ac:dyDescent="0.35">
      <c r="B993" s="2">
        <v>30</v>
      </c>
      <c r="C993" s="2">
        <f t="shared" si="1067"/>
        <v>2999</v>
      </c>
      <c r="D993" s="2">
        <f t="shared" si="1068"/>
        <v>2969</v>
      </c>
      <c r="E993" s="3">
        <f t="shared" si="1069"/>
        <v>20783</v>
      </c>
      <c r="F993" s="17">
        <f t="shared" si="1070"/>
        <v>692.73333333333335</v>
      </c>
      <c r="G993" s="17">
        <f t="shared" si="1071"/>
        <v>692.5333333333333</v>
      </c>
      <c r="H993" s="17">
        <f t="shared" si="1072"/>
        <v>692.4</v>
      </c>
      <c r="I993" s="17">
        <f t="shared" si="1073"/>
        <v>692.33333333333337</v>
      </c>
      <c r="J993" s="17">
        <f t="shared" si="1074"/>
        <v>692.2</v>
      </c>
      <c r="K993" s="17">
        <f t="shared" si="1075"/>
        <v>692.13333333333333</v>
      </c>
      <c r="L993" s="17">
        <f t="shared" si="1076"/>
        <v>692</v>
      </c>
      <c r="M993" s="17">
        <f t="shared" si="1077"/>
        <v>691.8</v>
      </c>
    </row>
    <row r="994" spans="1:13" ht="16.8" thickBot="1" x14ac:dyDescent="0.4">
      <c r="F994" s="17"/>
      <c r="G994" s="17"/>
      <c r="H994" s="17"/>
      <c r="I994" s="17"/>
      <c r="J994" s="17"/>
      <c r="K994" s="17"/>
      <c r="L994" s="17"/>
      <c r="M994" s="17"/>
    </row>
    <row r="995" spans="1:13" ht="16.8" thickBot="1" x14ac:dyDescent="0.4">
      <c r="A995" s="1">
        <f>A985+1</f>
        <v>100</v>
      </c>
      <c r="C995" s="18" t="s">
        <v>2</v>
      </c>
      <c r="E995" s="13">
        <f>E976</f>
        <v>20377</v>
      </c>
      <c r="F995" s="19">
        <v>1</v>
      </c>
      <c r="G995" s="20">
        <v>7</v>
      </c>
      <c r="H995" s="20">
        <v>11</v>
      </c>
      <c r="I995" s="20">
        <v>13</v>
      </c>
      <c r="J995" s="20">
        <v>17</v>
      </c>
      <c r="K995" s="20">
        <v>19</v>
      </c>
      <c r="L995" s="20">
        <v>23</v>
      </c>
      <c r="M995" s="21">
        <v>29</v>
      </c>
    </row>
    <row r="996" spans="1:13" x14ac:dyDescent="0.35">
      <c r="B996" s="2">
        <v>30</v>
      </c>
      <c r="C996" s="2">
        <f>D996+B996</f>
        <v>3001</v>
      </c>
      <c r="D996" s="2">
        <f>C986</f>
        <v>2971</v>
      </c>
      <c r="E996" s="3">
        <f>D996*$E$5</f>
        <v>20797</v>
      </c>
      <c r="F996" s="17">
        <f>(E996-1)/30</f>
        <v>693.2</v>
      </c>
      <c r="G996" s="17">
        <f>($E996-7)/30</f>
        <v>693</v>
      </c>
      <c r="H996" s="17">
        <f>($E996-11)/30</f>
        <v>692.86666666666667</v>
      </c>
      <c r="I996" s="17">
        <f>($E996-13)/30</f>
        <v>692.8</v>
      </c>
      <c r="J996" s="17">
        <f>($E996-17)/30</f>
        <v>692.66666666666663</v>
      </c>
      <c r="K996" s="17">
        <f>($E996-19)/30</f>
        <v>692.6</v>
      </c>
      <c r="L996" s="17">
        <f>($E996-23)/30</f>
        <v>692.4666666666667</v>
      </c>
      <c r="M996" s="17">
        <f>($E996-29)/30</f>
        <v>692.26666666666665</v>
      </c>
    </row>
    <row r="997" spans="1:13" x14ac:dyDescent="0.35">
      <c r="B997" s="2">
        <v>30</v>
      </c>
      <c r="C997" s="2">
        <f t="shared" ref="C997:C1003" si="1078">D997+B997</f>
        <v>3007</v>
      </c>
      <c r="D997" s="2">
        <f t="shared" ref="D997:D1003" si="1079">C987</f>
        <v>2977</v>
      </c>
      <c r="E997" s="3">
        <f t="shared" ref="E997:E1003" si="1080">D997*$E$5</f>
        <v>20839</v>
      </c>
      <c r="F997" s="17">
        <f t="shared" ref="F997:F1003" si="1081">(E997-1)/30</f>
        <v>694.6</v>
      </c>
      <c r="G997" s="17">
        <f t="shared" ref="G997:G1003" si="1082">($E997-7)/30</f>
        <v>694.4</v>
      </c>
      <c r="H997" s="17">
        <f t="shared" ref="H997:H1003" si="1083">($E997-11)/30</f>
        <v>694.26666666666665</v>
      </c>
      <c r="I997" s="17">
        <f t="shared" ref="I997:I1003" si="1084">($E997-13)/30</f>
        <v>694.2</v>
      </c>
      <c r="J997" s="17">
        <f t="shared" ref="J997:J1003" si="1085">($E997-17)/30</f>
        <v>694.06666666666672</v>
      </c>
      <c r="K997" s="17">
        <f t="shared" ref="K997:K1003" si="1086">($E997-19)/30</f>
        <v>694</v>
      </c>
      <c r="L997" s="17">
        <f t="shared" ref="L997:L1003" si="1087">($E997-23)/30</f>
        <v>693.86666666666667</v>
      </c>
      <c r="M997" s="17">
        <f t="shared" ref="M997:M1003" si="1088">($E997-29)/30</f>
        <v>693.66666666666663</v>
      </c>
    </row>
    <row r="998" spans="1:13" x14ac:dyDescent="0.35">
      <c r="B998" s="2">
        <v>30</v>
      </c>
      <c r="C998" s="2">
        <f t="shared" si="1078"/>
        <v>3011</v>
      </c>
      <c r="D998" s="2">
        <f t="shared" si="1079"/>
        <v>2981</v>
      </c>
      <c r="E998" s="3">
        <f t="shared" si="1080"/>
        <v>20867</v>
      </c>
      <c r="F998" s="17">
        <f t="shared" si="1081"/>
        <v>695.5333333333333</v>
      </c>
      <c r="G998" s="17">
        <f t="shared" si="1082"/>
        <v>695.33333333333337</v>
      </c>
      <c r="H998" s="17">
        <f t="shared" si="1083"/>
        <v>695.2</v>
      </c>
      <c r="I998" s="17">
        <f t="shared" si="1084"/>
        <v>695.13333333333333</v>
      </c>
      <c r="J998" s="17">
        <f t="shared" si="1085"/>
        <v>695</v>
      </c>
      <c r="K998" s="17">
        <f t="shared" si="1086"/>
        <v>694.93333333333328</v>
      </c>
      <c r="L998" s="17">
        <f t="shared" si="1087"/>
        <v>694.8</v>
      </c>
      <c r="M998" s="17">
        <f t="shared" si="1088"/>
        <v>694.6</v>
      </c>
    </row>
    <row r="999" spans="1:13" x14ac:dyDescent="0.35">
      <c r="B999" s="2">
        <v>30</v>
      </c>
      <c r="C999" s="2">
        <f t="shared" si="1078"/>
        <v>3013</v>
      </c>
      <c r="D999" s="2">
        <f t="shared" si="1079"/>
        <v>2983</v>
      </c>
      <c r="E999" s="3">
        <f t="shared" si="1080"/>
        <v>20881</v>
      </c>
      <c r="F999" s="17">
        <f t="shared" si="1081"/>
        <v>696</v>
      </c>
      <c r="G999" s="17">
        <f t="shared" si="1082"/>
        <v>695.8</v>
      </c>
      <c r="H999" s="17">
        <f t="shared" si="1083"/>
        <v>695.66666666666663</v>
      </c>
      <c r="I999" s="17">
        <f t="shared" si="1084"/>
        <v>695.6</v>
      </c>
      <c r="J999" s="17">
        <f t="shared" si="1085"/>
        <v>695.4666666666667</v>
      </c>
      <c r="K999" s="17">
        <f t="shared" si="1086"/>
        <v>695.4</v>
      </c>
      <c r="L999" s="17">
        <f t="shared" si="1087"/>
        <v>695.26666666666665</v>
      </c>
      <c r="M999" s="17">
        <f t="shared" si="1088"/>
        <v>695.06666666666672</v>
      </c>
    </row>
    <row r="1000" spans="1:13" x14ac:dyDescent="0.35">
      <c r="B1000" s="2">
        <v>30</v>
      </c>
      <c r="C1000" s="2">
        <f t="shared" si="1078"/>
        <v>3017</v>
      </c>
      <c r="D1000" s="2">
        <f t="shared" si="1079"/>
        <v>2987</v>
      </c>
      <c r="E1000" s="3">
        <f t="shared" si="1080"/>
        <v>20909</v>
      </c>
      <c r="F1000" s="17">
        <f t="shared" si="1081"/>
        <v>696.93333333333328</v>
      </c>
      <c r="G1000" s="17">
        <f t="shared" si="1082"/>
        <v>696.73333333333335</v>
      </c>
      <c r="H1000" s="17">
        <f t="shared" si="1083"/>
        <v>696.6</v>
      </c>
      <c r="I1000" s="17">
        <f t="shared" si="1084"/>
        <v>696.5333333333333</v>
      </c>
      <c r="J1000" s="17">
        <f t="shared" si="1085"/>
        <v>696.4</v>
      </c>
      <c r="K1000" s="17">
        <f t="shared" si="1086"/>
        <v>696.33333333333337</v>
      </c>
      <c r="L1000" s="17">
        <f t="shared" si="1087"/>
        <v>696.2</v>
      </c>
      <c r="M1000" s="17">
        <f t="shared" si="1088"/>
        <v>696</v>
      </c>
    </row>
    <row r="1001" spans="1:13" x14ac:dyDescent="0.35">
      <c r="B1001" s="2">
        <v>30</v>
      </c>
      <c r="C1001" s="2">
        <f t="shared" si="1078"/>
        <v>3019</v>
      </c>
      <c r="D1001" s="2">
        <f t="shared" si="1079"/>
        <v>2989</v>
      </c>
      <c r="E1001" s="3">
        <f t="shared" si="1080"/>
        <v>20923</v>
      </c>
      <c r="F1001" s="17">
        <f t="shared" si="1081"/>
        <v>697.4</v>
      </c>
      <c r="G1001" s="17">
        <f t="shared" si="1082"/>
        <v>697.2</v>
      </c>
      <c r="H1001" s="17">
        <f t="shared" si="1083"/>
        <v>697.06666666666672</v>
      </c>
      <c r="I1001" s="17">
        <f t="shared" si="1084"/>
        <v>697</v>
      </c>
      <c r="J1001" s="17">
        <f t="shared" si="1085"/>
        <v>696.86666666666667</v>
      </c>
      <c r="K1001" s="17">
        <f t="shared" si="1086"/>
        <v>696.8</v>
      </c>
      <c r="L1001" s="17">
        <f t="shared" si="1087"/>
        <v>696.66666666666663</v>
      </c>
      <c r="M1001" s="17">
        <f t="shared" si="1088"/>
        <v>696.4666666666667</v>
      </c>
    </row>
    <row r="1002" spans="1:13" x14ac:dyDescent="0.35">
      <c r="B1002" s="2">
        <v>30</v>
      </c>
      <c r="C1002" s="2">
        <f t="shared" si="1078"/>
        <v>3023</v>
      </c>
      <c r="D1002" s="2">
        <f t="shared" si="1079"/>
        <v>2993</v>
      </c>
      <c r="E1002" s="3">
        <f t="shared" si="1080"/>
        <v>20951</v>
      </c>
      <c r="F1002" s="17">
        <f t="shared" si="1081"/>
        <v>698.33333333333337</v>
      </c>
      <c r="G1002" s="17">
        <f t="shared" si="1082"/>
        <v>698.13333333333333</v>
      </c>
      <c r="H1002" s="17">
        <f t="shared" si="1083"/>
        <v>698</v>
      </c>
      <c r="I1002" s="17">
        <f t="shared" si="1084"/>
        <v>697.93333333333328</v>
      </c>
      <c r="J1002" s="17">
        <f t="shared" si="1085"/>
        <v>697.8</v>
      </c>
      <c r="K1002" s="17">
        <f t="shared" si="1086"/>
        <v>697.73333333333335</v>
      </c>
      <c r="L1002" s="17">
        <f t="shared" si="1087"/>
        <v>697.6</v>
      </c>
      <c r="M1002" s="17">
        <f t="shared" si="1088"/>
        <v>697.4</v>
      </c>
    </row>
    <row r="1003" spans="1:13" x14ac:dyDescent="0.35">
      <c r="B1003" s="2">
        <v>30</v>
      </c>
      <c r="C1003" s="2">
        <f t="shared" si="1078"/>
        <v>3029</v>
      </c>
      <c r="D1003" s="2">
        <f t="shared" si="1079"/>
        <v>2999</v>
      </c>
      <c r="E1003" s="3">
        <f t="shared" si="1080"/>
        <v>20993</v>
      </c>
      <c r="F1003" s="17">
        <f t="shared" si="1081"/>
        <v>699.73333333333335</v>
      </c>
      <c r="G1003" s="17">
        <f t="shared" si="1082"/>
        <v>699.5333333333333</v>
      </c>
      <c r="H1003" s="17">
        <f t="shared" si="1083"/>
        <v>699.4</v>
      </c>
      <c r="I1003" s="17">
        <f t="shared" si="1084"/>
        <v>699.33333333333337</v>
      </c>
      <c r="J1003" s="17">
        <f t="shared" si="1085"/>
        <v>699.2</v>
      </c>
      <c r="K1003" s="17">
        <f t="shared" si="1086"/>
        <v>699.13333333333333</v>
      </c>
      <c r="L1003" s="17">
        <f t="shared" si="1087"/>
        <v>699</v>
      </c>
      <c r="M1003" s="17">
        <f t="shared" si="1088"/>
        <v>698.8</v>
      </c>
    </row>
    <row r="1004" spans="1:13" ht="16.8" thickBot="1" x14ac:dyDescent="0.4">
      <c r="F1004" s="17"/>
      <c r="G1004" s="17"/>
      <c r="H1004" s="17"/>
      <c r="I1004" s="17"/>
      <c r="J1004" s="17"/>
      <c r="K1004" s="17"/>
      <c r="L1004" s="17"/>
      <c r="M1004" s="17"/>
    </row>
    <row r="1005" spans="1:13" ht="16.8" thickBot="1" x14ac:dyDescent="0.4">
      <c r="A1005" s="1">
        <f>A995+1</f>
        <v>101</v>
      </c>
      <c r="C1005" s="18" t="s">
        <v>2</v>
      </c>
      <c r="E1005" s="13">
        <f>E986</f>
        <v>20587</v>
      </c>
      <c r="F1005" s="19">
        <v>1</v>
      </c>
      <c r="G1005" s="20">
        <v>7</v>
      </c>
      <c r="H1005" s="20">
        <v>11</v>
      </c>
      <c r="I1005" s="20">
        <v>13</v>
      </c>
      <c r="J1005" s="20">
        <v>17</v>
      </c>
      <c r="K1005" s="20">
        <v>19</v>
      </c>
      <c r="L1005" s="20">
        <v>23</v>
      </c>
      <c r="M1005" s="21">
        <v>29</v>
      </c>
    </row>
    <row r="1006" spans="1:13" x14ac:dyDescent="0.35">
      <c r="B1006" s="2">
        <v>30</v>
      </c>
      <c r="C1006" s="2">
        <f>D1006+B1006</f>
        <v>3031</v>
      </c>
      <c r="D1006" s="2">
        <f>C996</f>
        <v>3001</v>
      </c>
      <c r="E1006" s="3">
        <f>D1006*$E$5</f>
        <v>21007</v>
      </c>
      <c r="F1006" s="17">
        <f>(E1006-1)/30</f>
        <v>700.2</v>
      </c>
      <c r="G1006" s="17">
        <f>($E1006-7)/30</f>
        <v>700</v>
      </c>
      <c r="H1006" s="17">
        <f>($E1006-11)/30</f>
        <v>699.86666666666667</v>
      </c>
      <c r="I1006" s="17">
        <f>($E1006-13)/30</f>
        <v>699.8</v>
      </c>
      <c r="J1006" s="17">
        <f>($E1006-17)/30</f>
        <v>699.66666666666663</v>
      </c>
      <c r="K1006" s="17">
        <f>($E1006-19)/30</f>
        <v>699.6</v>
      </c>
      <c r="L1006" s="17">
        <f>($E1006-23)/30</f>
        <v>699.4666666666667</v>
      </c>
      <c r="M1006" s="17">
        <f>($E1006-29)/30</f>
        <v>699.26666666666665</v>
      </c>
    </row>
    <row r="1007" spans="1:13" x14ac:dyDescent="0.35">
      <c r="B1007" s="2">
        <v>30</v>
      </c>
      <c r="C1007" s="2">
        <f t="shared" ref="C1007:C1013" si="1089">D1007+B1007</f>
        <v>3037</v>
      </c>
      <c r="D1007" s="2">
        <f t="shared" ref="D1007:D1013" si="1090">C997</f>
        <v>3007</v>
      </c>
      <c r="E1007" s="3">
        <f t="shared" ref="E1007:E1013" si="1091">D1007*$E$5</f>
        <v>21049</v>
      </c>
      <c r="F1007" s="17">
        <f t="shared" ref="F1007:F1013" si="1092">(E1007-1)/30</f>
        <v>701.6</v>
      </c>
      <c r="G1007" s="17">
        <f t="shared" ref="G1007:G1013" si="1093">($E1007-7)/30</f>
        <v>701.4</v>
      </c>
      <c r="H1007" s="17">
        <f t="shared" ref="H1007:H1013" si="1094">($E1007-11)/30</f>
        <v>701.26666666666665</v>
      </c>
      <c r="I1007" s="17">
        <f t="shared" ref="I1007:I1013" si="1095">($E1007-13)/30</f>
        <v>701.2</v>
      </c>
      <c r="J1007" s="17">
        <f t="shared" ref="J1007:J1013" si="1096">($E1007-17)/30</f>
        <v>701.06666666666672</v>
      </c>
      <c r="K1007" s="17">
        <f t="shared" ref="K1007:K1013" si="1097">($E1007-19)/30</f>
        <v>701</v>
      </c>
      <c r="L1007" s="17">
        <f t="shared" ref="L1007:L1013" si="1098">($E1007-23)/30</f>
        <v>700.86666666666667</v>
      </c>
      <c r="M1007" s="17">
        <f t="shared" ref="M1007:M1013" si="1099">($E1007-29)/30</f>
        <v>700.66666666666663</v>
      </c>
    </row>
    <row r="1008" spans="1:13" x14ac:dyDescent="0.35">
      <c r="B1008" s="2">
        <v>30</v>
      </c>
      <c r="C1008" s="2">
        <f t="shared" si="1089"/>
        <v>3041</v>
      </c>
      <c r="D1008" s="2">
        <f t="shared" si="1090"/>
        <v>3011</v>
      </c>
      <c r="E1008" s="3">
        <f t="shared" si="1091"/>
        <v>21077</v>
      </c>
      <c r="F1008" s="17">
        <f t="shared" si="1092"/>
        <v>702.5333333333333</v>
      </c>
      <c r="G1008" s="17">
        <f t="shared" si="1093"/>
        <v>702.33333333333337</v>
      </c>
      <c r="H1008" s="17">
        <f t="shared" si="1094"/>
        <v>702.2</v>
      </c>
      <c r="I1008" s="17">
        <f t="shared" si="1095"/>
        <v>702.13333333333333</v>
      </c>
      <c r="J1008" s="17">
        <f t="shared" si="1096"/>
        <v>702</v>
      </c>
      <c r="K1008" s="17">
        <f t="shared" si="1097"/>
        <v>701.93333333333328</v>
      </c>
      <c r="L1008" s="17">
        <f t="shared" si="1098"/>
        <v>701.8</v>
      </c>
      <c r="M1008" s="17">
        <f t="shared" si="1099"/>
        <v>701.6</v>
      </c>
    </row>
    <row r="1009" spans="1:13" x14ac:dyDescent="0.35">
      <c r="B1009" s="2">
        <v>30</v>
      </c>
      <c r="C1009" s="2">
        <f t="shared" si="1089"/>
        <v>3043</v>
      </c>
      <c r="D1009" s="2">
        <f t="shared" si="1090"/>
        <v>3013</v>
      </c>
      <c r="E1009" s="3">
        <f t="shared" si="1091"/>
        <v>21091</v>
      </c>
      <c r="F1009" s="17">
        <f t="shared" si="1092"/>
        <v>703</v>
      </c>
      <c r="G1009" s="17">
        <f t="shared" si="1093"/>
        <v>702.8</v>
      </c>
      <c r="H1009" s="17">
        <f t="shared" si="1094"/>
        <v>702.66666666666663</v>
      </c>
      <c r="I1009" s="17">
        <f t="shared" si="1095"/>
        <v>702.6</v>
      </c>
      <c r="J1009" s="17">
        <f t="shared" si="1096"/>
        <v>702.4666666666667</v>
      </c>
      <c r="K1009" s="17">
        <f t="shared" si="1097"/>
        <v>702.4</v>
      </c>
      <c r="L1009" s="17">
        <f t="shared" si="1098"/>
        <v>702.26666666666665</v>
      </c>
      <c r="M1009" s="17">
        <f t="shared" si="1099"/>
        <v>702.06666666666672</v>
      </c>
    </row>
    <row r="1010" spans="1:13" x14ac:dyDescent="0.35">
      <c r="B1010" s="2">
        <v>30</v>
      </c>
      <c r="C1010" s="2">
        <f t="shared" si="1089"/>
        <v>3047</v>
      </c>
      <c r="D1010" s="2">
        <f t="shared" si="1090"/>
        <v>3017</v>
      </c>
      <c r="E1010" s="3">
        <f t="shared" si="1091"/>
        <v>21119</v>
      </c>
      <c r="F1010" s="17">
        <f t="shared" si="1092"/>
        <v>703.93333333333328</v>
      </c>
      <c r="G1010" s="17">
        <f t="shared" si="1093"/>
        <v>703.73333333333335</v>
      </c>
      <c r="H1010" s="17">
        <f t="shared" si="1094"/>
        <v>703.6</v>
      </c>
      <c r="I1010" s="17">
        <f t="shared" si="1095"/>
        <v>703.5333333333333</v>
      </c>
      <c r="J1010" s="17">
        <f t="shared" si="1096"/>
        <v>703.4</v>
      </c>
      <c r="K1010" s="17">
        <f t="shared" si="1097"/>
        <v>703.33333333333337</v>
      </c>
      <c r="L1010" s="17">
        <f t="shared" si="1098"/>
        <v>703.2</v>
      </c>
      <c r="M1010" s="17">
        <f t="shared" si="1099"/>
        <v>703</v>
      </c>
    </row>
    <row r="1011" spans="1:13" x14ac:dyDescent="0.35">
      <c r="B1011" s="2">
        <v>30</v>
      </c>
      <c r="C1011" s="2">
        <f t="shared" si="1089"/>
        <v>3049</v>
      </c>
      <c r="D1011" s="2">
        <f t="shared" si="1090"/>
        <v>3019</v>
      </c>
      <c r="E1011" s="3">
        <f t="shared" si="1091"/>
        <v>21133</v>
      </c>
      <c r="F1011" s="17">
        <f t="shared" si="1092"/>
        <v>704.4</v>
      </c>
      <c r="G1011" s="17">
        <f t="shared" si="1093"/>
        <v>704.2</v>
      </c>
      <c r="H1011" s="17">
        <f t="shared" si="1094"/>
        <v>704.06666666666672</v>
      </c>
      <c r="I1011" s="17">
        <f t="shared" si="1095"/>
        <v>704</v>
      </c>
      <c r="J1011" s="17">
        <f t="shared" si="1096"/>
        <v>703.86666666666667</v>
      </c>
      <c r="K1011" s="17">
        <f t="shared" si="1097"/>
        <v>703.8</v>
      </c>
      <c r="L1011" s="17">
        <f t="shared" si="1098"/>
        <v>703.66666666666663</v>
      </c>
      <c r="M1011" s="17">
        <f t="shared" si="1099"/>
        <v>703.4666666666667</v>
      </c>
    </row>
    <row r="1012" spans="1:13" x14ac:dyDescent="0.35">
      <c r="B1012" s="2">
        <v>30</v>
      </c>
      <c r="C1012" s="2">
        <f t="shared" si="1089"/>
        <v>3053</v>
      </c>
      <c r="D1012" s="2">
        <f t="shared" si="1090"/>
        <v>3023</v>
      </c>
      <c r="E1012" s="3">
        <f t="shared" si="1091"/>
        <v>21161</v>
      </c>
      <c r="F1012" s="17">
        <f t="shared" si="1092"/>
        <v>705.33333333333337</v>
      </c>
      <c r="G1012" s="17">
        <f t="shared" si="1093"/>
        <v>705.13333333333333</v>
      </c>
      <c r="H1012" s="17">
        <f t="shared" si="1094"/>
        <v>705</v>
      </c>
      <c r="I1012" s="17">
        <f t="shared" si="1095"/>
        <v>704.93333333333328</v>
      </c>
      <c r="J1012" s="17">
        <f t="shared" si="1096"/>
        <v>704.8</v>
      </c>
      <c r="K1012" s="17">
        <f t="shared" si="1097"/>
        <v>704.73333333333335</v>
      </c>
      <c r="L1012" s="17">
        <f t="shared" si="1098"/>
        <v>704.6</v>
      </c>
      <c r="M1012" s="17">
        <f t="shared" si="1099"/>
        <v>704.4</v>
      </c>
    </row>
    <row r="1013" spans="1:13" x14ac:dyDescent="0.35">
      <c r="B1013" s="2">
        <v>30</v>
      </c>
      <c r="C1013" s="2">
        <f t="shared" si="1089"/>
        <v>3059</v>
      </c>
      <c r="D1013" s="2">
        <f t="shared" si="1090"/>
        <v>3029</v>
      </c>
      <c r="E1013" s="3">
        <f t="shared" si="1091"/>
        <v>21203</v>
      </c>
      <c r="F1013" s="17">
        <f t="shared" si="1092"/>
        <v>706.73333333333335</v>
      </c>
      <c r="G1013" s="17">
        <f t="shared" si="1093"/>
        <v>706.5333333333333</v>
      </c>
      <c r="H1013" s="17">
        <f t="shared" si="1094"/>
        <v>706.4</v>
      </c>
      <c r="I1013" s="17">
        <f t="shared" si="1095"/>
        <v>706.33333333333337</v>
      </c>
      <c r="J1013" s="17">
        <f t="shared" si="1096"/>
        <v>706.2</v>
      </c>
      <c r="K1013" s="17">
        <f t="shared" si="1097"/>
        <v>706.13333333333333</v>
      </c>
      <c r="L1013" s="17">
        <f t="shared" si="1098"/>
        <v>706</v>
      </c>
      <c r="M1013" s="17">
        <f t="shared" si="1099"/>
        <v>705.8</v>
      </c>
    </row>
    <row r="1014" spans="1:13" ht="16.8" thickBot="1" x14ac:dyDescent="0.4">
      <c r="F1014" s="17"/>
      <c r="G1014" s="17"/>
      <c r="H1014" s="17"/>
      <c r="I1014" s="17"/>
      <c r="J1014" s="17"/>
      <c r="K1014" s="17"/>
      <c r="L1014" s="17"/>
      <c r="M1014" s="17"/>
    </row>
    <row r="1015" spans="1:13" ht="16.8" thickBot="1" x14ac:dyDescent="0.4">
      <c r="A1015" s="1">
        <f>A1005+1</f>
        <v>102</v>
      </c>
      <c r="C1015" s="18" t="s">
        <v>2</v>
      </c>
      <c r="E1015" s="13">
        <f>E996</f>
        <v>20797</v>
      </c>
      <c r="F1015" s="19">
        <v>1</v>
      </c>
      <c r="G1015" s="20">
        <v>7</v>
      </c>
      <c r="H1015" s="20">
        <v>11</v>
      </c>
      <c r="I1015" s="20">
        <v>13</v>
      </c>
      <c r="J1015" s="20">
        <v>17</v>
      </c>
      <c r="K1015" s="20">
        <v>19</v>
      </c>
      <c r="L1015" s="20">
        <v>23</v>
      </c>
      <c r="M1015" s="21">
        <v>29</v>
      </c>
    </row>
    <row r="1016" spans="1:13" x14ac:dyDescent="0.35">
      <c r="B1016" s="2">
        <v>30</v>
      </c>
      <c r="C1016" s="2">
        <f>D1016+B1016</f>
        <v>3061</v>
      </c>
      <c r="D1016" s="2">
        <f>C1006</f>
        <v>3031</v>
      </c>
      <c r="E1016" s="3">
        <f>D1016*$E$5</f>
        <v>21217</v>
      </c>
      <c r="F1016" s="17">
        <f>(E1016-1)/30</f>
        <v>707.2</v>
      </c>
      <c r="G1016" s="17">
        <f>($E1016-7)/30</f>
        <v>707</v>
      </c>
      <c r="H1016" s="17">
        <f>($E1016-11)/30</f>
        <v>706.86666666666667</v>
      </c>
      <c r="I1016" s="17">
        <f>($E1016-13)/30</f>
        <v>706.8</v>
      </c>
      <c r="J1016" s="17">
        <f>($E1016-17)/30</f>
        <v>706.66666666666663</v>
      </c>
      <c r="K1016" s="17">
        <f>($E1016-19)/30</f>
        <v>706.6</v>
      </c>
      <c r="L1016" s="17">
        <f>($E1016-23)/30</f>
        <v>706.4666666666667</v>
      </c>
      <c r="M1016" s="17">
        <f>($E1016-29)/30</f>
        <v>706.26666666666665</v>
      </c>
    </row>
    <row r="1017" spans="1:13" x14ac:dyDescent="0.35">
      <c r="B1017" s="2">
        <v>30</v>
      </c>
      <c r="C1017" s="2">
        <f t="shared" ref="C1017:C1023" si="1100">D1017+B1017</f>
        <v>3067</v>
      </c>
      <c r="D1017" s="2">
        <f t="shared" ref="D1017:D1023" si="1101">C1007</f>
        <v>3037</v>
      </c>
      <c r="E1017" s="3">
        <f t="shared" ref="E1017:E1023" si="1102">D1017*$E$5</f>
        <v>21259</v>
      </c>
      <c r="F1017" s="17">
        <f t="shared" ref="F1017:F1023" si="1103">(E1017-1)/30</f>
        <v>708.6</v>
      </c>
      <c r="G1017" s="17">
        <f t="shared" ref="G1017:G1023" si="1104">($E1017-7)/30</f>
        <v>708.4</v>
      </c>
      <c r="H1017" s="17">
        <f t="shared" ref="H1017:H1023" si="1105">($E1017-11)/30</f>
        <v>708.26666666666665</v>
      </c>
      <c r="I1017" s="17">
        <f t="shared" ref="I1017:I1023" si="1106">($E1017-13)/30</f>
        <v>708.2</v>
      </c>
      <c r="J1017" s="17">
        <f t="shared" ref="J1017:J1023" si="1107">($E1017-17)/30</f>
        <v>708.06666666666672</v>
      </c>
      <c r="K1017" s="17">
        <f t="shared" ref="K1017:K1023" si="1108">($E1017-19)/30</f>
        <v>708</v>
      </c>
      <c r="L1017" s="17">
        <f t="shared" ref="L1017:L1023" si="1109">($E1017-23)/30</f>
        <v>707.86666666666667</v>
      </c>
      <c r="M1017" s="17">
        <f t="shared" ref="M1017:M1023" si="1110">($E1017-29)/30</f>
        <v>707.66666666666663</v>
      </c>
    </row>
    <row r="1018" spans="1:13" x14ac:dyDescent="0.35">
      <c r="B1018" s="2">
        <v>30</v>
      </c>
      <c r="C1018" s="2">
        <f t="shared" si="1100"/>
        <v>3071</v>
      </c>
      <c r="D1018" s="2">
        <f t="shared" si="1101"/>
        <v>3041</v>
      </c>
      <c r="E1018" s="3">
        <f t="shared" si="1102"/>
        <v>21287</v>
      </c>
      <c r="F1018" s="17">
        <f t="shared" si="1103"/>
        <v>709.5333333333333</v>
      </c>
      <c r="G1018" s="17">
        <f t="shared" si="1104"/>
        <v>709.33333333333337</v>
      </c>
      <c r="H1018" s="17">
        <f t="shared" si="1105"/>
        <v>709.2</v>
      </c>
      <c r="I1018" s="17">
        <f t="shared" si="1106"/>
        <v>709.13333333333333</v>
      </c>
      <c r="J1018" s="17">
        <f t="shared" si="1107"/>
        <v>709</v>
      </c>
      <c r="K1018" s="17">
        <f t="shared" si="1108"/>
        <v>708.93333333333328</v>
      </c>
      <c r="L1018" s="17">
        <f t="shared" si="1109"/>
        <v>708.8</v>
      </c>
      <c r="M1018" s="17">
        <f t="shared" si="1110"/>
        <v>708.6</v>
      </c>
    </row>
    <row r="1019" spans="1:13" x14ac:dyDescent="0.35">
      <c r="B1019" s="2">
        <v>30</v>
      </c>
      <c r="C1019" s="2">
        <f t="shared" si="1100"/>
        <v>3073</v>
      </c>
      <c r="D1019" s="2">
        <f t="shared" si="1101"/>
        <v>3043</v>
      </c>
      <c r="E1019" s="3">
        <f t="shared" si="1102"/>
        <v>21301</v>
      </c>
      <c r="F1019" s="17">
        <f t="shared" si="1103"/>
        <v>710</v>
      </c>
      <c r="G1019" s="17">
        <f t="shared" si="1104"/>
        <v>709.8</v>
      </c>
      <c r="H1019" s="17">
        <f t="shared" si="1105"/>
        <v>709.66666666666663</v>
      </c>
      <c r="I1019" s="17">
        <f t="shared" si="1106"/>
        <v>709.6</v>
      </c>
      <c r="J1019" s="17">
        <f t="shared" si="1107"/>
        <v>709.4666666666667</v>
      </c>
      <c r="K1019" s="17">
        <f t="shared" si="1108"/>
        <v>709.4</v>
      </c>
      <c r="L1019" s="17">
        <f t="shared" si="1109"/>
        <v>709.26666666666665</v>
      </c>
      <c r="M1019" s="17">
        <f t="shared" si="1110"/>
        <v>709.06666666666672</v>
      </c>
    </row>
    <row r="1020" spans="1:13" x14ac:dyDescent="0.35">
      <c r="B1020" s="2">
        <v>30</v>
      </c>
      <c r="C1020" s="2">
        <f t="shared" si="1100"/>
        <v>3077</v>
      </c>
      <c r="D1020" s="2">
        <f t="shared" si="1101"/>
        <v>3047</v>
      </c>
      <c r="E1020" s="3">
        <f t="shared" si="1102"/>
        <v>21329</v>
      </c>
      <c r="F1020" s="17">
        <f t="shared" si="1103"/>
        <v>710.93333333333328</v>
      </c>
      <c r="G1020" s="17">
        <f t="shared" si="1104"/>
        <v>710.73333333333335</v>
      </c>
      <c r="H1020" s="17">
        <f t="shared" si="1105"/>
        <v>710.6</v>
      </c>
      <c r="I1020" s="17">
        <f t="shared" si="1106"/>
        <v>710.5333333333333</v>
      </c>
      <c r="J1020" s="17">
        <f t="shared" si="1107"/>
        <v>710.4</v>
      </c>
      <c r="K1020" s="17">
        <f t="shared" si="1108"/>
        <v>710.33333333333337</v>
      </c>
      <c r="L1020" s="17">
        <f t="shared" si="1109"/>
        <v>710.2</v>
      </c>
      <c r="M1020" s="17">
        <f t="shared" si="1110"/>
        <v>710</v>
      </c>
    </row>
    <row r="1021" spans="1:13" x14ac:dyDescent="0.35">
      <c r="B1021" s="2">
        <v>30</v>
      </c>
      <c r="C1021" s="2">
        <f t="shared" si="1100"/>
        <v>3079</v>
      </c>
      <c r="D1021" s="2">
        <f t="shared" si="1101"/>
        <v>3049</v>
      </c>
      <c r="E1021" s="3">
        <f t="shared" si="1102"/>
        <v>21343</v>
      </c>
      <c r="F1021" s="17">
        <f t="shared" si="1103"/>
        <v>711.4</v>
      </c>
      <c r="G1021" s="17">
        <f t="shared" si="1104"/>
        <v>711.2</v>
      </c>
      <c r="H1021" s="17">
        <f t="shared" si="1105"/>
        <v>711.06666666666672</v>
      </c>
      <c r="I1021" s="17">
        <f t="shared" si="1106"/>
        <v>711</v>
      </c>
      <c r="J1021" s="17">
        <f t="shared" si="1107"/>
        <v>710.86666666666667</v>
      </c>
      <c r="K1021" s="17">
        <f t="shared" si="1108"/>
        <v>710.8</v>
      </c>
      <c r="L1021" s="17">
        <f t="shared" si="1109"/>
        <v>710.66666666666663</v>
      </c>
      <c r="M1021" s="17">
        <f t="shared" si="1110"/>
        <v>710.4666666666667</v>
      </c>
    </row>
    <row r="1022" spans="1:13" x14ac:dyDescent="0.35">
      <c r="B1022" s="2">
        <v>30</v>
      </c>
      <c r="C1022" s="2">
        <f t="shared" si="1100"/>
        <v>3083</v>
      </c>
      <c r="D1022" s="2">
        <f t="shared" si="1101"/>
        <v>3053</v>
      </c>
      <c r="E1022" s="3">
        <f t="shared" si="1102"/>
        <v>21371</v>
      </c>
      <c r="F1022" s="17">
        <f t="shared" si="1103"/>
        <v>712.33333333333337</v>
      </c>
      <c r="G1022" s="17">
        <f t="shared" si="1104"/>
        <v>712.13333333333333</v>
      </c>
      <c r="H1022" s="17">
        <f t="shared" si="1105"/>
        <v>712</v>
      </c>
      <c r="I1022" s="17">
        <f t="shared" si="1106"/>
        <v>711.93333333333328</v>
      </c>
      <c r="J1022" s="17">
        <f t="shared" si="1107"/>
        <v>711.8</v>
      </c>
      <c r="K1022" s="17">
        <f t="shared" si="1108"/>
        <v>711.73333333333335</v>
      </c>
      <c r="L1022" s="17">
        <f t="shared" si="1109"/>
        <v>711.6</v>
      </c>
      <c r="M1022" s="17">
        <f t="shared" si="1110"/>
        <v>711.4</v>
      </c>
    </row>
    <row r="1023" spans="1:13" x14ac:dyDescent="0.35">
      <c r="B1023" s="2">
        <v>30</v>
      </c>
      <c r="C1023" s="2">
        <f t="shared" si="1100"/>
        <v>3089</v>
      </c>
      <c r="D1023" s="2">
        <f t="shared" si="1101"/>
        <v>3059</v>
      </c>
      <c r="E1023" s="3">
        <f t="shared" si="1102"/>
        <v>21413</v>
      </c>
      <c r="F1023" s="17">
        <f t="shared" si="1103"/>
        <v>713.73333333333335</v>
      </c>
      <c r="G1023" s="17">
        <f t="shared" si="1104"/>
        <v>713.5333333333333</v>
      </c>
      <c r="H1023" s="17">
        <f t="shared" si="1105"/>
        <v>713.4</v>
      </c>
      <c r="I1023" s="17">
        <f t="shared" si="1106"/>
        <v>713.33333333333337</v>
      </c>
      <c r="J1023" s="17">
        <f t="shared" si="1107"/>
        <v>713.2</v>
      </c>
      <c r="K1023" s="17">
        <f t="shared" si="1108"/>
        <v>713.13333333333333</v>
      </c>
      <c r="L1023" s="17">
        <f t="shared" si="1109"/>
        <v>713</v>
      </c>
      <c r="M1023" s="17">
        <f t="shared" si="1110"/>
        <v>712.8</v>
      </c>
    </row>
    <row r="1024" spans="1:13" ht="16.8" thickBot="1" x14ac:dyDescent="0.4">
      <c r="F1024" s="17"/>
      <c r="G1024" s="17"/>
      <c r="H1024" s="17"/>
      <c r="I1024" s="17"/>
      <c r="J1024" s="17"/>
      <c r="K1024" s="17"/>
      <c r="L1024" s="17"/>
      <c r="M1024" s="17"/>
    </row>
    <row r="1025" spans="1:13" ht="16.8" thickBot="1" x14ac:dyDescent="0.4">
      <c r="A1025" s="1">
        <f>A1015+1</f>
        <v>103</v>
      </c>
      <c r="C1025" s="18" t="s">
        <v>2</v>
      </c>
      <c r="E1025" s="13">
        <f>E1006</f>
        <v>21007</v>
      </c>
      <c r="F1025" s="19">
        <v>1</v>
      </c>
      <c r="G1025" s="20">
        <v>7</v>
      </c>
      <c r="H1025" s="20">
        <v>11</v>
      </c>
      <c r="I1025" s="20">
        <v>13</v>
      </c>
      <c r="J1025" s="20">
        <v>17</v>
      </c>
      <c r="K1025" s="20">
        <v>19</v>
      </c>
      <c r="L1025" s="20">
        <v>23</v>
      </c>
      <c r="M1025" s="21">
        <v>29</v>
      </c>
    </row>
    <row r="1026" spans="1:13" x14ac:dyDescent="0.35">
      <c r="B1026" s="2">
        <v>30</v>
      </c>
      <c r="C1026" s="2">
        <f>D1026+B1026</f>
        <v>3091</v>
      </c>
      <c r="D1026" s="2">
        <f>C1016</f>
        <v>3061</v>
      </c>
      <c r="E1026" s="3">
        <f>D1026*$E$5</f>
        <v>21427</v>
      </c>
      <c r="F1026" s="17">
        <f>(E1026-1)/30</f>
        <v>714.2</v>
      </c>
      <c r="G1026" s="17">
        <f>($E1026-7)/30</f>
        <v>714</v>
      </c>
      <c r="H1026" s="17">
        <f>($E1026-11)/30</f>
        <v>713.86666666666667</v>
      </c>
      <c r="I1026" s="17">
        <f>($E1026-13)/30</f>
        <v>713.8</v>
      </c>
      <c r="J1026" s="17">
        <f>($E1026-17)/30</f>
        <v>713.66666666666663</v>
      </c>
      <c r="K1026" s="17">
        <f>($E1026-19)/30</f>
        <v>713.6</v>
      </c>
      <c r="L1026" s="17">
        <f>($E1026-23)/30</f>
        <v>713.4666666666667</v>
      </c>
      <c r="M1026" s="17">
        <f>($E1026-29)/30</f>
        <v>713.26666666666665</v>
      </c>
    </row>
    <row r="1027" spans="1:13" x14ac:dyDescent="0.35">
      <c r="B1027" s="2">
        <v>30</v>
      </c>
      <c r="C1027" s="2">
        <f t="shared" ref="C1027:C1033" si="1111">D1027+B1027</f>
        <v>3097</v>
      </c>
      <c r="D1027" s="2">
        <f t="shared" ref="D1027:D1033" si="1112">C1017</f>
        <v>3067</v>
      </c>
      <c r="E1027" s="3">
        <f t="shared" ref="E1027:E1033" si="1113">D1027*$E$5</f>
        <v>21469</v>
      </c>
      <c r="F1027" s="17">
        <f t="shared" ref="F1027:F1033" si="1114">(E1027-1)/30</f>
        <v>715.6</v>
      </c>
      <c r="G1027" s="17">
        <f t="shared" ref="G1027:G1033" si="1115">($E1027-7)/30</f>
        <v>715.4</v>
      </c>
      <c r="H1027" s="17">
        <f t="shared" ref="H1027:H1033" si="1116">($E1027-11)/30</f>
        <v>715.26666666666665</v>
      </c>
      <c r="I1027" s="17">
        <f t="shared" ref="I1027:I1033" si="1117">($E1027-13)/30</f>
        <v>715.2</v>
      </c>
      <c r="J1027" s="17">
        <f t="shared" ref="J1027:J1033" si="1118">($E1027-17)/30</f>
        <v>715.06666666666672</v>
      </c>
      <c r="K1027" s="17">
        <f t="shared" ref="K1027:K1033" si="1119">($E1027-19)/30</f>
        <v>715</v>
      </c>
      <c r="L1027" s="17">
        <f t="shared" ref="L1027:L1033" si="1120">($E1027-23)/30</f>
        <v>714.86666666666667</v>
      </c>
      <c r="M1027" s="17">
        <f t="shared" ref="M1027:M1033" si="1121">($E1027-29)/30</f>
        <v>714.66666666666663</v>
      </c>
    </row>
    <row r="1028" spans="1:13" x14ac:dyDescent="0.35">
      <c r="B1028" s="2">
        <v>30</v>
      </c>
      <c r="C1028" s="2">
        <f t="shared" si="1111"/>
        <v>3101</v>
      </c>
      <c r="D1028" s="2">
        <f t="shared" si="1112"/>
        <v>3071</v>
      </c>
      <c r="E1028" s="3">
        <f t="shared" si="1113"/>
        <v>21497</v>
      </c>
      <c r="F1028" s="17">
        <f t="shared" si="1114"/>
        <v>716.5333333333333</v>
      </c>
      <c r="G1028" s="17">
        <f t="shared" si="1115"/>
        <v>716.33333333333337</v>
      </c>
      <c r="H1028" s="17">
        <f t="shared" si="1116"/>
        <v>716.2</v>
      </c>
      <c r="I1028" s="17">
        <f t="shared" si="1117"/>
        <v>716.13333333333333</v>
      </c>
      <c r="J1028" s="17">
        <f t="shared" si="1118"/>
        <v>716</v>
      </c>
      <c r="K1028" s="17">
        <f t="shared" si="1119"/>
        <v>715.93333333333328</v>
      </c>
      <c r="L1028" s="17">
        <f t="shared" si="1120"/>
        <v>715.8</v>
      </c>
      <c r="M1028" s="17">
        <f t="shared" si="1121"/>
        <v>715.6</v>
      </c>
    </row>
    <row r="1029" spans="1:13" x14ac:dyDescent="0.35">
      <c r="B1029" s="2">
        <v>30</v>
      </c>
      <c r="C1029" s="2">
        <f t="shared" si="1111"/>
        <v>3103</v>
      </c>
      <c r="D1029" s="2">
        <f t="shared" si="1112"/>
        <v>3073</v>
      </c>
      <c r="E1029" s="3">
        <f t="shared" si="1113"/>
        <v>21511</v>
      </c>
      <c r="F1029" s="17">
        <f t="shared" si="1114"/>
        <v>717</v>
      </c>
      <c r="G1029" s="17">
        <f t="shared" si="1115"/>
        <v>716.8</v>
      </c>
      <c r="H1029" s="17">
        <f t="shared" si="1116"/>
        <v>716.66666666666663</v>
      </c>
      <c r="I1029" s="17">
        <f t="shared" si="1117"/>
        <v>716.6</v>
      </c>
      <c r="J1029" s="17">
        <f t="shared" si="1118"/>
        <v>716.4666666666667</v>
      </c>
      <c r="K1029" s="17">
        <f t="shared" si="1119"/>
        <v>716.4</v>
      </c>
      <c r="L1029" s="17">
        <f t="shared" si="1120"/>
        <v>716.26666666666665</v>
      </c>
      <c r="M1029" s="17">
        <f t="shared" si="1121"/>
        <v>716.06666666666672</v>
      </c>
    </row>
    <row r="1030" spans="1:13" x14ac:dyDescent="0.35">
      <c r="B1030" s="2">
        <v>30</v>
      </c>
      <c r="C1030" s="2">
        <f t="shared" si="1111"/>
        <v>3107</v>
      </c>
      <c r="D1030" s="2">
        <f t="shared" si="1112"/>
        <v>3077</v>
      </c>
      <c r="E1030" s="3">
        <f t="shared" si="1113"/>
        <v>21539</v>
      </c>
      <c r="F1030" s="17">
        <f t="shared" si="1114"/>
        <v>717.93333333333328</v>
      </c>
      <c r="G1030" s="17">
        <f t="shared" si="1115"/>
        <v>717.73333333333335</v>
      </c>
      <c r="H1030" s="17">
        <f t="shared" si="1116"/>
        <v>717.6</v>
      </c>
      <c r="I1030" s="17">
        <f t="shared" si="1117"/>
        <v>717.5333333333333</v>
      </c>
      <c r="J1030" s="17">
        <f t="shared" si="1118"/>
        <v>717.4</v>
      </c>
      <c r="K1030" s="17">
        <f t="shared" si="1119"/>
        <v>717.33333333333337</v>
      </c>
      <c r="L1030" s="17">
        <f t="shared" si="1120"/>
        <v>717.2</v>
      </c>
      <c r="M1030" s="17">
        <f t="shared" si="1121"/>
        <v>717</v>
      </c>
    </row>
    <row r="1031" spans="1:13" x14ac:dyDescent="0.35">
      <c r="B1031" s="2">
        <v>30</v>
      </c>
      <c r="C1031" s="2">
        <f t="shared" si="1111"/>
        <v>3109</v>
      </c>
      <c r="D1031" s="2">
        <f t="shared" si="1112"/>
        <v>3079</v>
      </c>
      <c r="E1031" s="3">
        <f t="shared" si="1113"/>
        <v>21553</v>
      </c>
      <c r="F1031" s="17">
        <f t="shared" si="1114"/>
        <v>718.4</v>
      </c>
      <c r="G1031" s="17">
        <f t="shared" si="1115"/>
        <v>718.2</v>
      </c>
      <c r="H1031" s="17">
        <f t="shared" si="1116"/>
        <v>718.06666666666672</v>
      </c>
      <c r="I1031" s="17">
        <f t="shared" si="1117"/>
        <v>718</v>
      </c>
      <c r="J1031" s="17">
        <f t="shared" si="1118"/>
        <v>717.86666666666667</v>
      </c>
      <c r="K1031" s="17">
        <f t="shared" si="1119"/>
        <v>717.8</v>
      </c>
      <c r="L1031" s="17">
        <f t="shared" si="1120"/>
        <v>717.66666666666663</v>
      </c>
      <c r="M1031" s="17">
        <f t="shared" si="1121"/>
        <v>717.4666666666667</v>
      </c>
    </row>
    <row r="1032" spans="1:13" x14ac:dyDescent="0.35">
      <c r="B1032" s="2">
        <v>30</v>
      </c>
      <c r="C1032" s="2">
        <f t="shared" si="1111"/>
        <v>3113</v>
      </c>
      <c r="D1032" s="2">
        <f t="shared" si="1112"/>
        <v>3083</v>
      </c>
      <c r="E1032" s="3">
        <f t="shared" si="1113"/>
        <v>21581</v>
      </c>
      <c r="F1032" s="17">
        <f t="shared" si="1114"/>
        <v>719.33333333333337</v>
      </c>
      <c r="G1032" s="17">
        <f t="shared" si="1115"/>
        <v>719.13333333333333</v>
      </c>
      <c r="H1032" s="17">
        <f t="shared" si="1116"/>
        <v>719</v>
      </c>
      <c r="I1032" s="17">
        <f t="shared" si="1117"/>
        <v>718.93333333333328</v>
      </c>
      <c r="J1032" s="17">
        <f t="shared" si="1118"/>
        <v>718.8</v>
      </c>
      <c r="K1032" s="17">
        <f t="shared" si="1119"/>
        <v>718.73333333333335</v>
      </c>
      <c r="L1032" s="17">
        <f t="shared" si="1120"/>
        <v>718.6</v>
      </c>
      <c r="M1032" s="17">
        <f t="shared" si="1121"/>
        <v>718.4</v>
      </c>
    </row>
    <row r="1033" spans="1:13" x14ac:dyDescent="0.35">
      <c r="B1033" s="2">
        <v>30</v>
      </c>
      <c r="C1033" s="2">
        <f t="shared" si="1111"/>
        <v>3119</v>
      </c>
      <c r="D1033" s="2">
        <f t="shared" si="1112"/>
        <v>3089</v>
      </c>
      <c r="E1033" s="3">
        <f t="shared" si="1113"/>
        <v>21623</v>
      </c>
      <c r="F1033" s="17">
        <f t="shared" si="1114"/>
        <v>720.73333333333335</v>
      </c>
      <c r="G1033" s="17">
        <f t="shared" si="1115"/>
        <v>720.5333333333333</v>
      </c>
      <c r="H1033" s="17">
        <f t="shared" si="1116"/>
        <v>720.4</v>
      </c>
      <c r="I1033" s="17">
        <f t="shared" si="1117"/>
        <v>720.33333333333337</v>
      </c>
      <c r="J1033" s="17">
        <f t="shared" si="1118"/>
        <v>720.2</v>
      </c>
      <c r="K1033" s="17">
        <f t="shared" si="1119"/>
        <v>720.13333333333333</v>
      </c>
      <c r="L1033" s="17">
        <f t="shared" si="1120"/>
        <v>720</v>
      </c>
      <c r="M1033" s="17">
        <f t="shared" si="1121"/>
        <v>719.8</v>
      </c>
    </row>
    <row r="1034" spans="1:13" ht="16.8" thickBot="1" x14ac:dyDescent="0.4">
      <c r="F1034" s="17"/>
      <c r="G1034" s="17"/>
      <c r="H1034" s="17"/>
      <c r="I1034" s="17"/>
      <c r="J1034" s="17"/>
      <c r="K1034" s="17"/>
      <c r="L1034" s="17"/>
      <c r="M1034" s="17"/>
    </row>
    <row r="1035" spans="1:13" ht="16.8" thickBot="1" x14ac:dyDescent="0.4">
      <c r="A1035" s="1">
        <f>A1025+1</f>
        <v>104</v>
      </c>
      <c r="C1035" s="18" t="s">
        <v>2</v>
      </c>
      <c r="E1035" s="13">
        <f>E1016</f>
        <v>21217</v>
      </c>
      <c r="F1035" s="19">
        <v>1</v>
      </c>
      <c r="G1035" s="20">
        <v>7</v>
      </c>
      <c r="H1035" s="20">
        <v>11</v>
      </c>
      <c r="I1035" s="20">
        <v>13</v>
      </c>
      <c r="J1035" s="20">
        <v>17</v>
      </c>
      <c r="K1035" s="20">
        <v>19</v>
      </c>
      <c r="L1035" s="20">
        <v>23</v>
      </c>
      <c r="M1035" s="21">
        <v>29</v>
      </c>
    </row>
    <row r="1036" spans="1:13" x14ac:dyDescent="0.35">
      <c r="B1036" s="2">
        <v>30</v>
      </c>
      <c r="C1036" s="2">
        <f>D1036+B1036</f>
        <v>3121</v>
      </c>
      <c r="D1036" s="2">
        <f>C1026</f>
        <v>3091</v>
      </c>
      <c r="E1036" s="3">
        <f>D1036*$E$5</f>
        <v>21637</v>
      </c>
      <c r="F1036" s="17">
        <f>(E1036-1)/30</f>
        <v>721.2</v>
      </c>
      <c r="G1036" s="17">
        <f>($E1036-7)/30</f>
        <v>721</v>
      </c>
      <c r="H1036" s="17">
        <f>($E1036-11)/30</f>
        <v>720.86666666666667</v>
      </c>
      <c r="I1036" s="17">
        <f>($E1036-13)/30</f>
        <v>720.8</v>
      </c>
      <c r="J1036" s="17">
        <f>($E1036-17)/30</f>
        <v>720.66666666666663</v>
      </c>
      <c r="K1036" s="17">
        <f>($E1036-19)/30</f>
        <v>720.6</v>
      </c>
      <c r="L1036" s="17">
        <f>($E1036-23)/30</f>
        <v>720.4666666666667</v>
      </c>
      <c r="M1036" s="17">
        <f>($E1036-29)/30</f>
        <v>720.26666666666665</v>
      </c>
    </row>
    <row r="1037" spans="1:13" x14ac:dyDescent="0.35">
      <c r="B1037" s="2">
        <v>30</v>
      </c>
      <c r="C1037" s="2">
        <f t="shared" ref="C1037:C1043" si="1122">D1037+B1037</f>
        <v>3127</v>
      </c>
      <c r="D1037" s="2">
        <f t="shared" ref="D1037:D1043" si="1123">C1027</f>
        <v>3097</v>
      </c>
      <c r="E1037" s="3">
        <f t="shared" ref="E1037:E1043" si="1124">D1037*$E$5</f>
        <v>21679</v>
      </c>
      <c r="F1037" s="17">
        <f t="shared" ref="F1037:F1043" si="1125">(E1037-1)/30</f>
        <v>722.6</v>
      </c>
      <c r="G1037" s="17">
        <f t="shared" ref="G1037:G1043" si="1126">($E1037-7)/30</f>
        <v>722.4</v>
      </c>
      <c r="H1037" s="17">
        <f t="shared" ref="H1037:H1043" si="1127">($E1037-11)/30</f>
        <v>722.26666666666665</v>
      </c>
      <c r="I1037" s="17">
        <f t="shared" ref="I1037:I1043" si="1128">($E1037-13)/30</f>
        <v>722.2</v>
      </c>
      <c r="J1037" s="17">
        <f t="shared" ref="J1037:J1043" si="1129">($E1037-17)/30</f>
        <v>722.06666666666672</v>
      </c>
      <c r="K1037" s="17">
        <f t="shared" ref="K1037:K1043" si="1130">($E1037-19)/30</f>
        <v>722</v>
      </c>
      <c r="L1037" s="17">
        <f t="shared" ref="L1037:L1043" si="1131">($E1037-23)/30</f>
        <v>721.86666666666667</v>
      </c>
      <c r="M1037" s="17">
        <f t="shared" ref="M1037:M1043" si="1132">($E1037-29)/30</f>
        <v>721.66666666666663</v>
      </c>
    </row>
    <row r="1038" spans="1:13" x14ac:dyDescent="0.35">
      <c r="B1038" s="2">
        <v>30</v>
      </c>
      <c r="C1038" s="2">
        <f t="shared" si="1122"/>
        <v>3131</v>
      </c>
      <c r="D1038" s="2">
        <f t="shared" si="1123"/>
        <v>3101</v>
      </c>
      <c r="E1038" s="3">
        <f t="shared" si="1124"/>
        <v>21707</v>
      </c>
      <c r="F1038" s="17">
        <f t="shared" si="1125"/>
        <v>723.5333333333333</v>
      </c>
      <c r="G1038" s="17">
        <f t="shared" si="1126"/>
        <v>723.33333333333337</v>
      </c>
      <c r="H1038" s="17">
        <f t="shared" si="1127"/>
        <v>723.2</v>
      </c>
      <c r="I1038" s="17">
        <f t="shared" si="1128"/>
        <v>723.13333333333333</v>
      </c>
      <c r="J1038" s="17">
        <f t="shared" si="1129"/>
        <v>723</v>
      </c>
      <c r="K1038" s="17">
        <f t="shared" si="1130"/>
        <v>722.93333333333328</v>
      </c>
      <c r="L1038" s="17">
        <f t="shared" si="1131"/>
        <v>722.8</v>
      </c>
      <c r="M1038" s="17">
        <f t="shared" si="1132"/>
        <v>722.6</v>
      </c>
    </row>
    <row r="1039" spans="1:13" x14ac:dyDescent="0.35">
      <c r="B1039" s="2">
        <v>30</v>
      </c>
      <c r="C1039" s="2">
        <f t="shared" si="1122"/>
        <v>3133</v>
      </c>
      <c r="D1039" s="2">
        <f t="shared" si="1123"/>
        <v>3103</v>
      </c>
      <c r="E1039" s="3">
        <f t="shared" si="1124"/>
        <v>21721</v>
      </c>
      <c r="F1039" s="17">
        <f t="shared" si="1125"/>
        <v>724</v>
      </c>
      <c r="G1039" s="17">
        <f t="shared" si="1126"/>
        <v>723.8</v>
      </c>
      <c r="H1039" s="17">
        <f t="shared" si="1127"/>
        <v>723.66666666666663</v>
      </c>
      <c r="I1039" s="17">
        <f t="shared" si="1128"/>
        <v>723.6</v>
      </c>
      <c r="J1039" s="17">
        <f t="shared" si="1129"/>
        <v>723.4666666666667</v>
      </c>
      <c r="K1039" s="17">
        <f t="shared" si="1130"/>
        <v>723.4</v>
      </c>
      <c r="L1039" s="17">
        <f t="shared" si="1131"/>
        <v>723.26666666666665</v>
      </c>
      <c r="M1039" s="17">
        <f t="shared" si="1132"/>
        <v>723.06666666666672</v>
      </c>
    </row>
    <row r="1040" spans="1:13" x14ac:dyDescent="0.35">
      <c r="B1040" s="2">
        <v>30</v>
      </c>
      <c r="C1040" s="2">
        <f t="shared" si="1122"/>
        <v>3137</v>
      </c>
      <c r="D1040" s="2">
        <f t="shared" si="1123"/>
        <v>3107</v>
      </c>
      <c r="E1040" s="3">
        <f t="shared" si="1124"/>
        <v>21749</v>
      </c>
      <c r="F1040" s="17">
        <f t="shared" si="1125"/>
        <v>724.93333333333328</v>
      </c>
      <c r="G1040" s="17">
        <f t="shared" si="1126"/>
        <v>724.73333333333335</v>
      </c>
      <c r="H1040" s="17">
        <f t="shared" si="1127"/>
        <v>724.6</v>
      </c>
      <c r="I1040" s="17">
        <f t="shared" si="1128"/>
        <v>724.5333333333333</v>
      </c>
      <c r="J1040" s="17">
        <f t="shared" si="1129"/>
        <v>724.4</v>
      </c>
      <c r="K1040" s="17">
        <f t="shared" si="1130"/>
        <v>724.33333333333337</v>
      </c>
      <c r="L1040" s="17">
        <f t="shared" si="1131"/>
        <v>724.2</v>
      </c>
      <c r="M1040" s="17">
        <f t="shared" si="1132"/>
        <v>724</v>
      </c>
    </row>
    <row r="1041" spans="1:13" x14ac:dyDescent="0.35">
      <c r="B1041" s="2">
        <v>30</v>
      </c>
      <c r="C1041" s="2">
        <f t="shared" si="1122"/>
        <v>3139</v>
      </c>
      <c r="D1041" s="2">
        <f t="shared" si="1123"/>
        <v>3109</v>
      </c>
      <c r="E1041" s="3">
        <f t="shared" si="1124"/>
        <v>21763</v>
      </c>
      <c r="F1041" s="17">
        <f t="shared" si="1125"/>
        <v>725.4</v>
      </c>
      <c r="G1041" s="17">
        <f t="shared" si="1126"/>
        <v>725.2</v>
      </c>
      <c r="H1041" s="17">
        <f t="shared" si="1127"/>
        <v>725.06666666666672</v>
      </c>
      <c r="I1041" s="17">
        <f t="shared" si="1128"/>
        <v>725</v>
      </c>
      <c r="J1041" s="17">
        <f t="shared" si="1129"/>
        <v>724.86666666666667</v>
      </c>
      <c r="K1041" s="17">
        <f t="shared" si="1130"/>
        <v>724.8</v>
      </c>
      <c r="L1041" s="17">
        <f t="shared" si="1131"/>
        <v>724.66666666666663</v>
      </c>
      <c r="M1041" s="17">
        <f t="shared" si="1132"/>
        <v>724.4666666666667</v>
      </c>
    </row>
    <row r="1042" spans="1:13" x14ac:dyDescent="0.35">
      <c r="B1042" s="2">
        <v>30</v>
      </c>
      <c r="C1042" s="2">
        <f t="shared" si="1122"/>
        <v>3143</v>
      </c>
      <c r="D1042" s="2">
        <f t="shared" si="1123"/>
        <v>3113</v>
      </c>
      <c r="E1042" s="3">
        <f t="shared" si="1124"/>
        <v>21791</v>
      </c>
      <c r="F1042" s="17">
        <f t="shared" si="1125"/>
        <v>726.33333333333337</v>
      </c>
      <c r="G1042" s="17">
        <f t="shared" si="1126"/>
        <v>726.13333333333333</v>
      </c>
      <c r="H1042" s="17">
        <f t="shared" si="1127"/>
        <v>726</v>
      </c>
      <c r="I1042" s="17">
        <f t="shared" si="1128"/>
        <v>725.93333333333328</v>
      </c>
      <c r="J1042" s="17">
        <f t="shared" si="1129"/>
        <v>725.8</v>
      </c>
      <c r="K1042" s="17">
        <f t="shared" si="1130"/>
        <v>725.73333333333335</v>
      </c>
      <c r="L1042" s="17">
        <f t="shared" si="1131"/>
        <v>725.6</v>
      </c>
      <c r="M1042" s="17">
        <f t="shared" si="1132"/>
        <v>725.4</v>
      </c>
    </row>
    <row r="1043" spans="1:13" x14ac:dyDescent="0.35">
      <c r="B1043" s="2">
        <v>30</v>
      </c>
      <c r="C1043" s="2">
        <f t="shared" si="1122"/>
        <v>3149</v>
      </c>
      <c r="D1043" s="2">
        <f t="shared" si="1123"/>
        <v>3119</v>
      </c>
      <c r="E1043" s="3">
        <f t="shared" si="1124"/>
        <v>21833</v>
      </c>
      <c r="F1043" s="17">
        <f t="shared" si="1125"/>
        <v>727.73333333333335</v>
      </c>
      <c r="G1043" s="17">
        <f t="shared" si="1126"/>
        <v>727.5333333333333</v>
      </c>
      <c r="H1043" s="17">
        <f t="shared" si="1127"/>
        <v>727.4</v>
      </c>
      <c r="I1043" s="17">
        <f t="shared" si="1128"/>
        <v>727.33333333333337</v>
      </c>
      <c r="J1043" s="17">
        <f t="shared" si="1129"/>
        <v>727.2</v>
      </c>
      <c r="K1043" s="17">
        <f t="shared" si="1130"/>
        <v>727.13333333333333</v>
      </c>
      <c r="L1043" s="17">
        <f t="shared" si="1131"/>
        <v>727</v>
      </c>
      <c r="M1043" s="17">
        <f t="shared" si="1132"/>
        <v>726.8</v>
      </c>
    </row>
    <row r="1044" spans="1:13" ht="16.8" thickBot="1" x14ac:dyDescent="0.4">
      <c r="F1044" s="17"/>
      <c r="G1044" s="17"/>
      <c r="H1044" s="17"/>
      <c r="I1044" s="17"/>
      <c r="J1044" s="17"/>
      <c r="K1044" s="17"/>
      <c r="L1044" s="17"/>
      <c r="M1044" s="17"/>
    </row>
    <row r="1045" spans="1:13" ht="16.8" thickBot="1" x14ac:dyDescent="0.4">
      <c r="A1045" s="1">
        <f>A1035+1</f>
        <v>105</v>
      </c>
      <c r="C1045" s="18" t="s">
        <v>2</v>
      </c>
      <c r="E1045" s="13">
        <f>E1026</f>
        <v>21427</v>
      </c>
      <c r="F1045" s="19">
        <v>1</v>
      </c>
      <c r="G1045" s="20">
        <v>7</v>
      </c>
      <c r="H1045" s="20">
        <v>11</v>
      </c>
      <c r="I1045" s="20">
        <v>13</v>
      </c>
      <c r="J1045" s="20">
        <v>17</v>
      </c>
      <c r="K1045" s="20">
        <v>19</v>
      </c>
      <c r="L1045" s="20">
        <v>23</v>
      </c>
      <c r="M1045" s="21">
        <v>29</v>
      </c>
    </row>
    <row r="1046" spans="1:13" x14ac:dyDescent="0.35">
      <c r="B1046" s="2">
        <v>30</v>
      </c>
      <c r="C1046" s="2">
        <f>D1046+B1046</f>
        <v>3151</v>
      </c>
      <c r="D1046" s="2">
        <f>C1036</f>
        <v>3121</v>
      </c>
      <c r="E1046" s="3">
        <f>D1046*$E$5</f>
        <v>21847</v>
      </c>
      <c r="F1046" s="17">
        <f>(E1046-1)/30</f>
        <v>728.2</v>
      </c>
      <c r="G1046" s="17">
        <f>($E1046-7)/30</f>
        <v>728</v>
      </c>
      <c r="H1046" s="17">
        <f>($E1046-11)/30</f>
        <v>727.86666666666667</v>
      </c>
      <c r="I1046" s="17">
        <f>($E1046-13)/30</f>
        <v>727.8</v>
      </c>
      <c r="J1046" s="17">
        <f>($E1046-17)/30</f>
        <v>727.66666666666663</v>
      </c>
      <c r="K1046" s="17">
        <f>($E1046-19)/30</f>
        <v>727.6</v>
      </c>
      <c r="L1046" s="17">
        <f>($E1046-23)/30</f>
        <v>727.4666666666667</v>
      </c>
      <c r="M1046" s="17">
        <f>($E1046-29)/30</f>
        <v>727.26666666666665</v>
      </c>
    </row>
    <row r="1047" spans="1:13" x14ac:dyDescent="0.35">
      <c r="B1047" s="2">
        <v>30</v>
      </c>
      <c r="C1047" s="2">
        <f t="shared" ref="C1047:C1053" si="1133">D1047+B1047</f>
        <v>3157</v>
      </c>
      <c r="D1047" s="2">
        <f t="shared" ref="D1047:D1053" si="1134">C1037</f>
        <v>3127</v>
      </c>
      <c r="E1047" s="3">
        <f t="shared" ref="E1047:E1053" si="1135">D1047*$E$5</f>
        <v>21889</v>
      </c>
      <c r="F1047" s="17">
        <f t="shared" ref="F1047:F1053" si="1136">(E1047-1)/30</f>
        <v>729.6</v>
      </c>
      <c r="G1047" s="17">
        <f t="shared" ref="G1047:G1053" si="1137">($E1047-7)/30</f>
        <v>729.4</v>
      </c>
      <c r="H1047" s="17">
        <f t="shared" ref="H1047:H1053" si="1138">($E1047-11)/30</f>
        <v>729.26666666666665</v>
      </c>
      <c r="I1047" s="17">
        <f t="shared" ref="I1047:I1053" si="1139">($E1047-13)/30</f>
        <v>729.2</v>
      </c>
      <c r="J1047" s="17">
        <f t="shared" ref="J1047:J1053" si="1140">($E1047-17)/30</f>
        <v>729.06666666666672</v>
      </c>
      <c r="K1047" s="17">
        <f t="shared" ref="K1047:K1053" si="1141">($E1047-19)/30</f>
        <v>729</v>
      </c>
      <c r="L1047" s="17">
        <f t="shared" ref="L1047:L1053" si="1142">($E1047-23)/30</f>
        <v>728.86666666666667</v>
      </c>
      <c r="M1047" s="17">
        <f t="shared" ref="M1047:M1053" si="1143">($E1047-29)/30</f>
        <v>728.66666666666663</v>
      </c>
    </row>
    <row r="1048" spans="1:13" x14ac:dyDescent="0.35">
      <c r="B1048" s="2">
        <v>30</v>
      </c>
      <c r="C1048" s="2">
        <f t="shared" si="1133"/>
        <v>3161</v>
      </c>
      <c r="D1048" s="2">
        <f t="shared" si="1134"/>
        <v>3131</v>
      </c>
      <c r="E1048" s="3">
        <f t="shared" si="1135"/>
        <v>21917</v>
      </c>
      <c r="F1048" s="17">
        <f t="shared" si="1136"/>
        <v>730.5333333333333</v>
      </c>
      <c r="G1048" s="17">
        <f t="shared" si="1137"/>
        <v>730.33333333333337</v>
      </c>
      <c r="H1048" s="17">
        <f t="shared" si="1138"/>
        <v>730.2</v>
      </c>
      <c r="I1048" s="17">
        <f t="shared" si="1139"/>
        <v>730.13333333333333</v>
      </c>
      <c r="J1048" s="17">
        <f t="shared" si="1140"/>
        <v>730</v>
      </c>
      <c r="K1048" s="17">
        <f t="shared" si="1141"/>
        <v>729.93333333333328</v>
      </c>
      <c r="L1048" s="17">
        <f t="shared" si="1142"/>
        <v>729.8</v>
      </c>
      <c r="M1048" s="17">
        <f t="shared" si="1143"/>
        <v>729.6</v>
      </c>
    </row>
    <row r="1049" spans="1:13" x14ac:dyDescent="0.35">
      <c r="B1049" s="2">
        <v>30</v>
      </c>
      <c r="C1049" s="2">
        <f t="shared" si="1133"/>
        <v>3163</v>
      </c>
      <c r="D1049" s="2">
        <f t="shared" si="1134"/>
        <v>3133</v>
      </c>
      <c r="E1049" s="3">
        <f t="shared" si="1135"/>
        <v>21931</v>
      </c>
      <c r="F1049" s="17">
        <f t="shared" si="1136"/>
        <v>731</v>
      </c>
      <c r="G1049" s="17">
        <f t="shared" si="1137"/>
        <v>730.8</v>
      </c>
      <c r="H1049" s="17">
        <f t="shared" si="1138"/>
        <v>730.66666666666663</v>
      </c>
      <c r="I1049" s="17">
        <f t="shared" si="1139"/>
        <v>730.6</v>
      </c>
      <c r="J1049" s="17">
        <f t="shared" si="1140"/>
        <v>730.4666666666667</v>
      </c>
      <c r="K1049" s="17">
        <f t="shared" si="1141"/>
        <v>730.4</v>
      </c>
      <c r="L1049" s="17">
        <f t="shared" si="1142"/>
        <v>730.26666666666665</v>
      </c>
      <c r="M1049" s="17">
        <f t="shared" si="1143"/>
        <v>730.06666666666672</v>
      </c>
    </row>
    <row r="1050" spans="1:13" x14ac:dyDescent="0.35">
      <c r="B1050" s="2">
        <v>30</v>
      </c>
      <c r="C1050" s="2">
        <f t="shared" si="1133"/>
        <v>3167</v>
      </c>
      <c r="D1050" s="2">
        <f t="shared" si="1134"/>
        <v>3137</v>
      </c>
      <c r="E1050" s="3">
        <f t="shared" si="1135"/>
        <v>21959</v>
      </c>
      <c r="F1050" s="17">
        <f t="shared" si="1136"/>
        <v>731.93333333333328</v>
      </c>
      <c r="G1050" s="17">
        <f t="shared" si="1137"/>
        <v>731.73333333333335</v>
      </c>
      <c r="H1050" s="17">
        <f t="shared" si="1138"/>
        <v>731.6</v>
      </c>
      <c r="I1050" s="17">
        <f t="shared" si="1139"/>
        <v>731.5333333333333</v>
      </c>
      <c r="J1050" s="17">
        <f t="shared" si="1140"/>
        <v>731.4</v>
      </c>
      <c r="K1050" s="17">
        <f t="shared" si="1141"/>
        <v>731.33333333333337</v>
      </c>
      <c r="L1050" s="17">
        <f t="shared" si="1142"/>
        <v>731.2</v>
      </c>
      <c r="M1050" s="17">
        <f t="shared" si="1143"/>
        <v>731</v>
      </c>
    </row>
    <row r="1051" spans="1:13" x14ac:dyDescent="0.35">
      <c r="B1051" s="2">
        <v>30</v>
      </c>
      <c r="C1051" s="2">
        <f t="shared" si="1133"/>
        <v>3169</v>
      </c>
      <c r="D1051" s="2">
        <f t="shared" si="1134"/>
        <v>3139</v>
      </c>
      <c r="E1051" s="3">
        <f t="shared" si="1135"/>
        <v>21973</v>
      </c>
      <c r="F1051" s="17">
        <f t="shared" si="1136"/>
        <v>732.4</v>
      </c>
      <c r="G1051" s="17">
        <f t="shared" si="1137"/>
        <v>732.2</v>
      </c>
      <c r="H1051" s="17">
        <f t="shared" si="1138"/>
        <v>732.06666666666672</v>
      </c>
      <c r="I1051" s="17">
        <f t="shared" si="1139"/>
        <v>732</v>
      </c>
      <c r="J1051" s="17">
        <f t="shared" si="1140"/>
        <v>731.86666666666667</v>
      </c>
      <c r="K1051" s="17">
        <f t="shared" si="1141"/>
        <v>731.8</v>
      </c>
      <c r="L1051" s="17">
        <f t="shared" si="1142"/>
        <v>731.66666666666663</v>
      </c>
      <c r="M1051" s="17">
        <f t="shared" si="1143"/>
        <v>731.4666666666667</v>
      </c>
    </row>
    <row r="1052" spans="1:13" x14ac:dyDescent="0.35">
      <c r="B1052" s="2">
        <v>30</v>
      </c>
      <c r="C1052" s="2">
        <f t="shared" si="1133"/>
        <v>3173</v>
      </c>
      <c r="D1052" s="2">
        <f t="shared" si="1134"/>
        <v>3143</v>
      </c>
      <c r="E1052" s="3">
        <f t="shared" si="1135"/>
        <v>22001</v>
      </c>
      <c r="F1052" s="17">
        <f t="shared" si="1136"/>
        <v>733.33333333333337</v>
      </c>
      <c r="G1052" s="17">
        <f t="shared" si="1137"/>
        <v>733.13333333333333</v>
      </c>
      <c r="H1052" s="17">
        <f t="shared" si="1138"/>
        <v>733</v>
      </c>
      <c r="I1052" s="17">
        <f t="shared" si="1139"/>
        <v>732.93333333333328</v>
      </c>
      <c r="J1052" s="17">
        <f t="shared" si="1140"/>
        <v>732.8</v>
      </c>
      <c r="K1052" s="17">
        <f t="shared" si="1141"/>
        <v>732.73333333333335</v>
      </c>
      <c r="L1052" s="17">
        <f t="shared" si="1142"/>
        <v>732.6</v>
      </c>
      <c r="M1052" s="17">
        <f t="shared" si="1143"/>
        <v>732.4</v>
      </c>
    </row>
    <row r="1053" spans="1:13" x14ac:dyDescent="0.35">
      <c r="B1053" s="2">
        <v>30</v>
      </c>
      <c r="C1053" s="2">
        <f t="shared" si="1133"/>
        <v>3179</v>
      </c>
      <c r="D1053" s="2">
        <f t="shared" si="1134"/>
        <v>3149</v>
      </c>
      <c r="E1053" s="3">
        <f t="shared" si="1135"/>
        <v>22043</v>
      </c>
      <c r="F1053" s="17">
        <f t="shared" si="1136"/>
        <v>734.73333333333335</v>
      </c>
      <c r="G1053" s="17">
        <f t="shared" si="1137"/>
        <v>734.5333333333333</v>
      </c>
      <c r="H1053" s="17">
        <f t="shared" si="1138"/>
        <v>734.4</v>
      </c>
      <c r="I1053" s="17">
        <f t="shared" si="1139"/>
        <v>734.33333333333337</v>
      </c>
      <c r="J1053" s="17">
        <f t="shared" si="1140"/>
        <v>734.2</v>
      </c>
      <c r="K1053" s="17">
        <f t="shared" si="1141"/>
        <v>734.13333333333333</v>
      </c>
      <c r="L1053" s="17">
        <f t="shared" si="1142"/>
        <v>734</v>
      </c>
      <c r="M1053" s="17">
        <f t="shared" si="1143"/>
        <v>733.8</v>
      </c>
    </row>
    <row r="1054" spans="1:13" ht="16.8" thickBot="1" x14ac:dyDescent="0.4">
      <c r="F1054" s="17"/>
      <c r="G1054" s="17"/>
      <c r="H1054" s="17"/>
      <c r="I1054" s="17"/>
      <c r="J1054" s="17"/>
      <c r="K1054" s="17"/>
      <c r="L1054" s="17"/>
      <c r="M1054" s="17"/>
    </row>
    <row r="1055" spans="1:13" ht="16.8" thickBot="1" x14ac:dyDescent="0.4">
      <c r="A1055" s="1">
        <f>A1045+1</f>
        <v>106</v>
      </c>
      <c r="C1055" s="18" t="s">
        <v>2</v>
      </c>
      <c r="E1055" s="13">
        <f>E1036</f>
        <v>21637</v>
      </c>
      <c r="F1055" s="19">
        <v>1</v>
      </c>
      <c r="G1055" s="20">
        <v>7</v>
      </c>
      <c r="H1055" s="20">
        <v>11</v>
      </c>
      <c r="I1055" s="20">
        <v>13</v>
      </c>
      <c r="J1055" s="20">
        <v>17</v>
      </c>
      <c r="K1055" s="20">
        <v>19</v>
      </c>
      <c r="L1055" s="20">
        <v>23</v>
      </c>
      <c r="M1055" s="21">
        <v>29</v>
      </c>
    </row>
    <row r="1056" spans="1:13" x14ac:dyDescent="0.35">
      <c r="B1056" s="2">
        <v>30</v>
      </c>
      <c r="C1056" s="2">
        <f>D1056+B1056</f>
        <v>3181</v>
      </c>
      <c r="D1056" s="2">
        <f>C1046</f>
        <v>3151</v>
      </c>
      <c r="E1056" s="3">
        <f>D1056*$E$5</f>
        <v>22057</v>
      </c>
      <c r="F1056" s="17">
        <f>(E1056-1)/30</f>
        <v>735.2</v>
      </c>
      <c r="G1056" s="17">
        <f>($E1056-7)/30</f>
        <v>735</v>
      </c>
      <c r="H1056" s="17">
        <f>($E1056-11)/30</f>
        <v>734.86666666666667</v>
      </c>
      <c r="I1056" s="17">
        <f>($E1056-13)/30</f>
        <v>734.8</v>
      </c>
      <c r="J1056" s="17">
        <f>($E1056-17)/30</f>
        <v>734.66666666666663</v>
      </c>
      <c r="K1056" s="17">
        <f>($E1056-19)/30</f>
        <v>734.6</v>
      </c>
      <c r="L1056" s="17">
        <f>($E1056-23)/30</f>
        <v>734.4666666666667</v>
      </c>
      <c r="M1056" s="17">
        <f>($E1056-29)/30</f>
        <v>734.26666666666665</v>
      </c>
    </row>
    <row r="1057" spans="1:13" x14ac:dyDescent="0.35">
      <c r="B1057" s="2">
        <v>30</v>
      </c>
      <c r="C1057" s="2">
        <f t="shared" ref="C1057:C1063" si="1144">D1057+B1057</f>
        <v>3187</v>
      </c>
      <c r="D1057" s="2">
        <f t="shared" ref="D1057:D1063" si="1145">C1047</f>
        <v>3157</v>
      </c>
      <c r="E1057" s="3">
        <f t="shared" ref="E1057:E1063" si="1146">D1057*$E$5</f>
        <v>22099</v>
      </c>
      <c r="F1057" s="17">
        <f t="shared" ref="F1057:F1063" si="1147">(E1057-1)/30</f>
        <v>736.6</v>
      </c>
      <c r="G1057" s="17">
        <f t="shared" ref="G1057:G1063" si="1148">($E1057-7)/30</f>
        <v>736.4</v>
      </c>
      <c r="H1057" s="17">
        <f t="shared" ref="H1057:H1063" si="1149">($E1057-11)/30</f>
        <v>736.26666666666665</v>
      </c>
      <c r="I1057" s="17">
        <f t="shared" ref="I1057:I1063" si="1150">($E1057-13)/30</f>
        <v>736.2</v>
      </c>
      <c r="J1057" s="17">
        <f t="shared" ref="J1057:J1063" si="1151">($E1057-17)/30</f>
        <v>736.06666666666672</v>
      </c>
      <c r="K1057" s="17">
        <f t="shared" ref="K1057:K1063" si="1152">($E1057-19)/30</f>
        <v>736</v>
      </c>
      <c r="L1057" s="17">
        <f t="shared" ref="L1057:L1063" si="1153">($E1057-23)/30</f>
        <v>735.86666666666667</v>
      </c>
      <c r="M1057" s="17">
        <f t="shared" ref="M1057:M1063" si="1154">($E1057-29)/30</f>
        <v>735.66666666666663</v>
      </c>
    </row>
    <row r="1058" spans="1:13" x14ac:dyDescent="0.35">
      <c r="B1058" s="2">
        <v>30</v>
      </c>
      <c r="C1058" s="2">
        <f t="shared" si="1144"/>
        <v>3191</v>
      </c>
      <c r="D1058" s="2">
        <f t="shared" si="1145"/>
        <v>3161</v>
      </c>
      <c r="E1058" s="3">
        <f t="shared" si="1146"/>
        <v>22127</v>
      </c>
      <c r="F1058" s="17">
        <f t="shared" si="1147"/>
        <v>737.5333333333333</v>
      </c>
      <c r="G1058" s="17">
        <f t="shared" si="1148"/>
        <v>737.33333333333337</v>
      </c>
      <c r="H1058" s="17">
        <f t="shared" si="1149"/>
        <v>737.2</v>
      </c>
      <c r="I1058" s="17">
        <f t="shared" si="1150"/>
        <v>737.13333333333333</v>
      </c>
      <c r="J1058" s="17">
        <f t="shared" si="1151"/>
        <v>737</v>
      </c>
      <c r="K1058" s="17">
        <f t="shared" si="1152"/>
        <v>736.93333333333328</v>
      </c>
      <c r="L1058" s="17">
        <f t="shared" si="1153"/>
        <v>736.8</v>
      </c>
      <c r="M1058" s="17">
        <f t="shared" si="1154"/>
        <v>736.6</v>
      </c>
    </row>
    <row r="1059" spans="1:13" x14ac:dyDescent="0.35">
      <c r="B1059" s="2">
        <v>30</v>
      </c>
      <c r="C1059" s="2">
        <f t="shared" si="1144"/>
        <v>3193</v>
      </c>
      <c r="D1059" s="2">
        <f t="shared" si="1145"/>
        <v>3163</v>
      </c>
      <c r="E1059" s="3">
        <f t="shared" si="1146"/>
        <v>22141</v>
      </c>
      <c r="F1059" s="17">
        <f t="shared" si="1147"/>
        <v>738</v>
      </c>
      <c r="G1059" s="17">
        <f t="shared" si="1148"/>
        <v>737.8</v>
      </c>
      <c r="H1059" s="17">
        <f t="shared" si="1149"/>
        <v>737.66666666666663</v>
      </c>
      <c r="I1059" s="17">
        <f t="shared" si="1150"/>
        <v>737.6</v>
      </c>
      <c r="J1059" s="17">
        <f t="shared" si="1151"/>
        <v>737.4666666666667</v>
      </c>
      <c r="K1059" s="17">
        <f t="shared" si="1152"/>
        <v>737.4</v>
      </c>
      <c r="L1059" s="17">
        <f t="shared" si="1153"/>
        <v>737.26666666666665</v>
      </c>
      <c r="M1059" s="17">
        <f t="shared" si="1154"/>
        <v>737.06666666666672</v>
      </c>
    </row>
    <row r="1060" spans="1:13" x14ac:dyDescent="0.35">
      <c r="B1060" s="2">
        <v>30</v>
      </c>
      <c r="C1060" s="2">
        <f t="shared" si="1144"/>
        <v>3197</v>
      </c>
      <c r="D1060" s="2">
        <f t="shared" si="1145"/>
        <v>3167</v>
      </c>
      <c r="E1060" s="3">
        <f t="shared" si="1146"/>
        <v>22169</v>
      </c>
      <c r="F1060" s="17">
        <f t="shared" si="1147"/>
        <v>738.93333333333328</v>
      </c>
      <c r="G1060" s="17">
        <f t="shared" si="1148"/>
        <v>738.73333333333335</v>
      </c>
      <c r="H1060" s="17">
        <f t="shared" si="1149"/>
        <v>738.6</v>
      </c>
      <c r="I1060" s="17">
        <f t="shared" si="1150"/>
        <v>738.5333333333333</v>
      </c>
      <c r="J1060" s="17">
        <f t="shared" si="1151"/>
        <v>738.4</v>
      </c>
      <c r="K1060" s="17">
        <f t="shared" si="1152"/>
        <v>738.33333333333337</v>
      </c>
      <c r="L1060" s="17">
        <f t="shared" si="1153"/>
        <v>738.2</v>
      </c>
      <c r="M1060" s="17">
        <f t="shared" si="1154"/>
        <v>738</v>
      </c>
    </row>
    <row r="1061" spans="1:13" x14ac:dyDescent="0.35">
      <c r="B1061" s="2">
        <v>30</v>
      </c>
      <c r="C1061" s="2">
        <f t="shared" si="1144"/>
        <v>3199</v>
      </c>
      <c r="D1061" s="2">
        <f t="shared" si="1145"/>
        <v>3169</v>
      </c>
      <c r="E1061" s="3">
        <f t="shared" si="1146"/>
        <v>22183</v>
      </c>
      <c r="F1061" s="17">
        <f t="shared" si="1147"/>
        <v>739.4</v>
      </c>
      <c r="G1061" s="17">
        <f t="shared" si="1148"/>
        <v>739.2</v>
      </c>
      <c r="H1061" s="17">
        <f t="shared" si="1149"/>
        <v>739.06666666666672</v>
      </c>
      <c r="I1061" s="17">
        <f t="shared" si="1150"/>
        <v>739</v>
      </c>
      <c r="J1061" s="17">
        <f t="shared" si="1151"/>
        <v>738.86666666666667</v>
      </c>
      <c r="K1061" s="17">
        <f t="shared" si="1152"/>
        <v>738.8</v>
      </c>
      <c r="L1061" s="17">
        <f t="shared" si="1153"/>
        <v>738.66666666666663</v>
      </c>
      <c r="M1061" s="17">
        <f t="shared" si="1154"/>
        <v>738.4666666666667</v>
      </c>
    </row>
    <row r="1062" spans="1:13" x14ac:dyDescent="0.35">
      <c r="B1062" s="2">
        <v>30</v>
      </c>
      <c r="C1062" s="2">
        <f t="shared" si="1144"/>
        <v>3203</v>
      </c>
      <c r="D1062" s="2">
        <f t="shared" si="1145"/>
        <v>3173</v>
      </c>
      <c r="E1062" s="3">
        <f t="shared" si="1146"/>
        <v>22211</v>
      </c>
      <c r="F1062" s="17">
        <f t="shared" si="1147"/>
        <v>740.33333333333337</v>
      </c>
      <c r="G1062" s="17">
        <f t="shared" si="1148"/>
        <v>740.13333333333333</v>
      </c>
      <c r="H1062" s="17">
        <f t="shared" si="1149"/>
        <v>740</v>
      </c>
      <c r="I1062" s="17">
        <f t="shared" si="1150"/>
        <v>739.93333333333328</v>
      </c>
      <c r="J1062" s="17">
        <f t="shared" si="1151"/>
        <v>739.8</v>
      </c>
      <c r="K1062" s="17">
        <f t="shared" si="1152"/>
        <v>739.73333333333335</v>
      </c>
      <c r="L1062" s="17">
        <f t="shared" si="1153"/>
        <v>739.6</v>
      </c>
      <c r="M1062" s="17">
        <f t="shared" si="1154"/>
        <v>739.4</v>
      </c>
    </row>
    <row r="1063" spans="1:13" x14ac:dyDescent="0.35">
      <c r="B1063" s="2">
        <v>30</v>
      </c>
      <c r="C1063" s="2">
        <f t="shared" si="1144"/>
        <v>3209</v>
      </c>
      <c r="D1063" s="2">
        <f t="shared" si="1145"/>
        <v>3179</v>
      </c>
      <c r="E1063" s="3">
        <f t="shared" si="1146"/>
        <v>22253</v>
      </c>
      <c r="F1063" s="17">
        <f t="shared" si="1147"/>
        <v>741.73333333333335</v>
      </c>
      <c r="G1063" s="17">
        <f t="shared" si="1148"/>
        <v>741.5333333333333</v>
      </c>
      <c r="H1063" s="17">
        <f t="shared" si="1149"/>
        <v>741.4</v>
      </c>
      <c r="I1063" s="17">
        <f t="shared" si="1150"/>
        <v>741.33333333333337</v>
      </c>
      <c r="J1063" s="17">
        <f t="shared" si="1151"/>
        <v>741.2</v>
      </c>
      <c r="K1063" s="17">
        <f t="shared" si="1152"/>
        <v>741.13333333333333</v>
      </c>
      <c r="L1063" s="17">
        <f t="shared" si="1153"/>
        <v>741</v>
      </c>
      <c r="M1063" s="17">
        <f t="shared" si="1154"/>
        <v>740.8</v>
      </c>
    </row>
    <row r="1064" spans="1:13" ht="16.8" thickBot="1" x14ac:dyDescent="0.4">
      <c r="F1064" s="17"/>
      <c r="G1064" s="17"/>
      <c r="H1064" s="17"/>
      <c r="I1064" s="17"/>
      <c r="J1064" s="17"/>
      <c r="K1064" s="17"/>
      <c r="L1064" s="17"/>
      <c r="M1064" s="17"/>
    </row>
    <row r="1065" spans="1:13" ht="16.8" thickBot="1" x14ac:dyDescent="0.4">
      <c r="A1065" s="1">
        <f>A1055+1</f>
        <v>107</v>
      </c>
      <c r="C1065" s="18" t="s">
        <v>2</v>
      </c>
      <c r="E1065" s="13">
        <f>E1046</f>
        <v>21847</v>
      </c>
      <c r="F1065" s="19">
        <v>1</v>
      </c>
      <c r="G1065" s="20">
        <v>7</v>
      </c>
      <c r="H1065" s="20">
        <v>11</v>
      </c>
      <c r="I1065" s="20">
        <v>13</v>
      </c>
      <c r="J1065" s="20">
        <v>17</v>
      </c>
      <c r="K1065" s="20">
        <v>19</v>
      </c>
      <c r="L1065" s="20">
        <v>23</v>
      </c>
      <c r="M1065" s="21">
        <v>29</v>
      </c>
    </row>
    <row r="1066" spans="1:13" x14ac:dyDescent="0.35">
      <c r="B1066" s="2">
        <v>30</v>
      </c>
      <c r="C1066" s="2">
        <f>D1066+B1066</f>
        <v>3211</v>
      </c>
      <c r="D1066" s="2">
        <f>C1056</f>
        <v>3181</v>
      </c>
      <c r="E1066" s="3">
        <f>D1066*$E$5</f>
        <v>22267</v>
      </c>
      <c r="F1066" s="17">
        <f>(E1066-1)/30</f>
        <v>742.2</v>
      </c>
      <c r="G1066" s="17">
        <f>($E1066-7)/30</f>
        <v>742</v>
      </c>
      <c r="H1066" s="17">
        <f>($E1066-11)/30</f>
        <v>741.86666666666667</v>
      </c>
      <c r="I1066" s="17">
        <f>($E1066-13)/30</f>
        <v>741.8</v>
      </c>
      <c r="J1066" s="17">
        <f>($E1066-17)/30</f>
        <v>741.66666666666663</v>
      </c>
      <c r="K1066" s="17">
        <f>($E1066-19)/30</f>
        <v>741.6</v>
      </c>
      <c r="L1066" s="17">
        <f>($E1066-23)/30</f>
        <v>741.4666666666667</v>
      </c>
      <c r="M1066" s="17">
        <f>($E1066-29)/30</f>
        <v>741.26666666666665</v>
      </c>
    </row>
    <row r="1067" spans="1:13" x14ac:dyDescent="0.35">
      <c r="B1067" s="2">
        <v>30</v>
      </c>
      <c r="C1067" s="2">
        <f t="shared" ref="C1067:C1073" si="1155">D1067+B1067</f>
        <v>3217</v>
      </c>
      <c r="D1067" s="2">
        <f t="shared" ref="D1067:D1073" si="1156">C1057</f>
        <v>3187</v>
      </c>
      <c r="E1067" s="3">
        <f t="shared" ref="E1067:E1073" si="1157">D1067*$E$5</f>
        <v>22309</v>
      </c>
      <c r="F1067" s="17">
        <f t="shared" ref="F1067:F1073" si="1158">(E1067-1)/30</f>
        <v>743.6</v>
      </c>
      <c r="G1067" s="17">
        <f t="shared" ref="G1067:G1073" si="1159">($E1067-7)/30</f>
        <v>743.4</v>
      </c>
      <c r="H1067" s="17">
        <f t="shared" ref="H1067:H1073" si="1160">($E1067-11)/30</f>
        <v>743.26666666666665</v>
      </c>
      <c r="I1067" s="17">
        <f t="shared" ref="I1067:I1073" si="1161">($E1067-13)/30</f>
        <v>743.2</v>
      </c>
      <c r="J1067" s="17">
        <f t="shared" ref="J1067:J1073" si="1162">($E1067-17)/30</f>
        <v>743.06666666666672</v>
      </c>
      <c r="K1067" s="17">
        <f t="shared" ref="K1067:K1073" si="1163">($E1067-19)/30</f>
        <v>743</v>
      </c>
      <c r="L1067" s="17">
        <f t="shared" ref="L1067:L1073" si="1164">($E1067-23)/30</f>
        <v>742.86666666666667</v>
      </c>
      <c r="M1067" s="17">
        <f t="shared" ref="M1067:M1073" si="1165">($E1067-29)/30</f>
        <v>742.66666666666663</v>
      </c>
    </row>
    <row r="1068" spans="1:13" x14ac:dyDescent="0.35">
      <c r="B1068" s="2">
        <v>30</v>
      </c>
      <c r="C1068" s="2">
        <f t="shared" si="1155"/>
        <v>3221</v>
      </c>
      <c r="D1068" s="2">
        <f t="shared" si="1156"/>
        <v>3191</v>
      </c>
      <c r="E1068" s="3">
        <f t="shared" si="1157"/>
        <v>22337</v>
      </c>
      <c r="F1068" s="17">
        <f t="shared" si="1158"/>
        <v>744.5333333333333</v>
      </c>
      <c r="G1068" s="17">
        <f t="shared" si="1159"/>
        <v>744.33333333333337</v>
      </c>
      <c r="H1068" s="17">
        <f t="shared" si="1160"/>
        <v>744.2</v>
      </c>
      <c r="I1068" s="17">
        <f t="shared" si="1161"/>
        <v>744.13333333333333</v>
      </c>
      <c r="J1068" s="17">
        <f t="shared" si="1162"/>
        <v>744</v>
      </c>
      <c r="K1068" s="17">
        <f t="shared" si="1163"/>
        <v>743.93333333333328</v>
      </c>
      <c r="L1068" s="17">
        <f t="shared" si="1164"/>
        <v>743.8</v>
      </c>
      <c r="M1068" s="17">
        <f t="shared" si="1165"/>
        <v>743.6</v>
      </c>
    </row>
    <row r="1069" spans="1:13" x14ac:dyDescent="0.35">
      <c r="B1069" s="2">
        <v>30</v>
      </c>
      <c r="C1069" s="2">
        <f t="shared" si="1155"/>
        <v>3223</v>
      </c>
      <c r="D1069" s="2">
        <f t="shared" si="1156"/>
        <v>3193</v>
      </c>
      <c r="E1069" s="3">
        <f t="shared" si="1157"/>
        <v>22351</v>
      </c>
      <c r="F1069" s="17">
        <f t="shared" si="1158"/>
        <v>745</v>
      </c>
      <c r="G1069" s="17">
        <f t="shared" si="1159"/>
        <v>744.8</v>
      </c>
      <c r="H1069" s="17">
        <f t="shared" si="1160"/>
        <v>744.66666666666663</v>
      </c>
      <c r="I1069" s="17">
        <f t="shared" si="1161"/>
        <v>744.6</v>
      </c>
      <c r="J1069" s="17">
        <f t="shared" si="1162"/>
        <v>744.4666666666667</v>
      </c>
      <c r="K1069" s="17">
        <f t="shared" si="1163"/>
        <v>744.4</v>
      </c>
      <c r="L1069" s="17">
        <f t="shared" si="1164"/>
        <v>744.26666666666665</v>
      </c>
      <c r="M1069" s="17">
        <f t="shared" si="1165"/>
        <v>744.06666666666672</v>
      </c>
    </row>
    <row r="1070" spans="1:13" x14ac:dyDescent="0.35">
      <c r="B1070" s="2">
        <v>30</v>
      </c>
      <c r="C1070" s="2">
        <f t="shared" si="1155"/>
        <v>3227</v>
      </c>
      <c r="D1070" s="2">
        <f t="shared" si="1156"/>
        <v>3197</v>
      </c>
      <c r="E1070" s="3">
        <f t="shared" si="1157"/>
        <v>22379</v>
      </c>
      <c r="F1070" s="17">
        <f t="shared" si="1158"/>
        <v>745.93333333333328</v>
      </c>
      <c r="G1070" s="17">
        <f t="shared" si="1159"/>
        <v>745.73333333333335</v>
      </c>
      <c r="H1070" s="17">
        <f t="shared" si="1160"/>
        <v>745.6</v>
      </c>
      <c r="I1070" s="17">
        <f t="shared" si="1161"/>
        <v>745.5333333333333</v>
      </c>
      <c r="J1070" s="17">
        <f t="shared" si="1162"/>
        <v>745.4</v>
      </c>
      <c r="K1070" s="17">
        <f t="shared" si="1163"/>
        <v>745.33333333333337</v>
      </c>
      <c r="L1070" s="17">
        <f t="shared" si="1164"/>
        <v>745.2</v>
      </c>
      <c r="M1070" s="17">
        <f t="shared" si="1165"/>
        <v>745</v>
      </c>
    </row>
    <row r="1071" spans="1:13" x14ac:dyDescent="0.35">
      <c r="B1071" s="2">
        <v>30</v>
      </c>
      <c r="C1071" s="2">
        <f t="shared" si="1155"/>
        <v>3229</v>
      </c>
      <c r="D1071" s="2">
        <f t="shared" si="1156"/>
        <v>3199</v>
      </c>
      <c r="E1071" s="3">
        <f t="shared" si="1157"/>
        <v>22393</v>
      </c>
      <c r="F1071" s="17">
        <f t="shared" si="1158"/>
        <v>746.4</v>
      </c>
      <c r="G1071" s="17">
        <f t="shared" si="1159"/>
        <v>746.2</v>
      </c>
      <c r="H1071" s="17">
        <f t="shared" si="1160"/>
        <v>746.06666666666672</v>
      </c>
      <c r="I1071" s="17">
        <f t="shared" si="1161"/>
        <v>746</v>
      </c>
      <c r="J1071" s="17">
        <f t="shared" si="1162"/>
        <v>745.86666666666667</v>
      </c>
      <c r="K1071" s="17">
        <f t="shared" si="1163"/>
        <v>745.8</v>
      </c>
      <c r="L1071" s="17">
        <f t="shared" si="1164"/>
        <v>745.66666666666663</v>
      </c>
      <c r="M1071" s="17">
        <f t="shared" si="1165"/>
        <v>745.4666666666667</v>
      </c>
    </row>
    <row r="1072" spans="1:13" x14ac:dyDescent="0.35">
      <c r="B1072" s="2">
        <v>30</v>
      </c>
      <c r="C1072" s="2">
        <f t="shared" si="1155"/>
        <v>3233</v>
      </c>
      <c r="D1072" s="2">
        <f t="shared" si="1156"/>
        <v>3203</v>
      </c>
      <c r="E1072" s="3">
        <f t="shared" si="1157"/>
        <v>22421</v>
      </c>
      <c r="F1072" s="17">
        <f t="shared" si="1158"/>
        <v>747.33333333333337</v>
      </c>
      <c r="G1072" s="17">
        <f t="shared" si="1159"/>
        <v>747.13333333333333</v>
      </c>
      <c r="H1072" s="17">
        <f t="shared" si="1160"/>
        <v>747</v>
      </c>
      <c r="I1072" s="17">
        <f t="shared" si="1161"/>
        <v>746.93333333333328</v>
      </c>
      <c r="J1072" s="17">
        <f t="shared" si="1162"/>
        <v>746.8</v>
      </c>
      <c r="K1072" s="17">
        <f t="shared" si="1163"/>
        <v>746.73333333333335</v>
      </c>
      <c r="L1072" s="17">
        <f t="shared" si="1164"/>
        <v>746.6</v>
      </c>
      <c r="M1072" s="17">
        <f t="shared" si="1165"/>
        <v>746.4</v>
      </c>
    </row>
    <row r="1073" spans="1:13" x14ac:dyDescent="0.35">
      <c r="B1073" s="2">
        <v>30</v>
      </c>
      <c r="C1073" s="2">
        <f t="shared" si="1155"/>
        <v>3239</v>
      </c>
      <c r="D1073" s="2">
        <f t="shared" si="1156"/>
        <v>3209</v>
      </c>
      <c r="E1073" s="3">
        <f t="shared" si="1157"/>
        <v>22463</v>
      </c>
      <c r="F1073" s="17">
        <f t="shared" si="1158"/>
        <v>748.73333333333335</v>
      </c>
      <c r="G1073" s="17">
        <f t="shared" si="1159"/>
        <v>748.5333333333333</v>
      </c>
      <c r="H1073" s="17">
        <f t="shared" si="1160"/>
        <v>748.4</v>
      </c>
      <c r="I1073" s="17">
        <f t="shared" si="1161"/>
        <v>748.33333333333337</v>
      </c>
      <c r="J1073" s="17">
        <f t="shared" si="1162"/>
        <v>748.2</v>
      </c>
      <c r="K1073" s="17">
        <f t="shared" si="1163"/>
        <v>748.13333333333333</v>
      </c>
      <c r="L1073" s="17">
        <f t="shared" si="1164"/>
        <v>748</v>
      </c>
      <c r="M1073" s="17">
        <f t="shared" si="1165"/>
        <v>747.8</v>
      </c>
    </row>
    <row r="1074" spans="1:13" ht="16.8" thickBot="1" x14ac:dyDescent="0.4">
      <c r="F1074" s="17"/>
      <c r="G1074" s="17"/>
      <c r="H1074" s="17"/>
      <c r="I1074" s="17"/>
      <c r="J1074" s="17"/>
      <c r="K1074" s="17"/>
      <c r="L1074" s="17"/>
      <c r="M1074" s="17"/>
    </row>
    <row r="1075" spans="1:13" ht="16.8" thickBot="1" x14ac:dyDescent="0.4">
      <c r="A1075" s="1">
        <f>A1065+1</f>
        <v>108</v>
      </c>
      <c r="C1075" s="18" t="s">
        <v>2</v>
      </c>
      <c r="E1075" s="13">
        <f>E1056</f>
        <v>22057</v>
      </c>
      <c r="F1075" s="19">
        <v>1</v>
      </c>
      <c r="G1075" s="20">
        <v>7</v>
      </c>
      <c r="H1075" s="20">
        <v>11</v>
      </c>
      <c r="I1075" s="20">
        <v>13</v>
      </c>
      <c r="J1075" s="20">
        <v>17</v>
      </c>
      <c r="K1075" s="20">
        <v>19</v>
      </c>
      <c r="L1075" s="20">
        <v>23</v>
      </c>
      <c r="M1075" s="21">
        <v>29</v>
      </c>
    </row>
    <row r="1076" spans="1:13" x14ac:dyDescent="0.35">
      <c r="B1076" s="2">
        <v>30</v>
      </c>
      <c r="C1076" s="2">
        <f>D1076+B1076</f>
        <v>3241</v>
      </c>
      <c r="D1076" s="2">
        <f>C1066</f>
        <v>3211</v>
      </c>
      <c r="E1076" s="3">
        <f>D1076*$E$5</f>
        <v>22477</v>
      </c>
      <c r="F1076" s="17">
        <f>(E1076-1)/30</f>
        <v>749.2</v>
      </c>
      <c r="G1076" s="17">
        <f>($E1076-7)/30</f>
        <v>749</v>
      </c>
      <c r="H1076" s="17">
        <f>($E1076-11)/30</f>
        <v>748.86666666666667</v>
      </c>
      <c r="I1076" s="17">
        <f>($E1076-13)/30</f>
        <v>748.8</v>
      </c>
      <c r="J1076" s="17">
        <f>($E1076-17)/30</f>
        <v>748.66666666666663</v>
      </c>
      <c r="K1076" s="17">
        <f>($E1076-19)/30</f>
        <v>748.6</v>
      </c>
      <c r="L1076" s="17">
        <f>($E1076-23)/30</f>
        <v>748.4666666666667</v>
      </c>
      <c r="M1076" s="17">
        <f>($E1076-29)/30</f>
        <v>748.26666666666665</v>
      </c>
    </row>
    <row r="1077" spans="1:13" x14ac:dyDescent="0.35">
      <c r="B1077" s="2">
        <v>30</v>
      </c>
      <c r="C1077" s="2">
        <f t="shared" ref="C1077:C1083" si="1166">D1077+B1077</f>
        <v>3247</v>
      </c>
      <c r="D1077" s="2">
        <f t="shared" ref="D1077:D1083" si="1167">C1067</f>
        <v>3217</v>
      </c>
      <c r="E1077" s="3">
        <f t="shared" ref="E1077:E1083" si="1168">D1077*$E$5</f>
        <v>22519</v>
      </c>
      <c r="F1077" s="17">
        <f t="shared" ref="F1077:F1083" si="1169">(E1077-1)/30</f>
        <v>750.6</v>
      </c>
      <c r="G1077" s="17">
        <f t="shared" ref="G1077:G1083" si="1170">($E1077-7)/30</f>
        <v>750.4</v>
      </c>
      <c r="H1077" s="17">
        <f t="shared" ref="H1077:H1083" si="1171">($E1077-11)/30</f>
        <v>750.26666666666665</v>
      </c>
      <c r="I1077" s="17">
        <f t="shared" ref="I1077:I1083" si="1172">($E1077-13)/30</f>
        <v>750.2</v>
      </c>
      <c r="J1077" s="17">
        <f t="shared" ref="J1077:J1083" si="1173">($E1077-17)/30</f>
        <v>750.06666666666672</v>
      </c>
      <c r="K1077" s="17">
        <f t="shared" ref="K1077:K1083" si="1174">($E1077-19)/30</f>
        <v>750</v>
      </c>
      <c r="L1077" s="17">
        <f t="shared" ref="L1077:L1083" si="1175">($E1077-23)/30</f>
        <v>749.86666666666667</v>
      </c>
      <c r="M1077" s="17">
        <f t="shared" ref="M1077:M1083" si="1176">($E1077-29)/30</f>
        <v>749.66666666666663</v>
      </c>
    </row>
    <row r="1078" spans="1:13" x14ac:dyDescent="0.35">
      <c r="B1078" s="2">
        <v>30</v>
      </c>
      <c r="C1078" s="2">
        <f t="shared" si="1166"/>
        <v>3251</v>
      </c>
      <c r="D1078" s="2">
        <f t="shared" si="1167"/>
        <v>3221</v>
      </c>
      <c r="E1078" s="3">
        <f t="shared" si="1168"/>
        <v>22547</v>
      </c>
      <c r="F1078" s="17">
        <f t="shared" si="1169"/>
        <v>751.5333333333333</v>
      </c>
      <c r="G1078" s="17">
        <f t="shared" si="1170"/>
        <v>751.33333333333337</v>
      </c>
      <c r="H1078" s="17">
        <f t="shared" si="1171"/>
        <v>751.2</v>
      </c>
      <c r="I1078" s="17">
        <f t="shared" si="1172"/>
        <v>751.13333333333333</v>
      </c>
      <c r="J1078" s="17">
        <f t="shared" si="1173"/>
        <v>751</v>
      </c>
      <c r="K1078" s="17">
        <f t="shared" si="1174"/>
        <v>750.93333333333328</v>
      </c>
      <c r="L1078" s="17">
        <f t="shared" si="1175"/>
        <v>750.8</v>
      </c>
      <c r="M1078" s="17">
        <f t="shared" si="1176"/>
        <v>750.6</v>
      </c>
    </row>
    <row r="1079" spans="1:13" x14ac:dyDescent="0.35">
      <c r="B1079" s="2">
        <v>30</v>
      </c>
      <c r="C1079" s="2">
        <f t="shared" si="1166"/>
        <v>3253</v>
      </c>
      <c r="D1079" s="2">
        <f t="shared" si="1167"/>
        <v>3223</v>
      </c>
      <c r="E1079" s="3">
        <f t="shared" si="1168"/>
        <v>22561</v>
      </c>
      <c r="F1079" s="17">
        <f t="shared" si="1169"/>
        <v>752</v>
      </c>
      <c r="G1079" s="17">
        <f t="shared" si="1170"/>
        <v>751.8</v>
      </c>
      <c r="H1079" s="17">
        <f t="shared" si="1171"/>
        <v>751.66666666666663</v>
      </c>
      <c r="I1079" s="17">
        <f t="shared" si="1172"/>
        <v>751.6</v>
      </c>
      <c r="J1079" s="17">
        <f t="shared" si="1173"/>
        <v>751.4666666666667</v>
      </c>
      <c r="K1079" s="17">
        <f t="shared" si="1174"/>
        <v>751.4</v>
      </c>
      <c r="L1079" s="17">
        <f t="shared" si="1175"/>
        <v>751.26666666666665</v>
      </c>
      <c r="M1079" s="17">
        <f t="shared" si="1176"/>
        <v>751.06666666666672</v>
      </c>
    </row>
    <row r="1080" spans="1:13" x14ac:dyDescent="0.35">
      <c r="B1080" s="2">
        <v>30</v>
      </c>
      <c r="C1080" s="2">
        <f t="shared" si="1166"/>
        <v>3257</v>
      </c>
      <c r="D1080" s="2">
        <f t="shared" si="1167"/>
        <v>3227</v>
      </c>
      <c r="E1080" s="3">
        <f t="shared" si="1168"/>
        <v>22589</v>
      </c>
      <c r="F1080" s="17">
        <f t="shared" si="1169"/>
        <v>752.93333333333328</v>
      </c>
      <c r="G1080" s="17">
        <f t="shared" si="1170"/>
        <v>752.73333333333335</v>
      </c>
      <c r="H1080" s="17">
        <f t="shared" si="1171"/>
        <v>752.6</v>
      </c>
      <c r="I1080" s="17">
        <f t="shared" si="1172"/>
        <v>752.5333333333333</v>
      </c>
      <c r="J1080" s="17">
        <f t="shared" si="1173"/>
        <v>752.4</v>
      </c>
      <c r="K1080" s="17">
        <f t="shared" si="1174"/>
        <v>752.33333333333337</v>
      </c>
      <c r="L1080" s="17">
        <f t="shared" si="1175"/>
        <v>752.2</v>
      </c>
      <c r="M1080" s="17">
        <f t="shared" si="1176"/>
        <v>752</v>
      </c>
    </row>
    <row r="1081" spans="1:13" x14ac:dyDescent="0.35">
      <c r="B1081" s="2">
        <v>30</v>
      </c>
      <c r="C1081" s="2">
        <f t="shared" si="1166"/>
        <v>3259</v>
      </c>
      <c r="D1081" s="2">
        <f t="shared" si="1167"/>
        <v>3229</v>
      </c>
      <c r="E1081" s="3">
        <f t="shared" si="1168"/>
        <v>22603</v>
      </c>
      <c r="F1081" s="17">
        <f t="shared" si="1169"/>
        <v>753.4</v>
      </c>
      <c r="G1081" s="17">
        <f t="shared" si="1170"/>
        <v>753.2</v>
      </c>
      <c r="H1081" s="17">
        <f t="shared" si="1171"/>
        <v>753.06666666666672</v>
      </c>
      <c r="I1081" s="17">
        <f t="shared" si="1172"/>
        <v>753</v>
      </c>
      <c r="J1081" s="17">
        <f t="shared" si="1173"/>
        <v>752.86666666666667</v>
      </c>
      <c r="K1081" s="17">
        <f t="shared" si="1174"/>
        <v>752.8</v>
      </c>
      <c r="L1081" s="17">
        <f t="shared" si="1175"/>
        <v>752.66666666666663</v>
      </c>
      <c r="M1081" s="17">
        <f t="shared" si="1176"/>
        <v>752.4666666666667</v>
      </c>
    </row>
    <row r="1082" spans="1:13" x14ac:dyDescent="0.35">
      <c r="B1082" s="2">
        <v>30</v>
      </c>
      <c r="C1082" s="2">
        <f t="shared" si="1166"/>
        <v>3263</v>
      </c>
      <c r="D1082" s="2">
        <f t="shared" si="1167"/>
        <v>3233</v>
      </c>
      <c r="E1082" s="3">
        <f t="shared" si="1168"/>
        <v>22631</v>
      </c>
      <c r="F1082" s="17">
        <f t="shared" si="1169"/>
        <v>754.33333333333337</v>
      </c>
      <c r="G1082" s="17">
        <f t="shared" si="1170"/>
        <v>754.13333333333333</v>
      </c>
      <c r="H1082" s="17">
        <f t="shared" si="1171"/>
        <v>754</v>
      </c>
      <c r="I1082" s="17">
        <f t="shared" si="1172"/>
        <v>753.93333333333328</v>
      </c>
      <c r="J1082" s="17">
        <f t="shared" si="1173"/>
        <v>753.8</v>
      </c>
      <c r="K1082" s="17">
        <f t="shared" si="1174"/>
        <v>753.73333333333335</v>
      </c>
      <c r="L1082" s="17">
        <f t="shared" si="1175"/>
        <v>753.6</v>
      </c>
      <c r="M1082" s="17">
        <f t="shared" si="1176"/>
        <v>753.4</v>
      </c>
    </row>
    <row r="1083" spans="1:13" x14ac:dyDescent="0.35">
      <c r="B1083" s="2">
        <v>30</v>
      </c>
      <c r="C1083" s="2">
        <f t="shared" si="1166"/>
        <v>3269</v>
      </c>
      <c r="D1083" s="2">
        <f t="shared" si="1167"/>
        <v>3239</v>
      </c>
      <c r="E1083" s="3">
        <f t="shared" si="1168"/>
        <v>22673</v>
      </c>
      <c r="F1083" s="17">
        <f t="shared" si="1169"/>
        <v>755.73333333333335</v>
      </c>
      <c r="G1083" s="17">
        <f t="shared" si="1170"/>
        <v>755.5333333333333</v>
      </c>
      <c r="H1083" s="17">
        <f t="shared" si="1171"/>
        <v>755.4</v>
      </c>
      <c r="I1083" s="17">
        <f t="shared" si="1172"/>
        <v>755.33333333333337</v>
      </c>
      <c r="J1083" s="17">
        <f t="shared" si="1173"/>
        <v>755.2</v>
      </c>
      <c r="K1083" s="17">
        <f t="shared" si="1174"/>
        <v>755.13333333333333</v>
      </c>
      <c r="L1083" s="17">
        <f t="shared" si="1175"/>
        <v>755</v>
      </c>
      <c r="M1083" s="17">
        <f t="shared" si="1176"/>
        <v>754.8</v>
      </c>
    </row>
    <row r="1084" spans="1:13" ht="16.8" thickBot="1" x14ac:dyDescent="0.4">
      <c r="F1084" s="17"/>
      <c r="G1084" s="17"/>
      <c r="H1084" s="17"/>
      <c r="I1084" s="17"/>
      <c r="J1084" s="17"/>
      <c r="K1084" s="17"/>
      <c r="L1084" s="17"/>
      <c r="M1084" s="17"/>
    </row>
    <row r="1085" spans="1:13" ht="16.8" thickBot="1" x14ac:dyDescent="0.4">
      <c r="A1085" s="1">
        <f>A1075+1</f>
        <v>109</v>
      </c>
      <c r="C1085" s="18" t="s">
        <v>2</v>
      </c>
      <c r="E1085" s="13">
        <f>E1066</f>
        <v>22267</v>
      </c>
      <c r="F1085" s="19">
        <v>1</v>
      </c>
      <c r="G1085" s="20">
        <v>7</v>
      </c>
      <c r="H1085" s="20">
        <v>11</v>
      </c>
      <c r="I1085" s="20">
        <v>13</v>
      </c>
      <c r="J1085" s="20">
        <v>17</v>
      </c>
      <c r="K1085" s="20">
        <v>19</v>
      </c>
      <c r="L1085" s="20">
        <v>23</v>
      </c>
      <c r="M1085" s="21">
        <v>29</v>
      </c>
    </row>
    <row r="1086" spans="1:13" x14ac:dyDescent="0.35">
      <c r="B1086" s="2">
        <v>30</v>
      </c>
      <c r="C1086" s="2">
        <f>D1086+B1086</f>
        <v>3271</v>
      </c>
      <c r="D1086" s="2">
        <f>C1076</f>
        <v>3241</v>
      </c>
      <c r="E1086" s="3">
        <f>D1086*$E$5</f>
        <v>22687</v>
      </c>
      <c r="F1086" s="17">
        <f>(E1086-1)/30</f>
        <v>756.2</v>
      </c>
      <c r="G1086" s="17">
        <f>($E1086-7)/30</f>
        <v>756</v>
      </c>
      <c r="H1086" s="17">
        <f>($E1086-11)/30</f>
        <v>755.86666666666667</v>
      </c>
      <c r="I1086" s="17">
        <f>($E1086-13)/30</f>
        <v>755.8</v>
      </c>
      <c r="J1086" s="17">
        <f>($E1086-17)/30</f>
        <v>755.66666666666663</v>
      </c>
      <c r="K1086" s="17">
        <f>($E1086-19)/30</f>
        <v>755.6</v>
      </c>
      <c r="L1086" s="17">
        <f>($E1086-23)/30</f>
        <v>755.4666666666667</v>
      </c>
      <c r="M1086" s="17">
        <f>($E1086-29)/30</f>
        <v>755.26666666666665</v>
      </c>
    </row>
    <row r="1087" spans="1:13" x14ac:dyDescent="0.35">
      <c r="B1087" s="2">
        <v>30</v>
      </c>
      <c r="C1087" s="2">
        <f t="shared" ref="C1087:C1093" si="1177">D1087+B1087</f>
        <v>3277</v>
      </c>
      <c r="D1087" s="2">
        <f t="shared" ref="D1087:D1093" si="1178">C1077</f>
        <v>3247</v>
      </c>
      <c r="E1087" s="3">
        <f t="shared" ref="E1087:E1093" si="1179">D1087*$E$5</f>
        <v>22729</v>
      </c>
      <c r="F1087" s="17">
        <f t="shared" ref="F1087:F1093" si="1180">(E1087-1)/30</f>
        <v>757.6</v>
      </c>
      <c r="G1087" s="17">
        <f t="shared" ref="G1087:G1093" si="1181">($E1087-7)/30</f>
        <v>757.4</v>
      </c>
      <c r="H1087" s="17">
        <f t="shared" ref="H1087:H1093" si="1182">($E1087-11)/30</f>
        <v>757.26666666666665</v>
      </c>
      <c r="I1087" s="17">
        <f t="shared" ref="I1087:I1093" si="1183">($E1087-13)/30</f>
        <v>757.2</v>
      </c>
      <c r="J1087" s="17">
        <f t="shared" ref="J1087:J1093" si="1184">($E1087-17)/30</f>
        <v>757.06666666666672</v>
      </c>
      <c r="K1087" s="17">
        <f t="shared" ref="K1087:K1093" si="1185">($E1087-19)/30</f>
        <v>757</v>
      </c>
      <c r="L1087" s="17">
        <f t="shared" ref="L1087:L1093" si="1186">($E1087-23)/30</f>
        <v>756.86666666666667</v>
      </c>
      <c r="M1087" s="17">
        <f t="shared" ref="M1087:M1093" si="1187">($E1087-29)/30</f>
        <v>756.66666666666663</v>
      </c>
    </row>
    <row r="1088" spans="1:13" x14ac:dyDescent="0.35">
      <c r="B1088" s="2">
        <v>30</v>
      </c>
      <c r="C1088" s="2">
        <f t="shared" si="1177"/>
        <v>3281</v>
      </c>
      <c r="D1088" s="2">
        <f t="shared" si="1178"/>
        <v>3251</v>
      </c>
      <c r="E1088" s="3">
        <f t="shared" si="1179"/>
        <v>22757</v>
      </c>
      <c r="F1088" s="17">
        <f t="shared" si="1180"/>
        <v>758.5333333333333</v>
      </c>
      <c r="G1088" s="17">
        <f t="shared" si="1181"/>
        <v>758.33333333333337</v>
      </c>
      <c r="H1088" s="17">
        <f t="shared" si="1182"/>
        <v>758.2</v>
      </c>
      <c r="I1088" s="17">
        <f t="shared" si="1183"/>
        <v>758.13333333333333</v>
      </c>
      <c r="J1088" s="17">
        <f t="shared" si="1184"/>
        <v>758</v>
      </c>
      <c r="K1088" s="17">
        <f t="shared" si="1185"/>
        <v>757.93333333333328</v>
      </c>
      <c r="L1088" s="17">
        <f t="shared" si="1186"/>
        <v>757.8</v>
      </c>
      <c r="M1088" s="17">
        <f t="shared" si="1187"/>
        <v>757.6</v>
      </c>
    </row>
    <row r="1089" spans="1:13" x14ac:dyDescent="0.35">
      <c r="B1089" s="2">
        <v>30</v>
      </c>
      <c r="C1089" s="2">
        <f t="shared" si="1177"/>
        <v>3283</v>
      </c>
      <c r="D1089" s="2">
        <f t="shared" si="1178"/>
        <v>3253</v>
      </c>
      <c r="E1089" s="3">
        <f t="shared" si="1179"/>
        <v>22771</v>
      </c>
      <c r="F1089" s="17">
        <f t="shared" si="1180"/>
        <v>759</v>
      </c>
      <c r="G1089" s="17">
        <f t="shared" si="1181"/>
        <v>758.8</v>
      </c>
      <c r="H1089" s="17">
        <f t="shared" si="1182"/>
        <v>758.66666666666663</v>
      </c>
      <c r="I1089" s="17">
        <f t="shared" si="1183"/>
        <v>758.6</v>
      </c>
      <c r="J1089" s="17">
        <f t="shared" si="1184"/>
        <v>758.4666666666667</v>
      </c>
      <c r="K1089" s="17">
        <f t="shared" si="1185"/>
        <v>758.4</v>
      </c>
      <c r="L1089" s="17">
        <f t="shared" si="1186"/>
        <v>758.26666666666665</v>
      </c>
      <c r="M1089" s="17">
        <f t="shared" si="1187"/>
        <v>758.06666666666672</v>
      </c>
    </row>
    <row r="1090" spans="1:13" x14ac:dyDescent="0.35">
      <c r="B1090" s="2">
        <v>30</v>
      </c>
      <c r="C1090" s="2">
        <f t="shared" si="1177"/>
        <v>3287</v>
      </c>
      <c r="D1090" s="2">
        <f t="shared" si="1178"/>
        <v>3257</v>
      </c>
      <c r="E1090" s="3">
        <f t="shared" si="1179"/>
        <v>22799</v>
      </c>
      <c r="F1090" s="17">
        <f t="shared" si="1180"/>
        <v>759.93333333333328</v>
      </c>
      <c r="G1090" s="17">
        <f t="shared" si="1181"/>
        <v>759.73333333333335</v>
      </c>
      <c r="H1090" s="17">
        <f t="shared" si="1182"/>
        <v>759.6</v>
      </c>
      <c r="I1090" s="17">
        <f t="shared" si="1183"/>
        <v>759.5333333333333</v>
      </c>
      <c r="J1090" s="17">
        <f t="shared" si="1184"/>
        <v>759.4</v>
      </c>
      <c r="K1090" s="17">
        <f t="shared" si="1185"/>
        <v>759.33333333333337</v>
      </c>
      <c r="L1090" s="17">
        <f t="shared" si="1186"/>
        <v>759.2</v>
      </c>
      <c r="M1090" s="17">
        <f t="shared" si="1187"/>
        <v>759</v>
      </c>
    </row>
    <row r="1091" spans="1:13" x14ac:dyDescent="0.35">
      <c r="B1091" s="2">
        <v>30</v>
      </c>
      <c r="C1091" s="2">
        <f t="shared" si="1177"/>
        <v>3289</v>
      </c>
      <c r="D1091" s="2">
        <f t="shared" si="1178"/>
        <v>3259</v>
      </c>
      <c r="E1091" s="3">
        <f t="shared" si="1179"/>
        <v>22813</v>
      </c>
      <c r="F1091" s="17">
        <f t="shared" si="1180"/>
        <v>760.4</v>
      </c>
      <c r="G1091" s="17">
        <f t="shared" si="1181"/>
        <v>760.2</v>
      </c>
      <c r="H1091" s="17">
        <f t="shared" si="1182"/>
        <v>760.06666666666672</v>
      </c>
      <c r="I1091" s="17">
        <f t="shared" si="1183"/>
        <v>760</v>
      </c>
      <c r="J1091" s="17">
        <f t="shared" si="1184"/>
        <v>759.86666666666667</v>
      </c>
      <c r="K1091" s="17">
        <f t="shared" si="1185"/>
        <v>759.8</v>
      </c>
      <c r="L1091" s="17">
        <f t="shared" si="1186"/>
        <v>759.66666666666663</v>
      </c>
      <c r="M1091" s="17">
        <f t="shared" si="1187"/>
        <v>759.4666666666667</v>
      </c>
    </row>
    <row r="1092" spans="1:13" x14ac:dyDescent="0.35">
      <c r="B1092" s="2">
        <v>30</v>
      </c>
      <c r="C1092" s="2">
        <f t="shared" si="1177"/>
        <v>3293</v>
      </c>
      <c r="D1092" s="2">
        <f t="shared" si="1178"/>
        <v>3263</v>
      </c>
      <c r="E1092" s="3">
        <f t="shared" si="1179"/>
        <v>22841</v>
      </c>
      <c r="F1092" s="17">
        <f t="shared" si="1180"/>
        <v>761.33333333333337</v>
      </c>
      <c r="G1092" s="17">
        <f t="shared" si="1181"/>
        <v>761.13333333333333</v>
      </c>
      <c r="H1092" s="17">
        <f t="shared" si="1182"/>
        <v>761</v>
      </c>
      <c r="I1092" s="17">
        <f t="shared" si="1183"/>
        <v>760.93333333333328</v>
      </c>
      <c r="J1092" s="17">
        <f t="shared" si="1184"/>
        <v>760.8</v>
      </c>
      <c r="K1092" s="17">
        <f t="shared" si="1185"/>
        <v>760.73333333333335</v>
      </c>
      <c r="L1092" s="17">
        <f t="shared" si="1186"/>
        <v>760.6</v>
      </c>
      <c r="M1092" s="17">
        <f t="shared" si="1187"/>
        <v>760.4</v>
      </c>
    </row>
    <row r="1093" spans="1:13" x14ac:dyDescent="0.35">
      <c r="B1093" s="2">
        <v>30</v>
      </c>
      <c r="C1093" s="2">
        <f t="shared" si="1177"/>
        <v>3299</v>
      </c>
      <c r="D1093" s="2">
        <f t="shared" si="1178"/>
        <v>3269</v>
      </c>
      <c r="E1093" s="3">
        <f t="shared" si="1179"/>
        <v>22883</v>
      </c>
      <c r="F1093" s="17">
        <f t="shared" si="1180"/>
        <v>762.73333333333335</v>
      </c>
      <c r="G1093" s="17">
        <f t="shared" si="1181"/>
        <v>762.5333333333333</v>
      </c>
      <c r="H1093" s="17">
        <f t="shared" si="1182"/>
        <v>762.4</v>
      </c>
      <c r="I1093" s="17">
        <f t="shared" si="1183"/>
        <v>762.33333333333337</v>
      </c>
      <c r="J1093" s="17">
        <f t="shared" si="1184"/>
        <v>762.2</v>
      </c>
      <c r="K1093" s="17">
        <f t="shared" si="1185"/>
        <v>762.13333333333333</v>
      </c>
      <c r="L1093" s="17">
        <f t="shared" si="1186"/>
        <v>762</v>
      </c>
      <c r="M1093" s="17">
        <f t="shared" si="1187"/>
        <v>761.8</v>
      </c>
    </row>
    <row r="1094" spans="1:13" ht="16.8" thickBot="1" x14ac:dyDescent="0.4">
      <c r="F1094" s="17"/>
      <c r="G1094" s="17"/>
      <c r="H1094" s="17"/>
      <c r="I1094" s="17"/>
      <c r="J1094" s="17"/>
      <c r="K1094" s="17"/>
      <c r="L1094" s="17"/>
      <c r="M1094" s="17"/>
    </row>
    <row r="1095" spans="1:13" ht="16.8" thickBot="1" x14ac:dyDescent="0.4">
      <c r="A1095" s="1">
        <f>A1085+1</f>
        <v>110</v>
      </c>
      <c r="C1095" s="18" t="s">
        <v>2</v>
      </c>
      <c r="E1095" s="13">
        <f>E1076</f>
        <v>22477</v>
      </c>
      <c r="F1095" s="19">
        <v>1</v>
      </c>
      <c r="G1095" s="20">
        <v>7</v>
      </c>
      <c r="H1095" s="20">
        <v>11</v>
      </c>
      <c r="I1095" s="20">
        <v>13</v>
      </c>
      <c r="J1095" s="20">
        <v>17</v>
      </c>
      <c r="K1095" s="20">
        <v>19</v>
      </c>
      <c r="L1095" s="20">
        <v>23</v>
      </c>
      <c r="M1095" s="21">
        <v>29</v>
      </c>
    </row>
    <row r="1096" spans="1:13" x14ac:dyDescent="0.35">
      <c r="B1096" s="2">
        <v>30</v>
      </c>
      <c r="C1096" s="2">
        <f>D1096+B1096</f>
        <v>3301</v>
      </c>
      <c r="D1096" s="2">
        <f>C1086</f>
        <v>3271</v>
      </c>
      <c r="E1096" s="3">
        <f>D1096*$E$5</f>
        <v>22897</v>
      </c>
      <c r="F1096" s="17">
        <f>(E1096-1)/30</f>
        <v>763.2</v>
      </c>
      <c r="G1096" s="17">
        <f>($E1096-7)/30</f>
        <v>763</v>
      </c>
      <c r="H1096" s="17">
        <f>($E1096-11)/30</f>
        <v>762.86666666666667</v>
      </c>
      <c r="I1096" s="17">
        <f>($E1096-13)/30</f>
        <v>762.8</v>
      </c>
      <c r="J1096" s="17">
        <f>($E1096-17)/30</f>
        <v>762.66666666666663</v>
      </c>
      <c r="K1096" s="17">
        <f>($E1096-19)/30</f>
        <v>762.6</v>
      </c>
      <c r="L1096" s="17">
        <f>($E1096-23)/30</f>
        <v>762.4666666666667</v>
      </c>
      <c r="M1096" s="17">
        <f>($E1096-29)/30</f>
        <v>762.26666666666665</v>
      </c>
    </row>
    <row r="1097" spans="1:13" x14ac:dyDescent="0.35">
      <c r="B1097" s="2">
        <v>30</v>
      </c>
      <c r="C1097" s="2">
        <f t="shared" ref="C1097:C1103" si="1188">D1097+B1097</f>
        <v>3307</v>
      </c>
      <c r="D1097" s="2">
        <f t="shared" ref="D1097:D1103" si="1189">C1087</f>
        <v>3277</v>
      </c>
      <c r="E1097" s="3">
        <f t="shared" ref="E1097:E1103" si="1190">D1097*$E$5</f>
        <v>22939</v>
      </c>
      <c r="F1097" s="17">
        <f t="shared" ref="F1097:F1103" si="1191">(E1097-1)/30</f>
        <v>764.6</v>
      </c>
      <c r="G1097" s="17">
        <f t="shared" ref="G1097:G1103" si="1192">($E1097-7)/30</f>
        <v>764.4</v>
      </c>
      <c r="H1097" s="17">
        <f t="shared" ref="H1097:H1103" si="1193">($E1097-11)/30</f>
        <v>764.26666666666665</v>
      </c>
      <c r="I1097" s="17">
        <f t="shared" ref="I1097:I1103" si="1194">($E1097-13)/30</f>
        <v>764.2</v>
      </c>
      <c r="J1097" s="17">
        <f t="shared" ref="J1097:J1103" si="1195">($E1097-17)/30</f>
        <v>764.06666666666672</v>
      </c>
      <c r="K1097" s="17">
        <f t="shared" ref="K1097:K1103" si="1196">($E1097-19)/30</f>
        <v>764</v>
      </c>
      <c r="L1097" s="17">
        <f t="shared" ref="L1097:L1103" si="1197">($E1097-23)/30</f>
        <v>763.86666666666667</v>
      </c>
      <c r="M1097" s="17">
        <f t="shared" ref="M1097:M1103" si="1198">($E1097-29)/30</f>
        <v>763.66666666666663</v>
      </c>
    </row>
    <row r="1098" spans="1:13" x14ac:dyDescent="0.35">
      <c r="B1098" s="2">
        <v>30</v>
      </c>
      <c r="C1098" s="2">
        <f t="shared" si="1188"/>
        <v>3311</v>
      </c>
      <c r="D1098" s="2">
        <f t="shared" si="1189"/>
        <v>3281</v>
      </c>
      <c r="E1098" s="3">
        <f t="shared" si="1190"/>
        <v>22967</v>
      </c>
      <c r="F1098" s="17">
        <f t="shared" si="1191"/>
        <v>765.5333333333333</v>
      </c>
      <c r="G1098" s="17">
        <f t="shared" si="1192"/>
        <v>765.33333333333337</v>
      </c>
      <c r="H1098" s="17">
        <f t="shared" si="1193"/>
        <v>765.2</v>
      </c>
      <c r="I1098" s="17">
        <f t="shared" si="1194"/>
        <v>765.13333333333333</v>
      </c>
      <c r="J1098" s="17">
        <f t="shared" si="1195"/>
        <v>765</v>
      </c>
      <c r="K1098" s="17">
        <f t="shared" si="1196"/>
        <v>764.93333333333328</v>
      </c>
      <c r="L1098" s="17">
        <f t="shared" si="1197"/>
        <v>764.8</v>
      </c>
      <c r="M1098" s="17">
        <f t="shared" si="1198"/>
        <v>764.6</v>
      </c>
    </row>
    <row r="1099" spans="1:13" x14ac:dyDescent="0.35">
      <c r="B1099" s="2">
        <v>30</v>
      </c>
      <c r="C1099" s="2">
        <f t="shared" si="1188"/>
        <v>3313</v>
      </c>
      <c r="D1099" s="2">
        <f t="shared" si="1189"/>
        <v>3283</v>
      </c>
      <c r="E1099" s="3">
        <f t="shared" si="1190"/>
        <v>22981</v>
      </c>
      <c r="F1099" s="17">
        <f t="shared" si="1191"/>
        <v>766</v>
      </c>
      <c r="G1099" s="17">
        <f t="shared" si="1192"/>
        <v>765.8</v>
      </c>
      <c r="H1099" s="17">
        <f t="shared" si="1193"/>
        <v>765.66666666666663</v>
      </c>
      <c r="I1099" s="17">
        <f t="shared" si="1194"/>
        <v>765.6</v>
      </c>
      <c r="J1099" s="17">
        <f t="shared" si="1195"/>
        <v>765.4666666666667</v>
      </c>
      <c r="K1099" s="17">
        <f t="shared" si="1196"/>
        <v>765.4</v>
      </c>
      <c r="L1099" s="17">
        <f t="shared" si="1197"/>
        <v>765.26666666666665</v>
      </c>
      <c r="M1099" s="17">
        <f t="shared" si="1198"/>
        <v>765.06666666666672</v>
      </c>
    </row>
    <row r="1100" spans="1:13" x14ac:dyDescent="0.35">
      <c r="B1100" s="2">
        <v>30</v>
      </c>
      <c r="C1100" s="2">
        <f t="shared" si="1188"/>
        <v>3317</v>
      </c>
      <c r="D1100" s="2">
        <f t="shared" si="1189"/>
        <v>3287</v>
      </c>
      <c r="E1100" s="3">
        <f t="shared" si="1190"/>
        <v>23009</v>
      </c>
      <c r="F1100" s="17">
        <f t="shared" si="1191"/>
        <v>766.93333333333328</v>
      </c>
      <c r="G1100" s="17">
        <f t="shared" si="1192"/>
        <v>766.73333333333335</v>
      </c>
      <c r="H1100" s="17">
        <f t="shared" si="1193"/>
        <v>766.6</v>
      </c>
      <c r="I1100" s="17">
        <f t="shared" si="1194"/>
        <v>766.5333333333333</v>
      </c>
      <c r="J1100" s="17">
        <f t="shared" si="1195"/>
        <v>766.4</v>
      </c>
      <c r="K1100" s="17">
        <f t="shared" si="1196"/>
        <v>766.33333333333337</v>
      </c>
      <c r="L1100" s="17">
        <f t="shared" si="1197"/>
        <v>766.2</v>
      </c>
      <c r="M1100" s="17">
        <f t="shared" si="1198"/>
        <v>766</v>
      </c>
    </row>
    <row r="1101" spans="1:13" x14ac:dyDescent="0.35">
      <c r="B1101" s="2">
        <v>30</v>
      </c>
      <c r="C1101" s="2">
        <f t="shared" si="1188"/>
        <v>3319</v>
      </c>
      <c r="D1101" s="2">
        <f t="shared" si="1189"/>
        <v>3289</v>
      </c>
      <c r="E1101" s="3">
        <f t="shared" si="1190"/>
        <v>23023</v>
      </c>
      <c r="F1101" s="17">
        <f t="shared" si="1191"/>
        <v>767.4</v>
      </c>
      <c r="G1101" s="17">
        <f t="shared" si="1192"/>
        <v>767.2</v>
      </c>
      <c r="H1101" s="17">
        <f t="shared" si="1193"/>
        <v>767.06666666666672</v>
      </c>
      <c r="I1101" s="17">
        <f t="shared" si="1194"/>
        <v>767</v>
      </c>
      <c r="J1101" s="17">
        <f t="shared" si="1195"/>
        <v>766.86666666666667</v>
      </c>
      <c r="K1101" s="17">
        <f t="shared" si="1196"/>
        <v>766.8</v>
      </c>
      <c r="L1101" s="17">
        <f t="shared" si="1197"/>
        <v>766.66666666666663</v>
      </c>
      <c r="M1101" s="17">
        <f t="shared" si="1198"/>
        <v>766.4666666666667</v>
      </c>
    </row>
    <row r="1102" spans="1:13" x14ac:dyDescent="0.35">
      <c r="B1102" s="2">
        <v>30</v>
      </c>
      <c r="C1102" s="2">
        <f t="shared" si="1188"/>
        <v>3323</v>
      </c>
      <c r="D1102" s="2">
        <f t="shared" si="1189"/>
        <v>3293</v>
      </c>
      <c r="E1102" s="3">
        <f t="shared" si="1190"/>
        <v>23051</v>
      </c>
      <c r="F1102" s="17">
        <f t="shared" si="1191"/>
        <v>768.33333333333337</v>
      </c>
      <c r="G1102" s="17">
        <f t="shared" si="1192"/>
        <v>768.13333333333333</v>
      </c>
      <c r="H1102" s="17">
        <f t="shared" si="1193"/>
        <v>768</v>
      </c>
      <c r="I1102" s="17">
        <f t="shared" si="1194"/>
        <v>767.93333333333328</v>
      </c>
      <c r="J1102" s="17">
        <f t="shared" si="1195"/>
        <v>767.8</v>
      </c>
      <c r="K1102" s="17">
        <f t="shared" si="1196"/>
        <v>767.73333333333335</v>
      </c>
      <c r="L1102" s="17">
        <f t="shared" si="1197"/>
        <v>767.6</v>
      </c>
      <c r="M1102" s="17">
        <f t="shared" si="1198"/>
        <v>767.4</v>
      </c>
    </row>
    <row r="1103" spans="1:13" x14ac:dyDescent="0.35">
      <c r="B1103" s="2">
        <v>30</v>
      </c>
      <c r="C1103" s="2">
        <f t="shared" si="1188"/>
        <v>3329</v>
      </c>
      <c r="D1103" s="2">
        <f t="shared" si="1189"/>
        <v>3299</v>
      </c>
      <c r="E1103" s="3">
        <f t="shared" si="1190"/>
        <v>23093</v>
      </c>
      <c r="F1103" s="17">
        <f t="shared" si="1191"/>
        <v>769.73333333333335</v>
      </c>
      <c r="G1103" s="17">
        <f t="shared" si="1192"/>
        <v>769.5333333333333</v>
      </c>
      <c r="H1103" s="17">
        <f t="shared" si="1193"/>
        <v>769.4</v>
      </c>
      <c r="I1103" s="17">
        <f t="shared" si="1194"/>
        <v>769.33333333333337</v>
      </c>
      <c r="J1103" s="17">
        <f t="shared" si="1195"/>
        <v>769.2</v>
      </c>
      <c r="K1103" s="17">
        <f t="shared" si="1196"/>
        <v>769.13333333333333</v>
      </c>
      <c r="L1103" s="17">
        <f t="shared" si="1197"/>
        <v>769</v>
      </c>
      <c r="M1103" s="17">
        <f t="shared" si="1198"/>
        <v>768.8</v>
      </c>
    </row>
    <row r="1104" spans="1:13" ht="16.8" thickBot="1" x14ac:dyDescent="0.4">
      <c r="F1104" s="17"/>
      <c r="G1104" s="17"/>
      <c r="H1104" s="17"/>
      <c r="I1104" s="17"/>
      <c r="J1104" s="17"/>
      <c r="K1104" s="17"/>
      <c r="L1104" s="17"/>
      <c r="M1104" s="17"/>
    </row>
    <row r="1105" spans="1:13" ht="16.8" thickBot="1" x14ac:dyDescent="0.4">
      <c r="A1105" s="1">
        <f>A1095+1</f>
        <v>111</v>
      </c>
      <c r="C1105" s="18" t="s">
        <v>2</v>
      </c>
      <c r="E1105" s="13">
        <f>E1086</f>
        <v>22687</v>
      </c>
      <c r="F1105" s="19">
        <v>1</v>
      </c>
      <c r="G1105" s="20">
        <v>7</v>
      </c>
      <c r="H1105" s="20">
        <v>11</v>
      </c>
      <c r="I1105" s="20">
        <v>13</v>
      </c>
      <c r="J1105" s="20">
        <v>17</v>
      </c>
      <c r="K1105" s="20">
        <v>19</v>
      </c>
      <c r="L1105" s="20">
        <v>23</v>
      </c>
      <c r="M1105" s="21">
        <v>29</v>
      </c>
    </row>
    <row r="1106" spans="1:13" x14ac:dyDescent="0.35">
      <c r="B1106" s="2">
        <v>30</v>
      </c>
      <c r="C1106" s="2">
        <f>D1106+B1106</f>
        <v>3331</v>
      </c>
      <c r="D1106" s="2">
        <f>C1096</f>
        <v>3301</v>
      </c>
      <c r="E1106" s="3">
        <f>D1106*$E$5</f>
        <v>23107</v>
      </c>
      <c r="F1106" s="17">
        <f>(E1106-1)/30</f>
        <v>770.2</v>
      </c>
      <c r="G1106" s="17">
        <f>($E1106-7)/30</f>
        <v>770</v>
      </c>
      <c r="H1106" s="17">
        <f>($E1106-11)/30</f>
        <v>769.86666666666667</v>
      </c>
      <c r="I1106" s="17">
        <f>($E1106-13)/30</f>
        <v>769.8</v>
      </c>
      <c r="J1106" s="17">
        <f>($E1106-17)/30</f>
        <v>769.66666666666663</v>
      </c>
      <c r="K1106" s="17">
        <f>($E1106-19)/30</f>
        <v>769.6</v>
      </c>
      <c r="L1106" s="17">
        <f>($E1106-23)/30</f>
        <v>769.4666666666667</v>
      </c>
      <c r="M1106" s="17">
        <f>($E1106-29)/30</f>
        <v>769.26666666666665</v>
      </c>
    </row>
    <row r="1107" spans="1:13" x14ac:dyDescent="0.35">
      <c r="B1107" s="2">
        <v>30</v>
      </c>
      <c r="C1107" s="2">
        <f t="shared" ref="C1107:C1113" si="1199">D1107+B1107</f>
        <v>3337</v>
      </c>
      <c r="D1107" s="2">
        <f t="shared" ref="D1107:D1113" si="1200">C1097</f>
        <v>3307</v>
      </c>
      <c r="E1107" s="3">
        <f t="shared" ref="E1107:E1113" si="1201">D1107*$E$5</f>
        <v>23149</v>
      </c>
      <c r="F1107" s="17">
        <f t="shared" ref="F1107:F1113" si="1202">(E1107-1)/30</f>
        <v>771.6</v>
      </c>
      <c r="G1107" s="17">
        <f t="shared" ref="G1107:G1113" si="1203">($E1107-7)/30</f>
        <v>771.4</v>
      </c>
      <c r="H1107" s="17">
        <f t="shared" ref="H1107:H1113" si="1204">($E1107-11)/30</f>
        <v>771.26666666666665</v>
      </c>
      <c r="I1107" s="17">
        <f t="shared" ref="I1107:I1113" si="1205">($E1107-13)/30</f>
        <v>771.2</v>
      </c>
      <c r="J1107" s="17">
        <f t="shared" ref="J1107:J1113" si="1206">($E1107-17)/30</f>
        <v>771.06666666666672</v>
      </c>
      <c r="K1107" s="17">
        <f t="shared" ref="K1107:K1113" si="1207">($E1107-19)/30</f>
        <v>771</v>
      </c>
      <c r="L1107" s="17">
        <f t="shared" ref="L1107:L1113" si="1208">($E1107-23)/30</f>
        <v>770.86666666666667</v>
      </c>
      <c r="M1107" s="17">
        <f t="shared" ref="M1107:M1113" si="1209">($E1107-29)/30</f>
        <v>770.66666666666663</v>
      </c>
    </row>
    <row r="1108" spans="1:13" x14ac:dyDescent="0.35">
      <c r="B1108" s="2">
        <v>30</v>
      </c>
      <c r="C1108" s="2">
        <f t="shared" si="1199"/>
        <v>3341</v>
      </c>
      <c r="D1108" s="2">
        <f t="shared" si="1200"/>
        <v>3311</v>
      </c>
      <c r="E1108" s="3">
        <f t="shared" si="1201"/>
        <v>23177</v>
      </c>
      <c r="F1108" s="17">
        <f t="shared" si="1202"/>
        <v>772.5333333333333</v>
      </c>
      <c r="G1108" s="17">
        <f t="shared" si="1203"/>
        <v>772.33333333333337</v>
      </c>
      <c r="H1108" s="17">
        <f t="shared" si="1204"/>
        <v>772.2</v>
      </c>
      <c r="I1108" s="17">
        <f t="shared" si="1205"/>
        <v>772.13333333333333</v>
      </c>
      <c r="J1108" s="17">
        <f t="shared" si="1206"/>
        <v>772</v>
      </c>
      <c r="K1108" s="17">
        <f t="shared" si="1207"/>
        <v>771.93333333333328</v>
      </c>
      <c r="L1108" s="17">
        <f t="shared" si="1208"/>
        <v>771.8</v>
      </c>
      <c r="M1108" s="17">
        <f t="shared" si="1209"/>
        <v>771.6</v>
      </c>
    </row>
    <row r="1109" spans="1:13" x14ac:dyDescent="0.35">
      <c r="B1109" s="2">
        <v>30</v>
      </c>
      <c r="C1109" s="2">
        <f t="shared" si="1199"/>
        <v>3343</v>
      </c>
      <c r="D1109" s="2">
        <f t="shared" si="1200"/>
        <v>3313</v>
      </c>
      <c r="E1109" s="3">
        <f t="shared" si="1201"/>
        <v>23191</v>
      </c>
      <c r="F1109" s="17">
        <f t="shared" si="1202"/>
        <v>773</v>
      </c>
      <c r="G1109" s="17">
        <f t="shared" si="1203"/>
        <v>772.8</v>
      </c>
      <c r="H1109" s="17">
        <f t="shared" si="1204"/>
        <v>772.66666666666663</v>
      </c>
      <c r="I1109" s="17">
        <f t="shared" si="1205"/>
        <v>772.6</v>
      </c>
      <c r="J1109" s="17">
        <f t="shared" si="1206"/>
        <v>772.4666666666667</v>
      </c>
      <c r="K1109" s="17">
        <f t="shared" si="1207"/>
        <v>772.4</v>
      </c>
      <c r="L1109" s="17">
        <f t="shared" si="1208"/>
        <v>772.26666666666665</v>
      </c>
      <c r="M1109" s="17">
        <f t="shared" si="1209"/>
        <v>772.06666666666672</v>
      </c>
    </row>
    <row r="1110" spans="1:13" x14ac:dyDescent="0.35">
      <c r="B1110" s="2">
        <v>30</v>
      </c>
      <c r="C1110" s="2">
        <f t="shared" si="1199"/>
        <v>3347</v>
      </c>
      <c r="D1110" s="2">
        <f t="shared" si="1200"/>
        <v>3317</v>
      </c>
      <c r="E1110" s="3">
        <f t="shared" si="1201"/>
        <v>23219</v>
      </c>
      <c r="F1110" s="17">
        <f t="shared" si="1202"/>
        <v>773.93333333333328</v>
      </c>
      <c r="G1110" s="17">
        <f t="shared" si="1203"/>
        <v>773.73333333333335</v>
      </c>
      <c r="H1110" s="17">
        <f t="shared" si="1204"/>
        <v>773.6</v>
      </c>
      <c r="I1110" s="17">
        <f t="shared" si="1205"/>
        <v>773.5333333333333</v>
      </c>
      <c r="J1110" s="17">
        <f t="shared" si="1206"/>
        <v>773.4</v>
      </c>
      <c r="K1110" s="17">
        <f t="shared" si="1207"/>
        <v>773.33333333333337</v>
      </c>
      <c r="L1110" s="17">
        <f t="shared" si="1208"/>
        <v>773.2</v>
      </c>
      <c r="M1110" s="17">
        <f t="shared" si="1209"/>
        <v>773</v>
      </c>
    </row>
    <row r="1111" spans="1:13" x14ac:dyDescent="0.35">
      <c r="B1111" s="2">
        <v>30</v>
      </c>
      <c r="C1111" s="2">
        <f t="shared" si="1199"/>
        <v>3349</v>
      </c>
      <c r="D1111" s="2">
        <f t="shared" si="1200"/>
        <v>3319</v>
      </c>
      <c r="E1111" s="3">
        <f t="shared" si="1201"/>
        <v>23233</v>
      </c>
      <c r="F1111" s="17">
        <f t="shared" si="1202"/>
        <v>774.4</v>
      </c>
      <c r="G1111" s="17">
        <f t="shared" si="1203"/>
        <v>774.2</v>
      </c>
      <c r="H1111" s="17">
        <f t="shared" si="1204"/>
        <v>774.06666666666672</v>
      </c>
      <c r="I1111" s="17">
        <f t="shared" si="1205"/>
        <v>774</v>
      </c>
      <c r="J1111" s="17">
        <f t="shared" si="1206"/>
        <v>773.86666666666667</v>
      </c>
      <c r="K1111" s="17">
        <f t="shared" si="1207"/>
        <v>773.8</v>
      </c>
      <c r="L1111" s="17">
        <f t="shared" si="1208"/>
        <v>773.66666666666663</v>
      </c>
      <c r="M1111" s="17">
        <f t="shared" si="1209"/>
        <v>773.4666666666667</v>
      </c>
    </row>
    <row r="1112" spans="1:13" x14ac:dyDescent="0.35">
      <c r="B1112" s="2">
        <v>30</v>
      </c>
      <c r="C1112" s="2">
        <f t="shared" si="1199"/>
        <v>3353</v>
      </c>
      <c r="D1112" s="2">
        <f t="shared" si="1200"/>
        <v>3323</v>
      </c>
      <c r="E1112" s="3">
        <f t="shared" si="1201"/>
        <v>23261</v>
      </c>
      <c r="F1112" s="17">
        <f t="shared" si="1202"/>
        <v>775.33333333333337</v>
      </c>
      <c r="G1112" s="17">
        <f t="shared" si="1203"/>
        <v>775.13333333333333</v>
      </c>
      <c r="H1112" s="17">
        <f t="shared" si="1204"/>
        <v>775</v>
      </c>
      <c r="I1112" s="17">
        <f t="shared" si="1205"/>
        <v>774.93333333333328</v>
      </c>
      <c r="J1112" s="17">
        <f t="shared" si="1206"/>
        <v>774.8</v>
      </c>
      <c r="K1112" s="17">
        <f t="shared" si="1207"/>
        <v>774.73333333333335</v>
      </c>
      <c r="L1112" s="17">
        <f t="shared" si="1208"/>
        <v>774.6</v>
      </c>
      <c r="M1112" s="17">
        <f t="shared" si="1209"/>
        <v>774.4</v>
      </c>
    </row>
    <row r="1113" spans="1:13" x14ac:dyDescent="0.35">
      <c r="B1113" s="2">
        <v>30</v>
      </c>
      <c r="C1113" s="2">
        <f t="shared" si="1199"/>
        <v>3359</v>
      </c>
      <c r="D1113" s="2">
        <f t="shared" si="1200"/>
        <v>3329</v>
      </c>
      <c r="E1113" s="3">
        <f t="shared" si="1201"/>
        <v>23303</v>
      </c>
      <c r="F1113" s="17">
        <f t="shared" si="1202"/>
        <v>776.73333333333335</v>
      </c>
      <c r="G1113" s="17">
        <f t="shared" si="1203"/>
        <v>776.5333333333333</v>
      </c>
      <c r="H1113" s="17">
        <f t="shared" si="1204"/>
        <v>776.4</v>
      </c>
      <c r="I1113" s="17">
        <f t="shared" si="1205"/>
        <v>776.33333333333337</v>
      </c>
      <c r="J1113" s="17">
        <f t="shared" si="1206"/>
        <v>776.2</v>
      </c>
      <c r="K1113" s="17">
        <f t="shared" si="1207"/>
        <v>776.13333333333333</v>
      </c>
      <c r="L1113" s="17">
        <f t="shared" si="1208"/>
        <v>776</v>
      </c>
      <c r="M1113" s="17">
        <f t="shared" si="1209"/>
        <v>775.8</v>
      </c>
    </row>
    <row r="1114" spans="1:13" ht="16.8" thickBot="1" x14ac:dyDescent="0.4">
      <c r="F1114" s="17"/>
      <c r="G1114" s="17"/>
      <c r="H1114" s="17"/>
      <c r="I1114" s="17"/>
      <c r="J1114" s="17"/>
      <c r="K1114" s="17"/>
      <c r="L1114" s="17"/>
      <c r="M1114" s="17"/>
    </row>
    <row r="1115" spans="1:13" ht="16.8" thickBot="1" x14ac:dyDescent="0.4">
      <c r="A1115" s="1">
        <f>A1105+1</f>
        <v>112</v>
      </c>
      <c r="C1115" s="18" t="s">
        <v>2</v>
      </c>
      <c r="E1115" s="13">
        <f>E1096</f>
        <v>22897</v>
      </c>
      <c r="F1115" s="19">
        <v>1</v>
      </c>
      <c r="G1115" s="20">
        <v>7</v>
      </c>
      <c r="H1115" s="20">
        <v>11</v>
      </c>
      <c r="I1115" s="20">
        <v>13</v>
      </c>
      <c r="J1115" s="20">
        <v>17</v>
      </c>
      <c r="K1115" s="20">
        <v>19</v>
      </c>
      <c r="L1115" s="20">
        <v>23</v>
      </c>
      <c r="M1115" s="21">
        <v>29</v>
      </c>
    </row>
    <row r="1116" spans="1:13" x14ac:dyDescent="0.35">
      <c r="B1116" s="2">
        <v>30</v>
      </c>
      <c r="C1116" s="2">
        <f>D1116+B1116</f>
        <v>3361</v>
      </c>
      <c r="D1116" s="2">
        <f>C1106</f>
        <v>3331</v>
      </c>
      <c r="E1116" s="3">
        <f>D1116*$E$5</f>
        <v>23317</v>
      </c>
      <c r="F1116" s="17">
        <f>(E1116-1)/30</f>
        <v>777.2</v>
      </c>
      <c r="G1116" s="17">
        <f>($E1116-7)/30</f>
        <v>777</v>
      </c>
      <c r="H1116" s="17">
        <f>($E1116-11)/30</f>
        <v>776.86666666666667</v>
      </c>
      <c r="I1116" s="17">
        <f>($E1116-13)/30</f>
        <v>776.8</v>
      </c>
      <c r="J1116" s="17">
        <f>($E1116-17)/30</f>
        <v>776.66666666666663</v>
      </c>
      <c r="K1116" s="17">
        <f>($E1116-19)/30</f>
        <v>776.6</v>
      </c>
      <c r="L1116" s="17">
        <f>($E1116-23)/30</f>
        <v>776.4666666666667</v>
      </c>
      <c r="M1116" s="17">
        <f>($E1116-29)/30</f>
        <v>776.26666666666665</v>
      </c>
    </row>
    <row r="1117" spans="1:13" x14ac:dyDescent="0.35">
      <c r="B1117" s="2">
        <v>30</v>
      </c>
      <c r="C1117" s="2">
        <f t="shared" ref="C1117:C1123" si="1210">D1117+B1117</f>
        <v>3367</v>
      </c>
      <c r="D1117" s="2">
        <f t="shared" ref="D1117:D1123" si="1211">C1107</f>
        <v>3337</v>
      </c>
      <c r="E1117" s="3">
        <f t="shared" ref="E1117:E1123" si="1212">D1117*$E$5</f>
        <v>23359</v>
      </c>
      <c r="F1117" s="17">
        <f t="shared" ref="F1117:F1123" si="1213">(E1117-1)/30</f>
        <v>778.6</v>
      </c>
      <c r="G1117" s="17">
        <f t="shared" ref="G1117:G1123" si="1214">($E1117-7)/30</f>
        <v>778.4</v>
      </c>
      <c r="H1117" s="17">
        <f t="shared" ref="H1117:H1123" si="1215">($E1117-11)/30</f>
        <v>778.26666666666665</v>
      </c>
      <c r="I1117" s="17">
        <f t="shared" ref="I1117:I1123" si="1216">($E1117-13)/30</f>
        <v>778.2</v>
      </c>
      <c r="J1117" s="17">
        <f t="shared" ref="J1117:J1123" si="1217">($E1117-17)/30</f>
        <v>778.06666666666672</v>
      </c>
      <c r="K1117" s="17">
        <f t="shared" ref="K1117:K1123" si="1218">($E1117-19)/30</f>
        <v>778</v>
      </c>
      <c r="L1117" s="17">
        <f t="shared" ref="L1117:L1123" si="1219">($E1117-23)/30</f>
        <v>777.86666666666667</v>
      </c>
      <c r="M1117" s="17">
        <f t="shared" ref="M1117:M1123" si="1220">($E1117-29)/30</f>
        <v>777.66666666666663</v>
      </c>
    </row>
    <row r="1118" spans="1:13" x14ac:dyDescent="0.35">
      <c r="B1118" s="2">
        <v>30</v>
      </c>
      <c r="C1118" s="2">
        <f t="shared" si="1210"/>
        <v>3371</v>
      </c>
      <c r="D1118" s="2">
        <f t="shared" si="1211"/>
        <v>3341</v>
      </c>
      <c r="E1118" s="3">
        <f t="shared" si="1212"/>
        <v>23387</v>
      </c>
      <c r="F1118" s="17">
        <f t="shared" si="1213"/>
        <v>779.5333333333333</v>
      </c>
      <c r="G1118" s="17">
        <f t="shared" si="1214"/>
        <v>779.33333333333337</v>
      </c>
      <c r="H1118" s="17">
        <f t="shared" si="1215"/>
        <v>779.2</v>
      </c>
      <c r="I1118" s="17">
        <f t="shared" si="1216"/>
        <v>779.13333333333333</v>
      </c>
      <c r="J1118" s="17">
        <f t="shared" si="1217"/>
        <v>779</v>
      </c>
      <c r="K1118" s="17">
        <f t="shared" si="1218"/>
        <v>778.93333333333328</v>
      </c>
      <c r="L1118" s="17">
        <f t="shared" si="1219"/>
        <v>778.8</v>
      </c>
      <c r="M1118" s="17">
        <f t="shared" si="1220"/>
        <v>778.6</v>
      </c>
    </row>
    <row r="1119" spans="1:13" x14ac:dyDescent="0.35">
      <c r="B1119" s="2">
        <v>30</v>
      </c>
      <c r="C1119" s="2">
        <f t="shared" si="1210"/>
        <v>3373</v>
      </c>
      <c r="D1119" s="2">
        <f t="shared" si="1211"/>
        <v>3343</v>
      </c>
      <c r="E1119" s="3">
        <f t="shared" si="1212"/>
        <v>23401</v>
      </c>
      <c r="F1119" s="17">
        <f t="shared" si="1213"/>
        <v>780</v>
      </c>
      <c r="G1119" s="17">
        <f t="shared" si="1214"/>
        <v>779.8</v>
      </c>
      <c r="H1119" s="17">
        <f t="shared" si="1215"/>
        <v>779.66666666666663</v>
      </c>
      <c r="I1119" s="17">
        <f t="shared" si="1216"/>
        <v>779.6</v>
      </c>
      <c r="J1119" s="17">
        <f t="shared" si="1217"/>
        <v>779.4666666666667</v>
      </c>
      <c r="K1119" s="17">
        <f t="shared" si="1218"/>
        <v>779.4</v>
      </c>
      <c r="L1119" s="17">
        <f t="shared" si="1219"/>
        <v>779.26666666666665</v>
      </c>
      <c r="M1119" s="17">
        <f t="shared" si="1220"/>
        <v>779.06666666666672</v>
      </c>
    </row>
    <row r="1120" spans="1:13" x14ac:dyDescent="0.35">
      <c r="B1120" s="2">
        <v>30</v>
      </c>
      <c r="C1120" s="2">
        <f t="shared" si="1210"/>
        <v>3377</v>
      </c>
      <c r="D1120" s="2">
        <f t="shared" si="1211"/>
        <v>3347</v>
      </c>
      <c r="E1120" s="3">
        <f t="shared" si="1212"/>
        <v>23429</v>
      </c>
      <c r="F1120" s="17">
        <f t="shared" si="1213"/>
        <v>780.93333333333328</v>
      </c>
      <c r="G1120" s="17">
        <f t="shared" si="1214"/>
        <v>780.73333333333335</v>
      </c>
      <c r="H1120" s="17">
        <f t="shared" si="1215"/>
        <v>780.6</v>
      </c>
      <c r="I1120" s="17">
        <f t="shared" si="1216"/>
        <v>780.5333333333333</v>
      </c>
      <c r="J1120" s="17">
        <f t="shared" si="1217"/>
        <v>780.4</v>
      </c>
      <c r="K1120" s="17">
        <f t="shared" si="1218"/>
        <v>780.33333333333337</v>
      </c>
      <c r="L1120" s="17">
        <f t="shared" si="1219"/>
        <v>780.2</v>
      </c>
      <c r="M1120" s="17">
        <f t="shared" si="1220"/>
        <v>780</v>
      </c>
    </row>
    <row r="1121" spans="1:13" x14ac:dyDescent="0.35">
      <c r="B1121" s="2">
        <v>30</v>
      </c>
      <c r="C1121" s="2">
        <f t="shared" si="1210"/>
        <v>3379</v>
      </c>
      <c r="D1121" s="2">
        <f t="shared" si="1211"/>
        <v>3349</v>
      </c>
      <c r="E1121" s="3">
        <f t="shared" si="1212"/>
        <v>23443</v>
      </c>
      <c r="F1121" s="17">
        <f t="shared" si="1213"/>
        <v>781.4</v>
      </c>
      <c r="G1121" s="17">
        <f t="shared" si="1214"/>
        <v>781.2</v>
      </c>
      <c r="H1121" s="17">
        <f t="shared" si="1215"/>
        <v>781.06666666666672</v>
      </c>
      <c r="I1121" s="17">
        <f t="shared" si="1216"/>
        <v>781</v>
      </c>
      <c r="J1121" s="17">
        <f t="shared" si="1217"/>
        <v>780.86666666666667</v>
      </c>
      <c r="K1121" s="17">
        <f t="shared" si="1218"/>
        <v>780.8</v>
      </c>
      <c r="L1121" s="17">
        <f t="shared" si="1219"/>
        <v>780.66666666666663</v>
      </c>
      <c r="M1121" s="17">
        <f t="shared" si="1220"/>
        <v>780.4666666666667</v>
      </c>
    </row>
    <row r="1122" spans="1:13" x14ac:dyDescent="0.35">
      <c r="B1122" s="2">
        <v>30</v>
      </c>
      <c r="C1122" s="2">
        <f t="shared" si="1210"/>
        <v>3383</v>
      </c>
      <c r="D1122" s="2">
        <f t="shared" si="1211"/>
        <v>3353</v>
      </c>
      <c r="E1122" s="3">
        <f t="shared" si="1212"/>
        <v>23471</v>
      </c>
      <c r="F1122" s="17">
        <f t="shared" si="1213"/>
        <v>782.33333333333337</v>
      </c>
      <c r="G1122" s="17">
        <f t="shared" si="1214"/>
        <v>782.13333333333333</v>
      </c>
      <c r="H1122" s="17">
        <f t="shared" si="1215"/>
        <v>782</v>
      </c>
      <c r="I1122" s="17">
        <f t="shared" si="1216"/>
        <v>781.93333333333328</v>
      </c>
      <c r="J1122" s="17">
        <f t="shared" si="1217"/>
        <v>781.8</v>
      </c>
      <c r="K1122" s="17">
        <f t="shared" si="1218"/>
        <v>781.73333333333335</v>
      </c>
      <c r="L1122" s="17">
        <f t="shared" si="1219"/>
        <v>781.6</v>
      </c>
      <c r="M1122" s="17">
        <f t="shared" si="1220"/>
        <v>781.4</v>
      </c>
    </row>
    <row r="1123" spans="1:13" x14ac:dyDescent="0.35">
      <c r="B1123" s="2">
        <v>30</v>
      </c>
      <c r="C1123" s="2">
        <f t="shared" si="1210"/>
        <v>3389</v>
      </c>
      <c r="D1123" s="2">
        <f t="shared" si="1211"/>
        <v>3359</v>
      </c>
      <c r="E1123" s="3">
        <f t="shared" si="1212"/>
        <v>23513</v>
      </c>
      <c r="F1123" s="17">
        <f t="shared" si="1213"/>
        <v>783.73333333333335</v>
      </c>
      <c r="G1123" s="17">
        <f t="shared" si="1214"/>
        <v>783.5333333333333</v>
      </c>
      <c r="H1123" s="17">
        <f t="shared" si="1215"/>
        <v>783.4</v>
      </c>
      <c r="I1123" s="17">
        <f t="shared" si="1216"/>
        <v>783.33333333333337</v>
      </c>
      <c r="J1123" s="17">
        <f t="shared" si="1217"/>
        <v>783.2</v>
      </c>
      <c r="K1123" s="17">
        <f t="shared" si="1218"/>
        <v>783.13333333333333</v>
      </c>
      <c r="L1123" s="17">
        <f t="shared" si="1219"/>
        <v>783</v>
      </c>
      <c r="M1123" s="17">
        <f t="shared" si="1220"/>
        <v>782.8</v>
      </c>
    </row>
    <row r="1124" spans="1:13" ht="16.8" thickBot="1" x14ac:dyDescent="0.4">
      <c r="F1124" s="17"/>
      <c r="G1124" s="17"/>
      <c r="H1124" s="17"/>
      <c r="I1124" s="17"/>
      <c r="J1124" s="17"/>
      <c r="K1124" s="17"/>
      <c r="L1124" s="17"/>
      <c r="M1124" s="17"/>
    </row>
    <row r="1125" spans="1:13" ht="16.8" thickBot="1" x14ac:dyDescent="0.4">
      <c r="A1125" s="1">
        <f>A1115+1</f>
        <v>113</v>
      </c>
      <c r="C1125" s="18" t="s">
        <v>2</v>
      </c>
      <c r="E1125" s="13">
        <f>E1106</f>
        <v>23107</v>
      </c>
      <c r="F1125" s="19">
        <v>1</v>
      </c>
      <c r="G1125" s="20">
        <v>7</v>
      </c>
      <c r="H1125" s="20">
        <v>11</v>
      </c>
      <c r="I1125" s="20">
        <v>13</v>
      </c>
      <c r="J1125" s="20">
        <v>17</v>
      </c>
      <c r="K1125" s="20">
        <v>19</v>
      </c>
      <c r="L1125" s="20">
        <v>23</v>
      </c>
      <c r="M1125" s="21">
        <v>29</v>
      </c>
    </row>
    <row r="1126" spans="1:13" x14ac:dyDescent="0.35">
      <c r="B1126" s="2">
        <v>30</v>
      </c>
      <c r="C1126" s="2">
        <f>D1126+B1126</f>
        <v>3391</v>
      </c>
      <c r="D1126" s="2">
        <f>C1116</f>
        <v>3361</v>
      </c>
      <c r="E1126" s="3">
        <f>D1126*$E$5</f>
        <v>23527</v>
      </c>
      <c r="F1126" s="17">
        <f>(E1126-1)/30</f>
        <v>784.2</v>
      </c>
      <c r="G1126" s="17">
        <f>($E1126-7)/30</f>
        <v>784</v>
      </c>
      <c r="H1126" s="17">
        <f>($E1126-11)/30</f>
        <v>783.86666666666667</v>
      </c>
      <c r="I1126" s="17">
        <f>($E1126-13)/30</f>
        <v>783.8</v>
      </c>
      <c r="J1126" s="17">
        <f>($E1126-17)/30</f>
        <v>783.66666666666663</v>
      </c>
      <c r="K1126" s="17">
        <f>($E1126-19)/30</f>
        <v>783.6</v>
      </c>
      <c r="L1126" s="17">
        <f>($E1126-23)/30</f>
        <v>783.4666666666667</v>
      </c>
      <c r="M1126" s="17">
        <f>($E1126-29)/30</f>
        <v>783.26666666666665</v>
      </c>
    </row>
    <row r="1127" spans="1:13" x14ac:dyDescent="0.35">
      <c r="B1127" s="2">
        <v>30</v>
      </c>
      <c r="C1127" s="2">
        <f t="shared" ref="C1127:C1133" si="1221">D1127+B1127</f>
        <v>3397</v>
      </c>
      <c r="D1127" s="2">
        <f t="shared" ref="D1127:D1133" si="1222">C1117</f>
        <v>3367</v>
      </c>
      <c r="E1127" s="3">
        <f t="shared" ref="E1127:E1133" si="1223">D1127*$E$5</f>
        <v>23569</v>
      </c>
      <c r="F1127" s="17">
        <f t="shared" ref="F1127:F1133" si="1224">(E1127-1)/30</f>
        <v>785.6</v>
      </c>
      <c r="G1127" s="17">
        <f t="shared" ref="G1127:G1133" si="1225">($E1127-7)/30</f>
        <v>785.4</v>
      </c>
      <c r="H1127" s="17">
        <f t="shared" ref="H1127:H1133" si="1226">($E1127-11)/30</f>
        <v>785.26666666666665</v>
      </c>
      <c r="I1127" s="17">
        <f t="shared" ref="I1127:I1133" si="1227">($E1127-13)/30</f>
        <v>785.2</v>
      </c>
      <c r="J1127" s="17">
        <f t="shared" ref="J1127:J1133" si="1228">($E1127-17)/30</f>
        <v>785.06666666666672</v>
      </c>
      <c r="K1127" s="17">
        <f t="shared" ref="K1127:K1133" si="1229">($E1127-19)/30</f>
        <v>785</v>
      </c>
      <c r="L1127" s="17">
        <f t="shared" ref="L1127:L1133" si="1230">($E1127-23)/30</f>
        <v>784.86666666666667</v>
      </c>
      <c r="M1127" s="17">
        <f t="shared" ref="M1127:M1133" si="1231">($E1127-29)/30</f>
        <v>784.66666666666663</v>
      </c>
    </row>
    <row r="1128" spans="1:13" x14ac:dyDescent="0.35">
      <c r="B1128" s="2">
        <v>30</v>
      </c>
      <c r="C1128" s="2">
        <f t="shared" si="1221"/>
        <v>3401</v>
      </c>
      <c r="D1128" s="2">
        <f t="shared" si="1222"/>
        <v>3371</v>
      </c>
      <c r="E1128" s="3">
        <f t="shared" si="1223"/>
        <v>23597</v>
      </c>
      <c r="F1128" s="17">
        <f t="shared" si="1224"/>
        <v>786.5333333333333</v>
      </c>
      <c r="G1128" s="17">
        <f t="shared" si="1225"/>
        <v>786.33333333333337</v>
      </c>
      <c r="H1128" s="17">
        <f t="shared" si="1226"/>
        <v>786.2</v>
      </c>
      <c r="I1128" s="17">
        <f t="shared" si="1227"/>
        <v>786.13333333333333</v>
      </c>
      <c r="J1128" s="17">
        <f t="shared" si="1228"/>
        <v>786</v>
      </c>
      <c r="K1128" s="17">
        <f t="shared" si="1229"/>
        <v>785.93333333333328</v>
      </c>
      <c r="L1128" s="17">
        <f t="shared" si="1230"/>
        <v>785.8</v>
      </c>
      <c r="M1128" s="17">
        <f t="shared" si="1231"/>
        <v>785.6</v>
      </c>
    </row>
    <row r="1129" spans="1:13" x14ac:dyDescent="0.35">
      <c r="B1129" s="2">
        <v>30</v>
      </c>
      <c r="C1129" s="2">
        <f t="shared" si="1221"/>
        <v>3403</v>
      </c>
      <c r="D1129" s="2">
        <f t="shared" si="1222"/>
        <v>3373</v>
      </c>
      <c r="E1129" s="3">
        <f t="shared" si="1223"/>
        <v>23611</v>
      </c>
      <c r="F1129" s="17">
        <f t="shared" si="1224"/>
        <v>787</v>
      </c>
      <c r="G1129" s="17">
        <f t="shared" si="1225"/>
        <v>786.8</v>
      </c>
      <c r="H1129" s="17">
        <f t="shared" si="1226"/>
        <v>786.66666666666663</v>
      </c>
      <c r="I1129" s="17">
        <f t="shared" si="1227"/>
        <v>786.6</v>
      </c>
      <c r="J1129" s="17">
        <f t="shared" si="1228"/>
        <v>786.4666666666667</v>
      </c>
      <c r="K1129" s="17">
        <f t="shared" si="1229"/>
        <v>786.4</v>
      </c>
      <c r="L1129" s="17">
        <f t="shared" si="1230"/>
        <v>786.26666666666665</v>
      </c>
      <c r="M1129" s="17">
        <f t="shared" si="1231"/>
        <v>786.06666666666672</v>
      </c>
    </row>
    <row r="1130" spans="1:13" x14ac:dyDescent="0.35">
      <c r="B1130" s="2">
        <v>30</v>
      </c>
      <c r="C1130" s="2">
        <f t="shared" si="1221"/>
        <v>3407</v>
      </c>
      <c r="D1130" s="2">
        <f t="shared" si="1222"/>
        <v>3377</v>
      </c>
      <c r="E1130" s="3">
        <f t="shared" si="1223"/>
        <v>23639</v>
      </c>
      <c r="F1130" s="17">
        <f t="shared" si="1224"/>
        <v>787.93333333333328</v>
      </c>
      <c r="G1130" s="17">
        <f t="shared" si="1225"/>
        <v>787.73333333333335</v>
      </c>
      <c r="H1130" s="17">
        <f t="shared" si="1226"/>
        <v>787.6</v>
      </c>
      <c r="I1130" s="17">
        <f t="shared" si="1227"/>
        <v>787.5333333333333</v>
      </c>
      <c r="J1130" s="17">
        <f t="shared" si="1228"/>
        <v>787.4</v>
      </c>
      <c r="K1130" s="17">
        <f t="shared" si="1229"/>
        <v>787.33333333333337</v>
      </c>
      <c r="L1130" s="17">
        <f t="shared" si="1230"/>
        <v>787.2</v>
      </c>
      <c r="M1130" s="17">
        <f t="shared" si="1231"/>
        <v>787</v>
      </c>
    </row>
    <row r="1131" spans="1:13" x14ac:dyDescent="0.35">
      <c r="B1131" s="2">
        <v>30</v>
      </c>
      <c r="C1131" s="2">
        <f t="shared" si="1221"/>
        <v>3409</v>
      </c>
      <c r="D1131" s="2">
        <f t="shared" si="1222"/>
        <v>3379</v>
      </c>
      <c r="E1131" s="3">
        <f t="shared" si="1223"/>
        <v>23653</v>
      </c>
      <c r="F1131" s="17">
        <f t="shared" si="1224"/>
        <v>788.4</v>
      </c>
      <c r="G1131" s="17">
        <f t="shared" si="1225"/>
        <v>788.2</v>
      </c>
      <c r="H1131" s="17">
        <f t="shared" si="1226"/>
        <v>788.06666666666672</v>
      </c>
      <c r="I1131" s="17">
        <f t="shared" si="1227"/>
        <v>788</v>
      </c>
      <c r="J1131" s="17">
        <f t="shared" si="1228"/>
        <v>787.86666666666667</v>
      </c>
      <c r="K1131" s="17">
        <f t="shared" si="1229"/>
        <v>787.8</v>
      </c>
      <c r="L1131" s="17">
        <f t="shared" si="1230"/>
        <v>787.66666666666663</v>
      </c>
      <c r="M1131" s="17">
        <f t="shared" si="1231"/>
        <v>787.4666666666667</v>
      </c>
    </row>
    <row r="1132" spans="1:13" x14ac:dyDescent="0.35">
      <c r="B1132" s="2">
        <v>30</v>
      </c>
      <c r="C1132" s="2">
        <f t="shared" si="1221"/>
        <v>3413</v>
      </c>
      <c r="D1132" s="2">
        <f t="shared" si="1222"/>
        <v>3383</v>
      </c>
      <c r="E1132" s="3">
        <f t="shared" si="1223"/>
        <v>23681</v>
      </c>
      <c r="F1132" s="17">
        <f t="shared" si="1224"/>
        <v>789.33333333333337</v>
      </c>
      <c r="G1132" s="17">
        <f t="shared" si="1225"/>
        <v>789.13333333333333</v>
      </c>
      <c r="H1132" s="17">
        <f t="shared" si="1226"/>
        <v>789</v>
      </c>
      <c r="I1132" s="17">
        <f t="shared" si="1227"/>
        <v>788.93333333333328</v>
      </c>
      <c r="J1132" s="17">
        <f t="shared" si="1228"/>
        <v>788.8</v>
      </c>
      <c r="K1132" s="17">
        <f t="shared" si="1229"/>
        <v>788.73333333333335</v>
      </c>
      <c r="L1132" s="17">
        <f t="shared" si="1230"/>
        <v>788.6</v>
      </c>
      <c r="M1132" s="17">
        <f t="shared" si="1231"/>
        <v>788.4</v>
      </c>
    </row>
    <row r="1133" spans="1:13" x14ac:dyDescent="0.35">
      <c r="B1133" s="2">
        <v>30</v>
      </c>
      <c r="C1133" s="2">
        <f t="shared" si="1221"/>
        <v>3419</v>
      </c>
      <c r="D1133" s="2">
        <f t="shared" si="1222"/>
        <v>3389</v>
      </c>
      <c r="E1133" s="3">
        <f t="shared" si="1223"/>
        <v>23723</v>
      </c>
      <c r="F1133" s="17">
        <f t="shared" si="1224"/>
        <v>790.73333333333335</v>
      </c>
      <c r="G1133" s="17">
        <f t="shared" si="1225"/>
        <v>790.5333333333333</v>
      </c>
      <c r="H1133" s="17">
        <f t="shared" si="1226"/>
        <v>790.4</v>
      </c>
      <c r="I1133" s="17">
        <f t="shared" si="1227"/>
        <v>790.33333333333337</v>
      </c>
      <c r="J1133" s="17">
        <f t="shared" si="1228"/>
        <v>790.2</v>
      </c>
      <c r="K1133" s="17">
        <f t="shared" si="1229"/>
        <v>790.13333333333333</v>
      </c>
      <c r="L1133" s="17">
        <f t="shared" si="1230"/>
        <v>790</v>
      </c>
      <c r="M1133" s="17">
        <f t="shared" si="1231"/>
        <v>789.8</v>
      </c>
    </row>
    <row r="1134" spans="1:13" ht="16.8" thickBot="1" x14ac:dyDescent="0.4">
      <c r="F1134" s="17"/>
      <c r="G1134" s="17"/>
      <c r="H1134" s="17"/>
      <c r="I1134" s="17"/>
      <c r="J1134" s="17"/>
      <c r="K1134" s="17"/>
      <c r="L1134" s="17"/>
      <c r="M1134" s="17"/>
    </row>
    <row r="1135" spans="1:13" ht="16.8" thickBot="1" x14ac:dyDescent="0.4">
      <c r="A1135" s="1">
        <f>A1125+1</f>
        <v>114</v>
      </c>
      <c r="C1135" s="18" t="s">
        <v>2</v>
      </c>
      <c r="E1135" s="13">
        <f>E1116</f>
        <v>23317</v>
      </c>
      <c r="F1135" s="19">
        <v>1</v>
      </c>
      <c r="G1135" s="20">
        <v>7</v>
      </c>
      <c r="H1135" s="20">
        <v>11</v>
      </c>
      <c r="I1135" s="20">
        <v>13</v>
      </c>
      <c r="J1135" s="20">
        <v>17</v>
      </c>
      <c r="K1135" s="20">
        <v>19</v>
      </c>
      <c r="L1135" s="20">
        <v>23</v>
      </c>
      <c r="M1135" s="21">
        <v>29</v>
      </c>
    </row>
    <row r="1136" spans="1:13" x14ac:dyDescent="0.35">
      <c r="B1136" s="2">
        <v>30</v>
      </c>
      <c r="C1136" s="2">
        <f>D1136+B1136</f>
        <v>3421</v>
      </c>
      <c r="D1136" s="2">
        <f>C1126</f>
        <v>3391</v>
      </c>
      <c r="E1136" s="3">
        <f>D1136*$E$5</f>
        <v>23737</v>
      </c>
      <c r="F1136" s="17">
        <f>(E1136-1)/30</f>
        <v>791.2</v>
      </c>
      <c r="G1136" s="17">
        <f>($E1136-7)/30</f>
        <v>791</v>
      </c>
      <c r="H1136" s="17">
        <f>($E1136-11)/30</f>
        <v>790.86666666666667</v>
      </c>
      <c r="I1136" s="17">
        <f>($E1136-13)/30</f>
        <v>790.8</v>
      </c>
      <c r="J1136" s="17">
        <f>($E1136-17)/30</f>
        <v>790.66666666666663</v>
      </c>
      <c r="K1136" s="17">
        <f>($E1136-19)/30</f>
        <v>790.6</v>
      </c>
      <c r="L1136" s="17">
        <f>($E1136-23)/30</f>
        <v>790.4666666666667</v>
      </c>
      <c r="M1136" s="17">
        <f>($E1136-29)/30</f>
        <v>790.26666666666665</v>
      </c>
    </row>
    <row r="1137" spans="1:13" x14ac:dyDescent="0.35">
      <c r="B1137" s="2">
        <v>30</v>
      </c>
      <c r="C1137" s="2">
        <f t="shared" ref="C1137:C1143" si="1232">D1137+B1137</f>
        <v>3427</v>
      </c>
      <c r="D1137" s="2">
        <f t="shared" ref="D1137:D1143" si="1233">C1127</f>
        <v>3397</v>
      </c>
      <c r="E1137" s="3">
        <f t="shared" ref="E1137:E1143" si="1234">D1137*$E$5</f>
        <v>23779</v>
      </c>
      <c r="F1137" s="17">
        <f t="shared" ref="F1137:F1143" si="1235">(E1137-1)/30</f>
        <v>792.6</v>
      </c>
      <c r="G1137" s="17">
        <f t="shared" ref="G1137:G1143" si="1236">($E1137-7)/30</f>
        <v>792.4</v>
      </c>
      <c r="H1137" s="17">
        <f t="shared" ref="H1137:H1143" si="1237">($E1137-11)/30</f>
        <v>792.26666666666665</v>
      </c>
      <c r="I1137" s="17">
        <f t="shared" ref="I1137:I1143" si="1238">($E1137-13)/30</f>
        <v>792.2</v>
      </c>
      <c r="J1137" s="17">
        <f t="shared" ref="J1137:J1143" si="1239">($E1137-17)/30</f>
        <v>792.06666666666672</v>
      </c>
      <c r="K1137" s="17">
        <f t="shared" ref="K1137:K1143" si="1240">($E1137-19)/30</f>
        <v>792</v>
      </c>
      <c r="L1137" s="17">
        <f t="shared" ref="L1137:L1143" si="1241">($E1137-23)/30</f>
        <v>791.86666666666667</v>
      </c>
      <c r="M1137" s="17">
        <f t="shared" ref="M1137:M1143" si="1242">($E1137-29)/30</f>
        <v>791.66666666666663</v>
      </c>
    </row>
    <row r="1138" spans="1:13" x14ac:dyDescent="0.35">
      <c r="B1138" s="2">
        <v>30</v>
      </c>
      <c r="C1138" s="2">
        <f t="shared" si="1232"/>
        <v>3431</v>
      </c>
      <c r="D1138" s="2">
        <f t="shared" si="1233"/>
        <v>3401</v>
      </c>
      <c r="E1138" s="3">
        <f t="shared" si="1234"/>
        <v>23807</v>
      </c>
      <c r="F1138" s="17">
        <f t="shared" si="1235"/>
        <v>793.5333333333333</v>
      </c>
      <c r="G1138" s="17">
        <f t="shared" si="1236"/>
        <v>793.33333333333337</v>
      </c>
      <c r="H1138" s="17">
        <f t="shared" si="1237"/>
        <v>793.2</v>
      </c>
      <c r="I1138" s="17">
        <f t="shared" si="1238"/>
        <v>793.13333333333333</v>
      </c>
      <c r="J1138" s="17">
        <f t="shared" si="1239"/>
        <v>793</v>
      </c>
      <c r="K1138" s="17">
        <f t="shared" si="1240"/>
        <v>792.93333333333328</v>
      </c>
      <c r="L1138" s="17">
        <f t="shared" si="1241"/>
        <v>792.8</v>
      </c>
      <c r="M1138" s="17">
        <f t="shared" si="1242"/>
        <v>792.6</v>
      </c>
    </row>
    <row r="1139" spans="1:13" x14ac:dyDescent="0.35">
      <c r="B1139" s="2">
        <v>30</v>
      </c>
      <c r="C1139" s="2">
        <f t="shared" si="1232"/>
        <v>3433</v>
      </c>
      <c r="D1139" s="2">
        <f t="shared" si="1233"/>
        <v>3403</v>
      </c>
      <c r="E1139" s="3">
        <f t="shared" si="1234"/>
        <v>23821</v>
      </c>
      <c r="F1139" s="17">
        <f t="shared" si="1235"/>
        <v>794</v>
      </c>
      <c r="G1139" s="17">
        <f t="shared" si="1236"/>
        <v>793.8</v>
      </c>
      <c r="H1139" s="17">
        <f t="shared" si="1237"/>
        <v>793.66666666666663</v>
      </c>
      <c r="I1139" s="17">
        <f t="shared" si="1238"/>
        <v>793.6</v>
      </c>
      <c r="J1139" s="17">
        <f t="shared" si="1239"/>
        <v>793.4666666666667</v>
      </c>
      <c r="K1139" s="17">
        <f t="shared" si="1240"/>
        <v>793.4</v>
      </c>
      <c r="L1139" s="17">
        <f t="shared" si="1241"/>
        <v>793.26666666666665</v>
      </c>
      <c r="M1139" s="17">
        <f t="shared" si="1242"/>
        <v>793.06666666666672</v>
      </c>
    </row>
    <row r="1140" spans="1:13" x14ac:dyDescent="0.35">
      <c r="B1140" s="2">
        <v>30</v>
      </c>
      <c r="C1140" s="2">
        <f t="shared" si="1232"/>
        <v>3437</v>
      </c>
      <c r="D1140" s="2">
        <f t="shared" si="1233"/>
        <v>3407</v>
      </c>
      <c r="E1140" s="3">
        <f t="shared" si="1234"/>
        <v>23849</v>
      </c>
      <c r="F1140" s="17">
        <f t="shared" si="1235"/>
        <v>794.93333333333328</v>
      </c>
      <c r="G1140" s="17">
        <f t="shared" si="1236"/>
        <v>794.73333333333335</v>
      </c>
      <c r="H1140" s="17">
        <f t="shared" si="1237"/>
        <v>794.6</v>
      </c>
      <c r="I1140" s="17">
        <f t="shared" si="1238"/>
        <v>794.5333333333333</v>
      </c>
      <c r="J1140" s="17">
        <f t="shared" si="1239"/>
        <v>794.4</v>
      </c>
      <c r="K1140" s="17">
        <f t="shared" si="1240"/>
        <v>794.33333333333337</v>
      </c>
      <c r="L1140" s="17">
        <f t="shared" si="1241"/>
        <v>794.2</v>
      </c>
      <c r="M1140" s="17">
        <f t="shared" si="1242"/>
        <v>794</v>
      </c>
    </row>
    <row r="1141" spans="1:13" x14ac:dyDescent="0.35">
      <c r="B1141" s="2">
        <v>30</v>
      </c>
      <c r="C1141" s="2">
        <f t="shared" si="1232"/>
        <v>3439</v>
      </c>
      <c r="D1141" s="2">
        <f t="shared" si="1233"/>
        <v>3409</v>
      </c>
      <c r="E1141" s="3">
        <f t="shared" si="1234"/>
        <v>23863</v>
      </c>
      <c r="F1141" s="17">
        <f t="shared" si="1235"/>
        <v>795.4</v>
      </c>
      <c r="G1141" s="17">
        <f t="shared" si="1236"/>
        <v>795.2</v>
      </c>
      <c r="H1141" s="17">
        <f t="shared" si="1237"/>
        <v>795.06666666666672</v>
      </c>
      <c r="I1141" s="17">
        <f t="shared" si="1238"/>
        <v>795</v>
      </c>
      <c r="J1141" s="17">
        <f t="shared" si="1239"/>
        <v>794.86666666666667</v>
      </c>
      <c r="K1141" s="17">
        <f t="shared" si="1240"/>
        <v>794.8</v>
      </c>
      <c r="L1141" s="17">
        <f t="shared" si="1241"/>
        <v>794.66666666666663</v>
      </c>
      <c r="M1141" s="17">
        <f t="shared" si="1242"/>
        <v>794.4666666666667</v>
      </c>
    </row>
    <row r="1142" spans="1:13" x14ac:dyDescent="0.35">
      <c r="B1142" s="2">
        <v>30</v>
      </c>
      <c r="C1142" s="2">
        <f t="shared" si="1232"/>
        <v>3443</v>
      </c>
      <c r="D1142" s="2">
        <f t="shared" si="1233"/>
        <v>3413</v>
      </c>
      <c r="E1142" s="3">
        <f t="shared" si="1234"/>
        <v>23891</v>
      </c>
      <c r="F1142" s="17">
        <f t="shared" si="1235"/>
        <v>796.33333333333337</v>
      </c>
      <c r="G1142" s="17">
        <f t="shared" si="1236"/>
        <v>796.13333333333333</v>
      </c>
      <c r="H1142" s="17">
        <f t="shared" si="1237"/>
        <v>796</v>
      </c>
      <c r="I1142" s="17">
        <f t="shared" si="1238"/>
        <v>795.93333333333328</v>
      </c>
      <c r="J1142" s="17">
        <f t="shared" si="1239"/>
        <v>795.8</v>
      </c>
      <c r="K1142" s="17">
        <f t="shared" si="1240"/>
        <v>795.73333333333335</v>
      </c>
      <c r="L1142" s="17">
        <f t="shared" si="1241"/>
        <v>795.6</v>
      </c>
      <c r="M1142" s="17">
        <f t="shared" si="1242"/>
        <v>795.4</v>
      </c>
    </row>
    <row r="1143" spans="1:13" x14ac:dyDescent="0.35">
      <c r="B1143" s="2">
        <v>30</v>
      </c>
      <c r="C1143" s="2">
        <f t="shared" si="1232"/>
        <v>3449</v>
      </c>
      <c r="D1143" s="2">
        <f t="shared" si="1233"/>
        <v>3419</v>
      </c>
      <c r="E1143" s="3">
        <f t="shared" si="1234"/>
        <v>23933</v>
      </c>
      <c r="F1143" s="17">
        <f t="shared" si="1235"/>
        <v>797.73333333333335</v>
      </c>
      <c r="G1143" s="17">
        <f t="shared" si="1236"/>
        <v>797.5333333333333</v>
      </c>
      <c r="H1143" s="17">
        <f t="shared" si="1237"/>
        <v>797.4</v>
      </c>
      <c r="I1143" s="17">
        <f t="shared" si="1238"/>
        <v>797.33333333333337</v>
      </c>
      <c r="J1143" s="17">
        <f t="shared" si="1239"/>
        <v>797.2</v>
      </c>
      <c r="K1143" s="17">
        <f t="shared" si="1240"/>
        <v>797.13333333333333</v>
      </c>
      <c r="L1143" s="17">
        <f t="shared" si="1241"/>
        <v>797</v>
      </c>
      <c r="M1143" s="17">
        <f t="shared" si="1242"/>
        <v>796.8</v>
      </c>
    </row>
    <row r="1144" spans="1:13" ht="16.8" thickBot="1" x14ac:dyDescent="0.4">
      <c r="F1144" s="17"/>
      <c r="G1144" s="17"/>
      <c r="H1144" s="17"/>
      <c r="I1144" s="17"/>
      <c r="J1144" s="17"/>
      <c r="K1144" s="17"/>
      <c r="L1144" s="17"/>
      <c r="M1144" s="17"/>
    </row>
    <row r="1145" spans="1:13" ht="16.8" thickBot="1" x14ac:dyDescent="0.4">
      <c r="A1145" s="1">
        <f>A1135+1</f>
        <v>115</v>
      </c>
      <c r="C1145" s="18" t="s">
        <v>2</v>
      </c>
      <c r="E1145" s="13">
        <f>E1126</f>
        <v>23527</v>
      </c>
      <c r="F1145" s="19">
        <v>1</v>
      </c>
      <c r="G1145" s="20">
        <v>7</v>
      </c>
      <c r="H1145" s="20">
        <v>11</v>
      </c>
      <c r="I1145" s="20">
        <v>13</v>
      </c>
      <c r="J1145" s="20">
        <v>17</v>
      </c>
      <c r="K1145" s="20">
        <v>19</v>
      </c>
      <c r="L1145" s="20">
        <v>23</v>
      </c>
      <c r="M1145" s="21">
        <v>29</v>
      </c>
    </row>
    <row r="1146" spans="1:13" x14ac:dyDescent="0.35">
      <c r="B1146" s="2">
        <v>30</v>
      </c>
      <c r="C1146" s="2">
        <f>D1146+B1146</f>
        <v>3451</v>
      </c>
      <c r="D1146" s="2">
        <f>C1136</f>
        <v>3421</v>
      </c>
      <c r="E1146" s="3">
        <f>D1146*$E$5</f>
        <v>23947</v>
      </c>
      <c r="F1146" s="17">
        <f>(E1146-1)/30</f>
        <v>798.2</v>
      </c>
      <c r="G1146" s="17">
        <f>($E1146-7)/30</f>
        <v>798</v>
      </c>
      <c r="H1146" s="17">
        <f>($E1146-11)/30</f>
        <v>797.86666666666667</v>
      </c>
      <c r="I1146" s="17">
        <f>($E1146-13)/30</f>
        <v>797.8</v>
      </c>
      <c r="J1146" s="17">
        <f>($E1146-17)/30</f>
        <v>797.66666666666663</v>
      </c>
      <c r="K1146" s="17">
        <f>($E1146-19)/30</f>
        <v>797.6</v>
      </c>
      <c r="L1146" s="17">
        <f>($E1146-23)/30</f>
        <v>797.4666666666667</v>
      </c>
      <c r="M1146" s="17">
        <f>($E1146-29)/30</f>
        <v>797.26666666666665</v>
      </c>
    </row>
    <row r="1147" spans="1:13" x14ac:dyDescent="0.35">
      <c r="B1147" s="2">
        <v>30</v>
      </c>
      <c r="C1147" s="2">
        <f t="shared" ref="C1147:C1153" si="1243">D1147+B1147</f>
        <v>3457</v>
      </c>
      <c r="D1147" s="2">
        <f t="shared" ref="D1147:D1153" si="1244">C1137</f>
        <v>3427</v>
      </c>
      <c r="E1147" s="3">
        <f t="shared" ref="E1147:E1153" si="1245">D1147*$E$5</f>
        <v>23989</v>
      </c>
      <c r="F1147" s="17">
        <f t="shared" ref="F1147:F1153" si="1246">(E1147-1)/30</f>
        <v>799.6</v>
      </c>
      <c r="G1147" s="17">
        <f t="shared" ref="G1147:G1153" si="1247">($E1147-7)/30</f>
        <v>799.4</v>
      </c>
      <c r="H1147" s="17">
        <f t="shared" ref="H1147:H1153" si="1248">($E1147-11)/30</f>
        <v>799.26666666666665</v>
      </c>
      <c r="I1147" s="17">
        <f t="shared" ref="I1147:I1153" si="1249">($E1147-13)/30</f>
        <v>799.2</v>
      </c>
      <c r="J1147" s="17">
        <f t="shared" ref="J1147:J1153" si="1250">($E1147-17)/30</f>
        <v>799.06666666666672</v>
      </c>
      <c r="K1147" s="17">
        <f t="shared" ref="K1147:K1153" si="1251">($E1147-19)/30</f>
        <v>799</v>
      </c>
      <c r="L1147" s="17">
        <f t="shared" ref="L1147:L1153" si="1252">($E1147-23)/30</f>
        <v>798.86666666666667</v>
      </c>
      <c r="M1147" s="17">
        <f t="shared" ref="M1147:M1153" si="1253">($E1147-29)/30</f>
        <v>798.66666666666663</v>
      </c>
    </row>
    <row r="1148" spans="1:13" x14ac:dyDescent="0.35">
      <c r="B1148" s="2">
        <v>30</v>
      </c>
      <c r="C1148" s="2">
        <f t="shared" si="1243"/>
        <v>3461</v>
      </c>
      <c r="D1148" s="2">
        <f t="shared" si="1244"/>
        <v>3431</v>
      </c>
      <c r="E1148" s="3">
        <f t="shared" si="1245"/>
        <v>24017</v>
      </c>
      <c r="F1148" s="17">
        <f t="shared" si="1246"/>
        <v>800.5333333333333</v>
      </c>
      <c r="G1148" s="17">
        <f t="shared" si="1247"/>
        <v>800.33333333333337</v>
      </c>
      <c r="H1148" s="17">
        <f t="shared" si="1248"/>
        <v>800.2</v>
      </c>
      <c r="I1148" s="17">
        <f t="shared" si="1249"/>
        <v>800.13333333333333</v>
      </c>
      <c r="J1148" s="17">
        <f t="shared" si="1250"/>
        <v>800</v>
      </c>
      <c r="K1148" s="17">
        <f t="shared" si="1251"/>
        <v>799.93333333333328</v>
      </c>
      <c r="L1148" s="17">
        <f t="shared" si="1252"/>
        <v>799.8</v>
      </c>
      <c r="M1148" s="17">
        <f t="shared" si="1253"/>
        <v>799.6</v>
      </c>
    </row>
    <row r="1149" spans="1:13" x14ac:dyDescent="0.35">
      <c r="B1149" s="2">
        <v>30</v>
      </c>
      <c r="C1149" s="2">
        <f t="shared" si="1243"/>
        <v>3463</v>
      </c>
      <c r="D1149" s="2">
        <f t="shared" si="1244"/>
        <v>3433</v>
      </c>
      <c r="E1149" s="3">
        <f t="shared" si="1245"/>
        <v>24031</v>
      </c>
      <c r="F1149" s="17">
        <f t="shared" si="1246"/>
        <v>801</v>
      </c>
      <c r="G1149" s="17">
        <f t="shared" si="1247"/>
        <v>800.8</v>
      </c>
      <c r="H1149" s="17">
        <f t="shared" si="1248"/>
        <v>800.66666666666663</v>
      </c>
      <c r="I1149" s="17">
        <f t="shared" si="1249"/>
        <v>800.6</v>
      </c>
      <c r="J1149" s="17">
        <f t="shared" si="1250"/>
        <v>800.4666666666667</v>
      </c>
      <c r="K1149" s="17">
        <f t="shared" si="1251"/>
        <v>800.4</v>
      </c>
      <c r="L1149" s="17">
        <f t="shared" si="1252"/>
        <v>800.26666666666665</v>
      </c>
      <c r="M1149" s="17">
        <f t="shared" si="1253"/>
        <v>800.06666666666672</v>
      </c>
    </row>
    <row r="1150" spans="1:13" x14ac:dyDescent="0.35">
      <c r="B1150" s="2">
        <v>30</v>
      </c>
      <c r="C1150" s="2">
        <f t="shared" si="1243"/>
        <v>3467</v>
      </c>
      <c r="D1150" s="2">
        <f t="shared" si="1244"/>
        <v>3437</v>
      </c>
      <c r="E1150" s="3">
        <f t="shared" si="1245"/>
        <v>24059</v>
      </c>
      <c r="F1150" s="17">
        <f t="shared" si="1246"/>
        <v>801.93333333333328</v>
      </c>
      <c r="G1150" s="17">
        <f t="shared" si="1247"/>
        <v>801.73333333333335</v>
      </c>
      <c r="H1150" s="17">
        <f t="shared" si="1248"/>
        <v>801.6</v>
      </c>
      <c r="I1150" s="17">
        <f t="shared" si="1249"/>
        <v>801.5333333333333</v>
      </c>
      <c r="J1150" s="17">
        <f t="shared" si="1250"/>
        <v>801.4</v>
      </c>
      <c r="K1150" s="17">
        <f t="shared" si="1251"/>
        <v>801.33333333333337</v>
      </c>
      <c r="L1150" s="17">
        <f t="shared" si="1252"/>
        <v>801.2</v>
      </c>
      <c r="M1150" s="17">
        <f t="shared" si="1253"/>
        <v>801</v>
      </c>
    </row>
    <row r="1151" spans="1:13" x14ac:dyDescent="0.35">
      <c r="B1151" s="2">
        <v>30</v>
      </c>
      <c r="C1151" s="2">
        <f t="shared" si="1243"/>
        <v>3469</v>
      </c>
      <c r="D1151" s="2">
        <f t="shared" si="1244"/>
        <v>3439</v>
      </c>
      <c r="E1151" s="3">
        <f t="shared" si="1245"/>
        <v>24073</v>
      </c>
      <c r="F1151" s="17">
        <f t="shared" si="1246"/>
        <v>802.4</v>
      </c>
      <c r="G1151" s="17">
        <f t="shared" si="1247"/>
        <v>802.2</v>
      </c>
      <c r="H1151" s="17">
        <f t="shared" si="1248"/>
        <v>802.06666666666672</v>
      </c>
      <c r="I1151" s="17">
        <f t="shared" si="1249"/>
        <v>802</v>
      </c>
      <c r="J1151" s="17">
        <f t="shared" si="1250"/>
        <v>801.86666666666667</v>
      </c>
      <c r="K1151" s="17">
        <f t="shared" si="1251"/>
        <v>801.8</v>
      </c>
      <c r="L1151" s="17">
        <f t="shared" si="1252"/>
        <v>801.66666666666663</v>
      </c>
      <c r="M1151" s="17">
        <f t="shared" si="1253"/>
        <v>801.4666666666667</v>
      </c>
    </row>
    <row r="1152" spans="1:13" x14ac:dyDescent="0.35">
      <c r="B1152" s="2">
        <v>30</v>
      </c>
      <c r="C1152" s="2">
        <f t="shared" si="1243"/>
        <v>3473</v>
      </c>
      <c r="D1152" s="2">
        <f t="shared" si="1244"/>
        <v>3443</v>
      </c>
      <c r="E1152" s="3">
        <f t="shared" si="1245"/>
        <v>24101</v>
      </c>
      <c r="F1152" s="17">
        <f t="shared" si="1246"/>
        <v>803.33333333333337</v>
      </c>
      <c r="G1152" s="17">
        <f t="shared" si="1247"/>
        <v>803.13333333333333</v>
      </c>
      <c r="H1152" s="17">
        <f t="shared" si="1248"/>
        <v>803</v>
      </c>
      <c r="I1152" s="17">
        <f t="shared" si="1249"/>
        <v>802.93333333333328</v>
      </c>
      <c r="J1152" s="17">
        <f t="shared" si="1250"/>
        <v>802.8</v>
      </c>
      <c r="K1152" s="17">
        <f t="shared" si="1251"/>
        <v>802.73333333333335</v>
      </c>
      <c r="L1152" s="17">
        <f t="shared" si="1252"/>
        <v>802.6</v>
      </c>
      <c r="M1152" s="17">
        <f t="shared" si="1253"/>
        <v>802.4</v>
      </c>
    </row>
    <row r="1153" spans="1:13" x14ac:dyDescent="0.35">
      <c r="B1153" s="2">
        <v>30</v>
      </c>
      <c r="C1153" s="2">
        <f t="shared" si="1243"/>
        <v>3479</v>
      </c>
      <c r="D1153" s="2">
        <f t="shared" si="1244"/>
        <v>3449</v>
      </c>
      <c r="E1153" s="3">
        <f t="shared" si="1245"/>
        <v>24143</v>
      </c>
      <c r="F1153" s="17">
        <f t="shared" si="1246"/>
        <v>804.73333333333335</v>
      </c>
      <c r="G1153" s="17">
        <f t="shared" si="1247"/>
        <v>804.5333333333333</v>
      </c>
      <c r="H1153" s="17">
        <f t="shared" si="1248"/>
        <v>804.4</v>
      </c>
      <c r="I1153" s="17">
        <f t="shared" si="1249"/>
        <v>804.33333333333337</v>
      </c>
      <c r="J1153" s="17">
        <f t="shared" si="1250"/>
        <v>804.2</v>
      </c>
      <c r="K1153" s="17">
        <f t="shared" si="1251"/>
        <v>804.13333333333333</v>
      </c>
      <c r="L1153" s="17">
        <f t="shared" si="1252"/>
        <v>804</v>
      </c>
      <c r="M1153" s="17">
        <f t="shared" si="1253"/>
        <v>803.8</v>
      </c>
    </row>
    <row r="1154" spans="1:13" ht="16.8" thickBot="1" x14ac:dyDescent="0.4">
      <c r="F1154" s="17"/>
      <c r="G1154" s="17"/>
      <c r="H1154" s="17"/>
      <c r="I1154" s="17"/>
      <c r="J1154" s="17"/>
      <c r="K1154" s="17"/>
      <c r="L1154" s="17"/>
      <c r="M1154" s="17"/>
    </row>
    <row r="1155" spans="1:13" ht="16.8" thickBot="1" x14ac:dyDescent="0.4">
      <c r="A1155" s="1">
        <f>A1145+1</f>
        <v>116</v>
      </c>
      <c r="C1155" s="18" t="s">
        <v>2</v>
      </c>
      <c r="E1155" s="13">
        <f>E1136</f>
        <v>23737</v>
      </c>
      <c r="F1155" s="19">
        <v>1</v>
      </c>
      <c r="G1155" s="20">
        <v>7</v>
      </c>
      <c r="H1155" s="20">
        <v>11</v>
      </c>
      <c r="I1155" s="20">
        <v>13</v>
      </c>
      <c r="J1155" s="20">
        <v>17</v>
      </c>
      <c r="K1155" s="20">
        <v>19</v>
      </c>
      <c r="L1155" s="20">
        <v>23</v>
      </c>
      <c r="M1155" s="21">
        <v>29</v>
      </c>
    </row>
    <row r="1156" spans="1:13" x14ac:dyDescent="0.35">
      <c r="B1156" s="2">
        <v>30</v>
      </c>
      <c r="C1156" s="2">
        <f>D1156+B1156</f>
        <v>3481</v>
      </c>
      <c r="D1156" s="2">
        <f>C1146</f>
        <v>3451</v>
      </c>
      <c r="E1156" s="3">
        <f>D1156*$E$5</f>
        <v>24157</v>
      </c>
      <c r="F1156" s="17">
        <f>(E1156-1)/30</f>
        <v>805.2</v>
      </c>
      <c r="G1156" s="17">
        <f>($E1156-7)/30</f>
        <v>805</v>
      </c>
      <c r="H1156" s="17">
        <f>($E1156-11)/30</f>
        <v>804.86666666666667</v>
      </c>
      <c r="I1156" s="17">
        <f>($E1156-13)/30</f>
        <v>804.8</v>
      </c>
      <c r="J1156" s="17">
        <f>($E1156-17)/30</f>
        <v>804.66666666666663</v>
      </c>
      <c r="K1156" s="17">
        <f>($E1156-19)/30</f>
        <v>804.6</v>
      </c>
      <c r="L1156" s="17">
        <f>($E1156-23)/30</f>
        <v>804.4666666666667</v>
      </c>
      <c r="M1156" s="17">
        <f>($E1156-29)/30</f>
        <v>804.26666666666665</v>
      </c>
    </row>
    <row r="1157" spans="1:13" x14ac:dyDescent="0.35">
      <c r="B1157" s="2">
        <v>30</v>
      </c>
      <c r="C1157" s="2">
        <f t="shared" ref="C1157:C1163" si="1254">D1157+B1157</f>
        <v>3487</v>
      </c>
      <c r="D1157" s="2">
        <f t="shared" ref="D1157:D1163" si="1255">C1147</f>
        <v>3457</v>
      </c>
      <c r="E1157" s="3">
        <f t="shared" ref="E1157:E1163" si="1256">D1157*$E$5</f>
        <v>24199</v>
      </c>
      <c r="F1157" s="17">
        <f t="shared" ref="F1157:F1163" si="1257">(E1157-1)/30</f>
        <v>806.6</v>
      </c>
      <c r="G1157" s="17">
        <f t="shared" ref="G1157:G1163" si="1258">($E1157-7)/30</f>
        <v>806.4</v>
      </c>
      <c r="H1157" s="17">
        <f t="shared" ref="H1157:H1163" si="1259">($E1157-11)/30</f>
        <v>806.26666666666665</v>
      </c>
      <c r="I1157" s="17">
        <f t="shared" ref="I1157:I1163" si="1260">($E1157-13)/30</f>
        <v>806.2</v>
      </c>
      <c r="J1157" s="17">
        <f t="shared" ref="J1157:J1163" si="1261">($E1157-17)/30</f>
        <v>806.06666666666672</v>
      </c>
      <c r="K1157" s="17">
        <f t="shared" ref="K1157:K1163" si="1262">($E1157-19)/30</f>
        <v>806</v>
      </c>
      <c r="L1157" s="17">
        <f t="shared" ref="L1157:L1163" si="1263">($E1157-23)/30</f>
        <v>805.86666666666667</v>
      </c>
      <c r="M1157" s="17">
        <f t="shared" ref="M1157:M1163" si="1264">($E1157-29)/30</f>
        <v>805.66666666666663</v>
      </c>
    </row>
    <row r="1158" spans="1:13" x14ac:dyDescent="0.35">
      <c r="B1158" s="2">
        <v>30</v>
      </c>
      <c r="C1158" s="2">
        <f t="shared" si="1254"/>
        <v>3491</v>
      </c>
      <c r="D1158" s="2">
        <f t="shared" si="1255"/>
        <v>3461</v>
      </c>
      <c r="E1158" s="3">
        <f t="shared" si="1256"/>
        <v>24227</v>
      </c>
      <c r="F1158" s="17">
        <f t="shared" si="1257"/>
        <v>807.5333333333333</v>
      </c>
      <c r="G1158" s="17">
        <f t="shared" si="1258"/>
        <v>807.33333333333337</v>
      </c>
      <c r="H1158" s="17">
        <f t="shared" si="1259"/>
        <v>807.2</v>
      </c>
      <c r="I1158" s="17">
        <f t="shared" si="1260"/>
        <v>807.13333333333333</v>
      </c>
      <c r="J1158" s="17">
        <f t="shared" si="1261"/>
        <v>807</v>
      </c>
      <c r="K1158" s="17">
        <f t="shared" si="1262"/>
        <v>806.93333333333328</v>
      </c>
      <c r="L1158" s="17">
        <f t="shared" si="1263"/>
        <v>806.8</v>
      </c>
      <c r="M1158" s="17">
        <f t="shared" si="1264"/>
        <v>806.6</v>
      </c>
    </row>
    <row r="1159" spans="1:13" x14ac:dyDescent="0.35">
      <c r="B1159" s="2">
        <v>30</v>
      </c>
      <c r="C1159" s="2">
        <f t="shared" si="1254"/>
        <v>3493</v>
      </c>
      <c r="D1159" s="2">
        <f t="shared" si="1255"/>
        <v>3463</v>
      </c>
      <c r="E1159" s="3">
        <f t="shared" si="1256"/>
        <v>24241</v>
      </c>
      <c r="F1159" s="17">
        <f t="shared" si="1257"/>
        <v>808</v>
      </c>
      <c r="G1159" s="17">
        <f t="shared" si="1258"/>
        <v>807.8</v>
      </c>
      <c r="H1159" s="17">
        <f t="shared" si="1259"/>
        <v>807.66666666666663</v>
      </c>
      <c r="I1159" s="17">
        <f t="shared" si="1260"/>
        <v>807.6</v>
      </c>
      <c r="J1159" s="17">
        <f t="shared" si="1261"/>
        <v>807.4666666666667</v>
      </c>
      <c r="K1159" s="17">
        <f t="shared" si="1262"/>
        <v>807.4</v>
      </c>
      <c r="L1159" s="17">
        <f t="shared" si="1263"/>
        <v>807.26666666666665</v>
      </c>
      <c r="M1159" s="17">
        <f t="shared" si="1264"/>
        <v>807.06666666666672</v>
      </c>
    </row>
    <row r="1160" spans="1:13" x14ac:dyDescent="0.35">
      <c r="B1160" s="2">
        <v>30</v>
      </c>
      <c r="C1160" s="2">
        <f t="shared" si="1254"/>
        <v>3497</v>
      </c>
      <c r="D1160" s="2">
        <f t="shared" si="1255"/>
        <v>3467</v>
      </c>
      <c r="E1160" s="3">
        <f t="shared" si="1256"/>
        <v>24269</v>
      </c>
      <c r="F1160" s="17">
        <f t="shared" si="1257"/>
        <v>808.93333333333328</v>
      </c>
      <c r="G1160" s="17">
        <f t="shared" si="1258"/>
        <v>808.73333333333335</v>
      </c>
      <c r="H1160" s="17">
        <f t="shared" si="1259"/>
        <v>808.6</v>
      </c>
      <c r="I1160" s="17">
        <f t="shared" si="1260"/>
        <v>808.5333333333333</v>
      </c>
      <c r="J1160" s="17">
        <f t="shared" si="1261"/>
        <v>808.4</v>
      </c>
      <c r="K1160" s="17">
        <f t="shared" si="1262"/>
        <v>808.33333333333337</v>
      </c>
      <c r="L1160" s="17">
        <f t="shared" si="1263"/>
        <v>808.2</v>
      </c>
      <c r="M1160" s="17">
        <f t="shared" si="1264"/>
        <v>808</v>
      </c>
    </row>
    <row r="1161" spans="1:13" x14ac:dyDescent="0.35">
      <c r="B1161" s="2">
        <v>30</v>
      </c>
      <c r="C1161" s="2">
        <f t="shared" si="1254"/>
        <v>3499</v>
      </c>
      <c r="D1161" s="2">
        <f t="shared" si="1255"/>
        <v>3469</v>
      </c>
      <c r="E1161" s="3">
        <f t="shared" si="1256"/>
        <v>24283</v>
      </c>
      <c r="F1161" s="17">
        <f t="shared" si="1257"/>
        <v>809.4</v>
      </c>
      <c r="G1161" s="17">
        <f t="shared" si="1258"/>
        <v>809.2</v>
      </c>
      <c r="H1161" s="17">
        <f t="shared" si="1259"/>
        <v>809.06666666666672</v>
      </c>
      <c r="I1161" s="17">
        <f t="shared" si="1260"/>
        <v>809</v>
      </c>
      <c r="J1161" s="17">
        <f t="shared" si="1261"/>
        <v>808.86666666666667</v>
      </c>
      <c r="K1161" s="17">
        <f t="shared" si="1262"/>
        <v>808.8</v>
      </c>
      <c r="L1161" s="17">
        <f t="shared" si="1263"/>
        <v>808.66666666666663</v>
      </c>
      <c r="M1161" s="17">
        <f t="shared" si="1264"/>
        <v>808.4666666666667</v>
      </c>
    </row>
    <row r="1162" spans="1:13" x14ac:dyDescent="0.35">
      <c r="B1162" s="2">
        <v>30</v>
      </c>
      <c r="C1162" s="2">
        <f t="shared" si="1254"/>
        <v>3503</v>
      </c>
      <c r="D1162" s="2">
        <f t="shared" si="1255"/>
        <v>3473</v>
      </c>
      <c r="E1162" s="3">
        <f t="shared" si="1256"/>
        <v>24311</v>
      </c>
      <c r="F1162" s="17">
        <f t="shared" si="1257"/>
        <v>810.33333333333337</v>
      </c>
      <c r="G1162" s="17">
        <f t="shared" si="1258"/>
        <v>810.13333333333333</v>
      </c>
      <c r="H1162" s="17">
        <f t="shared" si="1259"/>
        <v>810</v>
      </c>
      <c r="I1162" s="17">
        <f t="shared" si="1260"/>
        <v>809.93333333333328</v>
      </c>
      <c r="J1162" s="17">
        <f t="shared" si="1261"/>
        <v>809.8</v>
      </c>
      <c r="K1162" s="17">
        <f t="shared" si="1262"/>
        <v>809.73333333333335</v>
      </c>
      <c r="L1162" s="17">
        <f t="shared" si="1263"/>
        <v>809.6</v>
      </c>
      <c r="M1162" s="17">
        <f t="shared" si="1264"/>
        <v>809.4</v>
      </c>
    </row>
    <row r="1163" spans="1:13" x14ac:dyDescent="0.35">
      <c r="B1163" s="2">
        <v>30</v>
      </c>
      <c r="C1163" s="2">
        <f t="shared" si="1254"/>
        <v>3509</v>
      </c>
      <c r="D1163" s="2">
        <f t="shared" si="1255"/>
        <v>3479</v>
      </c>
      <c r="E1163" s="3">
        <f t="shared" si="1256"/>
        <v>24353</v>
      </c>
      <c r="F1163" s="17">
        <f t="shared" si="1257"/>
        <v>811.73333333333335</v>
      </c>
      <c r="G1163" s="17">
        <f t="shared" si="1258"/>
        <v>811.5333333333333</v>
      </c>
      <c r="H1163" s="17">
        <f t="shared" si="1259"/>
        <v>811.4</v>
      </c>
      <c r="I1163" s="17">
        <f t="shared" si="1260"/>
        <v>811.33333333333337</v>
      </c>
      <c r="J1163" s="17">
        <f t="shared" si="1261"/>
        <v>811.2</v>
      </c>
      <c r="K1163" s="17">
        <f t="shared" si="1262"/>
        <v>811.13333333333333</v>
      </c>
      <c r="L1163" s="17">
        <f t="shared" si="1263"/>
        <v>811</v>
      </c>
      <c r="M1163" s="17">
        <f t="shared" si="1264"/>
        <v>810.8</v>
      </c>
    </row>
    <row r="1164" spans="1:13" ht="16.8" thickBot="1" x14ac:dyDescent="0.4">
      <c r="F1164" s="17"/>
      <c r="G1164" s="17"/>
      <c r="H1164" s="17"/>
      <c r="I1164" s="17"/>
      <c r="J1164" s="17"/>
      <c r="K1164" s="17"/>
      <c r="L1164" s="17"/>
      <c r="M1164" s="17"/>
    </row>
    <row r="1165" spans="1:13" ht="16.8" thickBot="1" x14ac:dyDescent="0.4">
      <c r="A1165" s="1">
        <f>A1155+1</f>
        <v>117</v>
      </c>
      <c r="C1165" s="18" t="s">
        <v>2</v>
      </c>
      <c r="E1165" s="13">
        <f>E1146</f>
        <v>23947</v>
      </c>
      <c r="F1165" s="19">
        <v>1</v>
      </c>
      <c r="G1165" s="20">
        <v>7</v>
      </c>
      <c r="H1165" s="20">
        <v>11</v>
      </c>
      <c r="I1165" s="20">
        <v>13</v>
      </c>
      <c r="J1165" s="20">
        <v>17</v>
      </c>
      <c r="K1165" s="20">
        <v>19</v>
      </c>
      <c r="L1165" s="20">
        <v>23</v>
      </c>
      <c r="M1165" s="21">
        <v>29</v>
      </c>
    </row>
    <row r="1166" spans="1:13" x14ac:dyDescent="0.35">
      <c r="B1166" s="2">
        <v>30</v>
      </c>
      <c r="C1166" s="2">
        <f>D1166+B1166</f>
        <v>3511</v>
      </c>
      <c r="D1166" s="2">
        <f>C1156</f>
        <v>3481</v>
      </c>
      <c r="E1166" s="3">
        <f>D1166*$E$5</f>
        <v>24367</v>
      </c>
      <c r="F1166" s="17">
        <f>(E1166-1)/30</f>
        <v>812.2</v>
      </c>
      <c r="G1166" s="17">
        <f>($E1166-7)/30</f>
        <v>812</v>
      </c>
      <c r="H1166" s="17">
        <f>($E1166-11)/30</f>
        <v>811.86666666666667</v>
      </c>
      <c r="I1166" s="17">
        <f>($E1166-13)/30</f>
        <v>811.8</v>
      </c>
      <c r="J1166" s="17">
        <f>($E1166-17)/30</f>
        <v>811.66666666666663</v>
      </c>
      <c r="K1166" s="17">
        <f>($E1166-19)/30</f>
        <v>811.6</v>
      </c>
      <c r="L1166" s="17">
        <f>($E1166-23)/30</f>
        <v>811.4666666666667</v>
      </c>
      <c r="M1166" s="17">
        <f>($E1166-29)/30</f>
        <v>811.26666666666665</v>
      </c>
    </row>
    <row r="1167" spans="1:13" x14ac:dyDescent="0.35">
      <c r="B1167" s="2">
        <v>30</v>
      </c>
      <c r="C1167" s="2">
        <f t="shared" ref="C1167:C1173" si="1265">D1167+B1167</f>
        <v>3517</v>
      </c>
      <c r="D1167" s="2">
        <f t="shared" ref="D1167:D1173" si="1266">C1157</f>
        <v>3487</v>
      </c>
      <c r="E1167" s="3">
        <f t="shared" ref="E1167:E1173" si="1267">D1167*$E$5</f>
        <v>24409</v>
      </c>
      <c r="F1167" s="17">
        <f t="shared" ref="F1167:F1173" si="1268">(E1167-1)/30</f>
        <v>813.6</v>
      </c>
      <c r="G1167" s="17">
        <f t="shared" ref="G1167:G1173" si="1269">($E1167-7)/30</f>
        <v>813.4</v>
      </c>
      <c r="H1167" s="17">
        <f t="shared" ref="H1167:H1173" si="1270">($E1167-11)/30</f>
        <v>813.26666666666665</v>
      </c>
      <c r="I1167" s="17">
        <f t="shared" ref="I1167:I1173" si="1271">($E1167-13)/30</f>
        <v>813.2</v>
      </c>
      <c r="J1167" s="17">
        <f t="shared" ref="J1167:J1173" si="1272">($E1167-17)/30</f>
        <v>813.06666666666672</v>
      </c>
      <c r="K1167" s="17">
        <f t="shared" ref="K1167:K1173" si="1273">($E1167-19)/30</f>
        <v>813</v>
      </c>
      <c r="L1167" s="17">
        <f t="shared" ref="L1167:L1173" si="1274">($E1167-23)/30</f>
        <v>812.86666666666667</v>
      </c>
      <c r="M1167" s="17">
        <f t="shared" ref="M1167:M1173" si="1275">($E1167-29)/30</f>
        <v>812.66666666666663</v>
      </c>
    </row>
    <row r="1168" spans="1:13" x14ac:dyDescent="0.35">
      <c r="B1168" s="2">
        <v>30</v>
      </c>
      <c r="C1168" s="2">
        <f t="shared" si="1265"/>
        <v>3521</v>
      </c>
      <c r="D1168" s="2">
        <f t="shared" si="1266"/>
        <v>3491</v>
      </c>
      <c r="E1168" s="3">
        <f t="shared" si="1267"/>
        <v>24437</v>
      </c>
      <c r="F1168" s="17">
        <f t="shared" si="1268"/>
        <v>814.5333333333333</v>
      </c>
      <c r="G1168" s="17">
        <f t="shared" si="1269"/>
        <v>814.33333333333337</v>
      </c>
      <c r="H1168" s="17">
        <f t="shared" si="1270"/>
        <v>814.2</v>
      </c>
      <c r="I1168" s="17">
        <f t="shared" si="1271"/>
        <v>814.13333333333333</v>
      </c>
      <c r="J1168" s="17">
        <f t="shared" si="1272"/>
        <v>814</v>
      </c>
      <c r="K1168" s="17">
        <f t="shared" si="1273"/>
        <v>813.93333333333328</v>
      </c>
      <c r="L1168" s="17">
        <f t="shared" si="1274"/>
        <v>813.8</v>
      </c>
      <c r="M1168" s="17">
        <f t="shared" si="1275"/>
        <v>813.6</v>
      </c>
    </row>
    <row r="1169" spans="1:13" x14ac:dyDescent="0.35">
      <c r="B1169" s="2">
        <v>30</v>
      </c>
      <c r="C1169" s="2">
        <f t="shared" si="1265"/>
        <v>3523</v>
      </c>
      <c r="D1169" s="2">
        <f t="shared" si="1266"/>
        <v>3493</v>
      </c>
      <c r="E1169" s="3">
        <f t="shared" si="1267"/>
        <v>24451</v>
      </c>
      <c r="F1169" s="17">
        <f t="shared" si="1268"/>
        <v>815</v>
      </c>
      <c r="G1169" s="17">
        <f t="shared" si="1269"/>
        <v>814.8</v>
      </c>
      <c r="H1169" s="17">
        <f t="shared" si="1270"/>
        <v>814.66666666666663</v>
      </c>
      <c r="I1169" s="17">
        <f t="shared" si="1271"/>
        <v>814.6</v>
      </c>
      <c r="J1169" s="17">
        <f t="shared" si="1272"/>
        <v>814.4666666666667</v>
      </c>
      <c r="K1169" s="17">
        <f t="shared" si="1273"/>
        <v>814.4</v>
      </c>
      <c r="L1169" s="17">
        <f t="shared" si="1274"/>
        <v>814.26666666666665</v>
      </c>
      <c r="M1169" s="17">
        <f t="shared" si="1275"/>
        <v>814.06666666666672</v>
      </c>
    </row>
    <row r="1170" spans="1:13" x14ac:dyDescent="0.35">
      <c r="B1170" s="2">
        <v>30</v>
      </c>
      <c r="C1170" s="2">
        <f t="shared" si="1265"/>
        <v>3527</v>
      </c>
      <c r="D1170" s="2">
        <f t="shared" si="1266"/>
        <v>3497</v>
      </c>
      <c r="E1170" s="3">
        <f t="shared" si="1267"/>
        <v>24479</v>
      </c>
      <c r="F1170" s="17">
        <f t="shared" si="1268"/>
        <v>815.93333333333328</v>
      </c>
      <c r="G1170" s="17">
        <f t="shared" si="1269"/>
        <v>815.73333333333335</v>
      </c>
      <c r="H1170" s="17">
        <f t="shared" si="1270"/>
        <v>815.6</v>
      </c>
      <c r="I1170" s="17">
        <f t="shared" si="1271"/>
        <v>815.5333333333333</v>
      </c>
      <c r="J1170" s="17">
        <f t="shared" si="1272"/>
        <v>815.4</v>
      </c>
      <c r="K1170" s="17">
        <f t="shared" si="1273"/>
        <v>815.33333333333337</v>
      </c>
      <c r="L1170" s="17">
        <f t="shared" si="1274"/>
        <v>815.2</v>
      </c>
      <c r="M1170" s="17">
        <f t="shared" si="1275"/>
        <v>815</v>
      </c>
    </row>
    <row r="1171" spans="1:13" x14ac:dyDescent="0.35">
      <c r="B1171" s="2">
        <v>30</v>
      </c>
      <c r="C1171" s="2">
        <f t="shared" si="1265"/>
        <v>3529</v>
      </c>
      <c r="D1171" s="2">
        <f t="shared" si="1266"/>
        <v>3499</v>
      </c>
      <c r="E1171" s="3">
        <f t="shared" si="1267"/>
        <v>24493</v>
      </c>
      <c r="F1171" s="17">
        <f t="shared" si="1268"/>
        <v>816.4</v>
      </c>
      <c r="G1171" s="17">
        <f t="shared" si="1269"/>
        <v>816.2</v>
      </c>
      <c r="H1171" s="17">
        <f t="shared" si="1270"/>
        <v>816.06666666666672</v>
      </c>
      <c r="I1171" s="17">
        <f t="shared" si="1271"/>
        <v>816</v>
      </c>
      <c r="J1171" s="17">
        <f t="shared" si="1272"/>
        <v>815.86666666666667</v>
      </c>
      <c r="K1171" s="17">
        <f t="shared" si="1273"/>
        <v>815.8</v>
      </c>
      <c r="L1171" s="17">
        <f t="shared" si="1274"/>
        <v>815.66666666666663</v>
      </c>
      <c r="M1171" s="17">
        <f t="shared" si="1275"/>
        <v>815.4666666666667</v>
      </c>
    </row>
    <row r="1172" spans="1:13" x14ac:dyDescent="0.35">
      <c r="B1172" s="2">
        <v>30</v>
      </c>
      <c r="C1172" s="2">
        <f t="shared" si="1265"/>
        <v>3533</v>
      </c>
      <c r="D1172" s="2">
        <f t="shared" si="1266"/>
        <v>3503</v>
      </c>
      <c r="E1172" s="3">
        <f t="shared" si="1267"/>
        <v>24521</v>
      </c>
      <c r="F1172" s="17">
        <f t="shared" si="1268"/>
        <v>817.33333333333337</v>
      </c>
      <c r="G1172" s="17">
        <f t="shared" si="1269"/>
        <v>817.13333333333333</v>
      </c>
      <c r="H1172" s="17">
        <f t="shared" si="1270"/>
        <v>817</v>
      </c>
      <c r="I1172" s="17">
        <f t="shared" si="1271"/>
        <v>816.93333333333328</v>
      </c>
      <c r="J1172" s="17">
        <f t="shared" si="1272"/>
        <v>816.8</v>
      </c>
      <c r="K1172" s="17">
        <f t="shared" si="1273"/>
        <v>816.73333333333335</v>
      </c>
      <c r="L1172" s="17">
        <f t="shared" si="1274"/>
        <v>816.6</v>
      </c>
      <c r="M1172" s="17">
        <f t="shared" si="1275"/>
        <v>816.4</v>
      </c>
    </row>
    <row r="1173" spans="1:13" x14ac:dyDescent="0.35">
      <c r="B1173" s="2">
        <v>30</v>
      </c>
      <c r="C1173" s="2">
        <f t="shared" si="1265"/>
        <v>3539</v>
      </c>
      <c r="D1173" s="2">
        <f t="shared" si="1266"/>
        <v>3509</v>
      </c>
      <c r="E1173" s="3">
        <f t="shared" si="1267"/>
        <v>24563</v>
      </c>
      <c r="F1173" s="17">
        <f t="shared" si="1268"/>
        <v>818.73333333333335</v>
      </c>
      <c r="G1173" s="17">
        <f t="shared" si="1269"/>
        <v>818.5333333333333</v>
      </c>
      <c r="H1173" s="17">
        <f t="shared" si="1270"/>
        <v>818.4</v>
      </c>
      <c r="I1173" s="17">
        <f t="shared" si="1271"/>
        <v>818.33333333333337</v>
      </c>
      <c r="J1173" s="17">
        <f t="shared" si="1272"/>
        <v>818.2</v>
      </c>
      <c r="K1173" s="17">
        <f t="shared" si="1273"/>
        <v>818.13333333333333</v>
      </c>
      <c r="L1173" s="17">
        <f t="shared" si="1274"/>
        <v>818</v>
      </c>
      <c r="M1173" s="17">
        <f t="shared" si="1275"/>
        <v>817.8</v>
      </c>
    </row>
    <row r="1174" spans="1:13" ht="16.8" thickBot="1" x14ac:dyDescent="0.4">
      <c r="F1174" s="17"/>
      <c r="G1174" s="17"/>
      <c r="H1174" s="17"/>
      <c r="I1174" s="17"/>
      <c r="J1174" s="17"/>
      <c r="K1174" s="17"/>
      <c r="L1174" s="17"/>
      <c r="M1174" s="17"/>
    </row>
    <row r="1175" spans="1:13" ht="16.8" thickBot="1" x14ac:dyDescent="0.4">
      <c r="A1175" s="1">
        <f>A1165+1</f>
        <v>118</v>
      </c>
      <c r="C1175" s="18" t="s">
        <v>2</v>
      </c>
      <c r="E1175" s="13">
        <f>E1156</f>
        <v>24157</v>
      </c>
      <c r="F1175" s="19">
        <v>1</v>
      </c>
      <c r="G1175" s="20">
        <v>7</v>
      </c>
      <c r="H1175" s="20">
        <v>11</v>
      </c>
      <c r="I1175" s="20">
        <v>13</v>
      </c>
      <c r="J1175" s="20">
        <v>17</v>
      </c>
      <c r="K1175" s="20">
        <v>19</v>
      </c>
      <c r="L1175" s="20">
        <v>23</v>
      </c>
      <c r="M1175" s="21">
        <v>29</v>
      </c>
    </row>
    <row r="1176" spans="1:13" x14ac:dyDescent="0.35">
      <c r="B1176" s="2">
        <v>30</v>
      </c>
      <c r="C1176" s="2">
        <f>D1176+B1176</f>
        <v>3541</v>
      </c>
      <c r="D1176" s="2">
        <f>C1166</f>
        <v>3511</v>
      </c>
      <c r="E1176" s="3">
        <f>D1176*$E$5</f>
        <v>24577</v>
      </c>
      <c r="F1176" s="17">
        <f>(E1176-1)/30</f>
        <v>819.2</v>
      </c>
      <c r="G1176" s="17">
        <f>($E1176-7)/30</f>
        <v>819</v>
      </c>
      <c r="H1176" s="17">
        <f>($E1176-11)/30</f>
        <v>818.86666666666667</v>
      </c>
      <c r="I1176" s="17">
        <f>($E1176-13)/30</f>
        <v>818.8</v>
      </c>
      <c r="J1176" s="17">
        <f>($E1176-17)/30</f>
        <v>818.66666666666663</v>
      </c>
      <c r="K1176" s="17">
        <f>($E1176-19)/30</f>
        <v>818.6</v>
      </c>
      <c r="L1176" s="17">
        <f>($E1176-23)/30</f>
        <v>818.4666666666667</v>
      </c>
      <c r="M1176" s="17">
        <f>($E1176-29)/30</f>
        <v>818.26666666666665</v>
      </c>
    </row>
    <row r="1177" spans="1:13" x14ac:dyDescent="0.35">
      <c r="B1177" s="2">
        <v>30</v>
      </c>
      <c r="C1177" s="2">
        <f t="shared" ref="C1177:C1183" si="1276">D1177+B1177</f>
        <v>3547</v>
      </c>
      <c r="D1177" s="2">
        <f t="shared" ref="D1177:D1183" si="1277">C1167</f>
        <v>3517</v>
      </c>
      <c r="E1177" s="3">
        <f t="shared" ref="E1177:E1183" si="1278">D1177*$E$5</f>
        <v>24619</v>
      </c>
      <c r="F1177" s="17">
        <f t="shared" ref="F1177:F1183" si="1279">(E1177-1)/30</f>
        <v>820.6</v>
      </c>
      <c r="G1177" s="17">
        <f t="shared" ref="G1177:G1183" si="1280">($E1177-7)/30</f>
        <v>820.4</v>
      </c>
      <c r="H1177" s="17">
        <f t="shared" ref="H1177:H1183" si="1281">($E1177-11)/30</f>
        <v>820.26666666666665</v>
      </c>
      <c r="I1177" s="17">
        <f t="shared" ref="I1177:I1183" si="1282">($E1177-13)/30</f>
        <v>820.2</v>
      </c>
      <c r="J1177" s="17">
        <f t="shared" ref="J1177:J1183" si="1283">($E1177-17)/30</f>
        <v>820.06666666666672</v>
      </c>
      <c r="K1177" s="17">
        <f t="shared" ref="K1177:K1183" si="1284">($E1177-19)/30</f>
        <v>820</v>
      </c>
      <c r="L1177" s="17">
        <f t="shared" ref="L1177:L1183" si="1285">($E1177-23)/30</f>
        <v>819.86666666666667</v>
      </c>
      <c r="M1177" s="17">
        <f t="shared" ref="M1177:M1183" si="1286">($E1177-29)/30</f>
        <v>819.66666666666663</v>
      </c>
    </row>
    <row r="1178" spans="1:13" x14ac:dyDescent="0.35">
      <c r="B1178" s="2">
        <v>30</v>
      </c>
      <c r="C1178" s="2">
        <f t="shared" si="1276"/>
        <v>3551</v>
      </c>
      <c r="D1178" s="2">
        <f t="shared" si="1277"/>
        <v>3521</v>
      </c>
      <c r="E1178" s="3">
        <f t="shared" si="1278"/>
        <v>24647</v>
      </c>
      <c r="F1178" s="17">
        <f t="shared" si="1279"/>
        <v>821.5333333333333</v>
      </c>
      <c r="G1178" s="17">
        <f t="shared" si="1280"/>
        <v>821.33333333333337</v>
      </c>
      <c r="H1178" s="17">
        <f t="shared" si="1281"/>
        <v>821.2</v>
      </c>
      <c r="I1178" s="17">
        <f t="shared" si="1282"/>
        <v>821.13333333333333</v>
      </c>
      <c r="J1178" s="17">
        <f t="shared" si="1283"/>
        <v>821</v>
      </c>
      <c r="K1178" s="17">
        <f t="shared" si="1284"/>
        <v>820.93333333333328</v>
      </c>
      <c r="L1178" s="17">
        <f t="shared" si="1285"/>
        <v>820.8</v>
      </c>
      <c r="M1178" s="17">
        <f t="shared" si="1286"/>
        <v>820.6</v>
      </c>
    </row>
    <row r="1179" spans="1:13" x14ac:dyDescent="0.35">
      <c r="B1179" s="2">
        <v>30</v>
      </c>
      <c r="C1179" s="2">
        <f t="shared" si="1276"/>
        <v>3553</v>
      </c>
      <c r="D1179" s="2">
        <f t="shared" si="1277"/>
        <v>3523</v>
      </c>
      <c r="E1179" s="3">
        <f t="shared" si="1278"/>
        <v>24661</v>
      </c>
      <c r="F1179" s="17">
        <f t="shared" si="1279"/>
        <v>822</v>
      </c>
      <c r="G1179" s="17">
        <f t="shared" si="1280"/>
        <v>821.8</v>
      </c>
      <c r="H1179" s="17">
        <f t="shared" si="1281"/>
        <v>821.66666666666663</v>
      </c>
      <c r="I1179" s="17">
        <f t="shared" si="1282"/>
        <v>821.6</v>
      </c>
      <c r="J1179" s="17">
        <f t="shared" si="1283"/>
        <v>821.4666666666667</v>
      </c>
      <c r="K1179" s="17">
        <f t="shared" si="1284"/>
        <v>821.4</v>
      </c>
      <c r="L1179" s="17">
        <f t="shared" si="1285"/>
        <v>821.26666666666665</v>
      </c>
      <c r="M1179" s="17">
        <f t="shared" si="1286"/>
        <v>821.06666666666672</v>
      </c>
    </row>
    <row r="1180" spans="1:13" x14ac:dyDescent="0.35">
      <c r="B1180" s="2">
        <v>30</v>
      </c>
      <c r="C1180" s="2">
        <f t="shared" si="1276"/>
        <v>3557</v>
      </c>
      <c r="D1180" s="2">
        <f t="shared" si="1277"/>
        <v>3527</v>
      </c>
      <c r="E1180" s="3">
        <f t="shared" si="1278"/>
        <v>24689</v>
      </c>
      <c r="F1180" s="17">
        <f t="shared" si="1279"/>
        <v>822.93333333333328</v>
      </c>
      <c r="G1180" s="17">
        <f t="shared" si="1280"/>
        <v>822.73333333333335</v>
      </c>
      <c r="H1180" s="17">
        <f t="shared" si="1281"/>
        <v>822.6</v>
      </c>
      <c r="I1180" s="17">
        <f t="shared" si="1282"/>
        <v>822.5333333333333</v>
      </c>
      <c r="J1180" s="17">
        <f t="shared" si="1283"/>
        <v>822.4</v>
      </c>
      <c r="K1180" s="17">
        <f t="shared" si="1284"/>
        <v>822.33333333333337</v>
      </c>
      <c r="L1180" s="17">
        <f t="shared" si="1285"/>
        <v>822.2</v>
      </c>
      <c r="M1180" s="17">
        <f t="shared" si="1286"/>
        <v>822</v>
      </c>
    </row>
    <row r="1181" spans="1:13" x14ac:dyDescent="0.35">
      <c r="B1181" s="2">
        <v>30</v>
      </c>
      <c r="C1181" s="2">
        <f t="shared" si="1276"/>
        <v>3559</v>
      </c>
      <c r="D1181" s="2">
        <f t="shared" si="1277"/>
        <v>3529</v>
      </c>
      <c r="E1181" s="3">
        <f t="shared" si="1278"/>
        <v>24703</v>
      </c>
      <c r="F1181" s="17">
        <f t="shared" si="1279"/>
        <v>823.4</v>
      </c>
      <c r="G1181" s="17">
        <f t="shared" si="1280"/>
        <v>823.2</v>
      </c>
      <c r="H1181" s="17">
        <f t="shared" si="1281"/>
        <v>823.06666666666672</v>
      </c>
      <c r="I1181" s="17">
        <f t="shared" si="1282"/>
        <v>823</v>
      </c>
      <c r="J1181" s="17">
        <f t="shared" si="1283"/>
        <v>822.86666666666667</v>
      </c>
      <c r="K1181" s="17">
        <f t="shared" si="1284"/>
        <v>822.8</v>
      </c>
      <c r="L1181" s="17">
        <f t="shared" si="1285"/>
        <v>822.66666666666663</v>
      </c>
      <c r="M1181" s="17">
        <f t="shared" si="1286"/>
        <v>822.4666666666667</v>
      </c>
    </row>
    <row r="1182" spans="1:13" x14ac:dyDescent="0.35">
      <c r="B1182" s="2">
        <v>30</v>
      </c>
      <c r="C1182" s="2">
        <f t="shared" si="1276"/>
        <v>3563</v>
      </c>
      <c r="D1182" s="2">
        <f t="shared" si="1277"/>
        <v>3533</v>
      </c>
      <c r="E1182" s="3">
        <f t="shared" si="1278"/>
        <v>24731</v>
      </c>
      <c r="F1182" s="17">
        <f t="shared" si="1279"/>
        <v>824.33333333333337</v>
      </c>
      <c r="G1182" s="17">
        <f t="shared" si="1280"/>
        <v>824.13333333333333</v>
      </c>
      <c r="H1182" s="17">
        <f t="shared" si="1281"/>
        <v>824</v>
      </c>
      <c r="I1182" s="17">
        <f t="shared" si="1282"/>
        <v>823.93333333333328</v>
      </c>
      <c r="J1182" s="17">
        <f t="shared" si="1283"/>
        <v>823.8</v>
      </c>
      <c r="K1182" s="17">
        <f t="shared" si="1284"/>
        <v>823.73333333333335</v>
      </c>
      <c r="L1182" s="17">
        <f t="shared" si="1285"/>
        <v>823.6</v>
      </c>
      <c r="M1182" s="17">
        <f t="shared" si="1286"/>
        <v>823.4</v>
      </c>
    </row>
    <row r="1183" spans="1:13" x14ac:dyDescent="0.35">
      <c r="B1183" s="2">
        <v>30</v>
      </c>
      <c r="C1183" s="2">
        <f t="shared" si="1276"/>
        <v>3569</v>
      </c>
      <c r="D1183" s="2">
        <f t="shared" si="1277"/>
        <v>3539</v>
      </c>
      <c r="E1183" s="3">
        <f t="shared" si="1278"/>
        <v>24773</v>
      </c>
      <c r="F1183" s="17">
        <f t="shared" si="1279"/>
        <v>825.73333333333335</v>
      </c>
      <c r="G1183" s="17">
        <f t="shared" si="1280"/>
        <v>825.5333333333333</v>
      </c>
      <c r="H1183" s="17">
        <f t="shared" si="1281"/>
        <v>825.4</v>
      </c>
      <c r="I1183" s="17">
        <f t="shared" si="1282"/>
        <v>825.33333333333337</v>
      </c>
      <c r="J1183" s="17">
        <f t="shared" si="1283"/>
        <v>825.2</v>
      </c>
      <c r="K1183" s="17">
        <f t="shared" si="1284"/>
        <v>825.13333333333333</v>
      </c>
      <c r="L1183" s="17">
        <f t="shared" si="1285"/>
        <v>825</v>
      </c>
      <c r="M1183" s="17">
        <f t="shared" si="1286"/>
        <v>824.8</v>
      </c>
    </row>
    <row r="1184" spans="1:13" ht="16.8" thickBot="1" x14ac:dyDescent="0.4">
      <c r="F1184" s="17"/>
      <c r="G1184" s="17"/>
      <c r="H1184" s="17"/>
      <c r="I1184" s="17"/>
      <c r="J1184" s="17"/>
      <c r="K1184" s="17"/>
      <c r="L1184" s="17"/>
      <c r="M1184" s="17"/>
    </row>
    <row r="1185" spans="1:13" ht="16.8" thickBot="1" x14ac:dyDescent="0.4">
      <c r="A1185" s="1">
        <f>A1175+1</f>
        <v>119</v>
      </c>
      <c r="C1185" s="18" t="s">
        <v>2</v>
      </c>
      <c r="E1185" s="13">
        <f>E1166</f>
        <v>24367</v>
      </c>
      <c r="F1185" s="19">
        <v>1</v>
      </c>
      <c r="G1185" s="20">
        <v>7</v>
      </c>
      <c r="H1185" s="20">
        <v>11</v>
      </c>
      <c r="I1185" s="20">
        <v>13</v>
      </c>
      <c r="J1185" s="20">
        <v>17</v>
      </c>
      <c r="K1185" s="20">
        <v>19</v>
      </c>
      <c r="L1185" s="20">
        <v>23</v>
      </c>
      <c r="M1185" s="21">
        <v>29</v>
      </c>
    </row>
    <row r="1186" spans="1:13" x14ac:dyDescent="0.35">
      <c r="B1186" s="2">
        <v>30</v>
      </c>
      <c r="C1186" s="2">
        <f>D1186+B1186</f>
        <v>3571</v>
      </c>
      <c r="D1186" s="2">
        <f>C1176</f>
        <v>3541</v>
      </c>
      <c r="E1186" s="3">
        <f>D1186*$E$5</f>
        <v>24787</v>
      </c>
      <c r="F1186" s="17">
        <f>(E1186-1)/30</f>
        <v>826.2</v>
      </c>
      <c r="G1186" s="17">
        <f>($E1186-7)/30</f>
        <v>826</v>
      </c>
      <c r="H1186" s="17">
        <f>($E1186-11)/30</f>
        <v>825.86666666666667</v>
      </c>
      <c r="I1186" s="17">
        <f>($E1186-13)/30</f>
        <v>825.8</v>
      </c>
      <c r="J1186" s="17">
        <f>($E1186-17)/30</f>
        <v>825.66666666666663</v>
      </c>
      <c r="K1186" s="17">
        <f>($E1186-19)/30</f>
        <v>825.6</v>
      </c>
      <c r="L1186" s="17">
        <f>($E1186-23)/30</f>
        <v>825.4666666666667</v>
      </c>
      <c r="M1186" s="17">
        <f>($E1186-29)/30</f>
        <v>825.26666666666665</v>
      </c>
    </row>
    <row r="1187" spans="1:13" x14ac:dyDescent="0.35">
      <c r="B1187" s="2">
        <v>30</v>
      </c>
      <c r="C1187" s="2">
        <f t="shared" ref="C1187:C1193" si="1287">D1187+B1187</f>
        <v>3577</v>
      </c>
      <c r="D1187" s="2">
        <f t="shared" ref="D1187:D1193" si="1288">C1177</f>
        <v>3547</v>
      </c>
      <c r="E1187" s="3">
        <f t="shared" ref="E1187:E1193" si="1289">D1187*$E$5</f>
        <v>24829</v>
      </c>
      <c r="F1187" s="17">
        <f t="shared" ref="F1187:F1193" si="1290">(E1187-1)/30</f>
        <v>827.6</v>
      </c>
      <c r="G1187" s="17">
        <f t="shared" ref="G1187:G1193" si="1291">($E1187-7)/30</f>
        <v>827.4</v>
      </c>
      <c r="H1187" s="17">
        <f t="shared" ref="H1187:H1193" si="1292">($E1187-11)/30</f>
        <v>827.26666666666665</v>
      </c>
      <c r="I1187" s="17">
        <f t="shared" ref="I1187:I1193" si="1293">($E1187-13)/30</f>
        <v>827.2</v>
      </c>
      <c r="J1187" s="17">
        <f t="shared" ref="J1187:J1193" si="1294">($E1187-17)/30</f>
        <v>827.06666666666672</v>
      </c>
      <c r="K1187" s="17">
        <f t="shared" ref="K1187:K1193" si="1295">($E1187-19)/30</f>
        <v>827</v>
      </c>
      <c r="L1187" s="17">
        <f t="shared" ref="L1187:L1193" si="1296">($E1187-23)/30</f>
        <v>826.86666666666667</v>
      </c>
      <c r="M1187" s="17">
        <f t="shared" ref="M1187:M1193" si="1297">($E1187-29)/30</f>
        <v>826.66666666666663</v>
      </c>
    </row>
    <row r="1188" spans="1:13" x14ac:dyDescent="0.35">
      <c r="B1188" s="2">
        <v>30</v>
      </c>
      <c r="C1188" s="2">
        <f t="shared" si="1287"/>
        <v>3581</v>
      </c>
      <c r="D1188" s="2">
        <f t="shared" si="1288"/>
        <v>3551</v>
      </c>
      <c r="E1188" s="3">
        <f t="shared" si="1289"/>
        <v>24857</v>
      </c>
      <c r="F1188" s="17">
        <f t="shared" si="1290"/>
        <v>828.5333333333333</v>
      </c>
      <c r="G1188" s="17">
        <f t="shared" si="1291"/>
        <v>828.33333333333337</v>
      </c>
      <c r="H1188" s="17">
        <f t="shared" si="1292"/>
        <v>828.2</v>
      </c>
      <c r="I1188" s="17">
        <f t="shared" si="1293"/>
        <v>828.13333333333333</v>
      </c>
      <c r="J1188" s="17">
        <f t="shared" si="1294"/>
        <v>828</v>
      </c>
      <c r="K1188" s="17">
        <f t="shared" si="1295"/>
        <v>827.93333333333328</v>
      </c>
      <c r="L1188" s="17">
        <f t="shared" si="1296"/>
        <v>827.8</v>
      </c>
      <c r="M1188" s="17">
        <f t="shared" si="1297"/>
        <v>827.6</v>
      </c>
    </row>
    <row r="1189" spans="1:13" x14ac:dyDescent="0.35">
      <c r="B1189" s="2">
        <v>30</v>
      </c>
      <c r="C1189" s="2">
        <f t="shared" si="1287"/>
        <v>3583</v>
      </c>
      <c r="D1189" s="2">
        <f t="shared" si="1288"/>
        <v>3553</v>
      </c>
      <c r="E1189" s="3">
        <f t="shared" si="1289"/>
        <v>24871</v>
      </c>
      <c r="F1189" s="17">
        <f t="shared" si="1290"/>
        <v>829</v>
      </c>
      <c r="G1189" s="17">
        <f t="shared" si="1291"/>
        <v>828.8</v>
      </c>
      <c r="H1189" s="17">
        <f t="shared" si="1292"/>
        <v>828.66666666666663</v>
      </c>
      <c r="I1189" s="17">
        <f t="shared" si="1293"/>
        <v>828.6</v>
      </c>
      <c r="J1189" s="17">
        <f t="shared" si="1294"/>
        <v>828.4666666666667</v>
      </c>
      <c r="K1189" s="17">
        <f t="shared" si="1295"/>
        <v>828.4</v>
      </c>
      <c r="L1189" s="17">
        <f t="shared" si="1296"/>
        <v>828.26666666666665</v>
      </c>
      <c r="M1189" s="17">
        <f t="shared" si="1297"/>
        <v>828.06666666666672</v>
      </c>
    </row>
    <row r="1190" spans="1:13" x14ac:dyDescent="0.35">
      <c r="B1190" s="2">
        <v>30</v>
      </c>
      <c r="C1190" s="2">
        <f t="shared" si="1287"/>
        <v>3587</v>
      </c>
      <c r="D1190" s="2">
        <f t="shared" si="1288"/>
        <v>3557</v>
      </c>
      <c r="E1190" s="3">
        <f t="shared" si="1289"/>
        <v>24899</v>
      </c>
      <c r="F1190" s="17">
        <f t="shared" si="1290"/>
        <v>829.93333333333328</v>
      </c>
      <c r="G1190" s="17">
        <f t="shared" si="1291"/>
        <v>829.73333333333335</v>
      </c>
      <c r="H1190" s="17">
        <f t="shared" si="1292"/>
        <v>829.6</v>
      </c>
      <c r="I1190" s="17">
        <f t="shared" si="1293"/>
        <v>829.5333333333333</v>
      </c>
      <c r="J1190" s="17">
        <f t="shared" si="1294"/>
        <v>829.4</v>
      </c>
      <c r="K1190" s="17">
        <f t="shared" si="1295"/>
        <v>829.33333333333337</v>
      </c>
      <c r="L1190" s="17">
        <f t="shared" si="1296"/>
        <v>829.2</v>
      </c>
      <c r="M1190" s="17">
        <f t="shared" si="1297"/>
        <v>829</v>
      </c>
    </row>
    <row r="1191" spans="1:13" x14ac:dyDescent="0.35">
      <c r="B1191" s="2">
        <v>30</v>
      </c>
      <c r="C1191" s="2">
        <f t="shared" si="1287"/>
        <v>3589</v>
      </c>
      <c r="D1191" s="2">
        <f t="shared" si="1288"/>
        <v>3559</v>
      </c>
      <c r="E1191" s="3">
        <f t="shared" si="1289"/>
        <v>24913</v>
      </c>
      <c r="F1191" s="17">
        <f t="shared" si="1290"/>
        <v>830.4</v>
      </c>
      <c r="G1191" s="17">
        <f t="shared" si="1291"/>
        <v>830.2</v>
      </c>
      <c r="H1191" s="17">
        <f t="shared" si="1292"/>
        <v>830.06666666666672</v>
      </c>
      <c r="I1191" s="17">
        <f t="shared" si="1293"/>
        <v>830</v>
      </c>
      <c r="J1191" s="17">
        <f t="shared" si="1294"/>
        <v>829.86666666666667</v>
      </c>
      <c r="K1191" s="17">
        <f t="shared" si="1295"/>
        <v>829.8</v>
      </c>
      <c r="L1191" s="17">
        <f t="shared" si="1296"/>
        <v>829.66666666666663</v>
      </c>
      <c r="M1191" s="17">
        <f t="shared" si="1297"/>
        <v>829.4666666666667</v>
      </c>
    </row>
    <row r="1192" spans="1:13" x14ac:dyDescent="0.35">
      <c r="B1192" s="2">
        <v>30</v>
      </c>
      <c r="C1192" s="2">
        <f t="shared" si="1287"/>
        <v>3593</v>
      </c>
      <c r="D1192" s="2">
        <f t="shared" si="1288"/>
        <v>3563</v>
      </c>
      <c r="E1192" s="3">
        <f t="shared" si="1289"/>
        <v>24941</v>
      </c>
      <c r="F1192" s="17">
        <f t="shared" si="1290"/>
        <v>831.33333333333337</v>
      </c>
      <c r="G1192" s="17">
        <f t="shared" si="1291"/>
        <v>831.13333333333333</v>
      </c>
      <c r="H1192" s="17">
        <f t="shared" si="1292"/>
        <v>831</v>
      </c>
      <c r="I1192" s="17">
        <f t="shared" si="1293"/>
        <v>830.93333333333328</v>
      </c>
      <c r="J1192" s="17">
        <f t="shared" si="1294"/>
        <v>830.8</v>
      </c>
      <c r="K1192" s="17">
        <f t="shared" si="1295"/>
        <v>830.73333333333335</v>
      </c>
      <c r="L1192" s="17">
        <f t="shared" si="1296"/>
        <v>830.6</v>
      </c>
      <c r="M1192" s="17">
        <f t="shared" si="1297"/>
        <v>830.4</v>
      </c>
    </row>
    <row r="1193" spans="1:13" x14ac:dyDescent="0.35">
      <c r="B1193" s="2">
        <v>30</v>
      </c>
      <c r="C1193" s="2">
        <f t="shared" si="1287"/>
        <v>3599</v>
      </c>
      <c r="D1193" s="2">
        <f t="shared" si="1288"/>
        <v>3569</v>
      </c>
      <c r="E1193" s="3">
        <f t="shared" si="1289"/>
        <v>24983</v>
      </c>
      <c r="F1193" s="17">
        <f t="shared" si="1290"/>
        <v>832.73333333333335</v>
      </c>
      <c r="G1193" s="17">
        <f t="shared" si="1291"/>
        <v>832.5333333333333</v>
      </c>
      <c r="H1193" s="17">
        <f t="shared" si="1292"/>
        <v>832.4</v>
      </c>
      <c r="I1193" s="17">
        <f t="shared" si="1293"/>
        <v>832.33333333333337</v>
      </c>
      <c r="J1193" s="17">
        <f t="shared" si="1294"/>
        <v>832.2</v>
      </c>
      <c r="K1193" s="17">
        <f t="shared" si="1295"/>
        <v>832.13333333333333</v>
      </c>
      <c r="L1193" s="17">
        <f t="shared" si="1296"/>
        <v>832</v>
      </c>
      <c r="M1193" s="17">
        <f t="shared" si="1297"/>
        <v>831.8</v>
      </c>
    </row>
    <row r="1194" spans="1:13" ht="16.8" thickBot="1" x14ac:dyDescent="0.4">
      <c r="F1194" s="17"/>
      <c r="G1194" s="17"/>
      <c r="H1194" s="17"/>
      <c r="I1194" s="17"/>
      <c r="J1194" s="17"/>
      <c r="K1194" s="17"/>
      <c r="L1194" s="17"/>
      <c r="M1194" s="17"/>
    </row>
    <row r="1195" spans="1:13" ht="16.8" thickBot="1" x14ac:dyDescent="0.4">
      <c r="A1195" s="1">
        <f>A1185+1</f>
        <v>120</v>
      </c>
      <c r="C1195" s="18" t="s">
        <v>2</v>
      </c>
      <c r="E1195" s="13">
        <f>E1176</f>
        <v>24577</v>
      </c>
      <c r="F1195" s="19">
        <v>1</v>
      </c>
      <c r="G1195" s="20">
        <v>7</v>
      </c>
      <c r="H1195" s="20">
        <v>11</v>
      </c>
      <c r="I1195" s="20">
        <v>13</v>
      </c>
      <c r="J1195" s="20">
        <v>17</v>
      </c>
      <c r="K1195" s="20">
        <v>19</v>
      </c>
      <c r="L1195" s="20">
        <v>23</v>
      </c>
      <c r="M1195" s="21">
        <v>29</v>
      </c>
    </row>
    <row r="1196" spans="1:13" x14ac:dyDescent="0.35">
      <c r="B1196" s="2">
        <v>30</v>
      </c>
      <c r="C1196" s="2">
        <f>D1196+B1196</f>
        <v>3601</v>
      </c>
      <c r="D1196" s="2">
        <f>C1186</f>
        <v>3571</v>
      </c>
      <c r="E1196" s="3">
        <f>D1196*$E$5</f>
        <v>24997</v>
      </c>
      <c r="F1196" s="17">
        <f>(E1196-1)/30</f>
        <v>833.2</v>
      </c>
      <c r="G1196" s="17">
        <f>($E1196-7)/30</f>
        <v>833</v>
      </c>
      <c r="H1196" s="17">
        <f>($E1196-11)/30</f>
        <v>832.86666666666667</v>
      </c>
      <c r="I1196" s="17">
        <f>($E1196-13)/30</f>
        <v>832.8</v>
      </c>
      <c r="J1196" s="17">
        <f>($E1196-17)/30</f>
        <v>832.66666666666663</v>
      </c>
      <c r="K1196" s="17">
        <f>($E1196-19)/30</f>
        <v>832.6</v>
      </c>
      <c r="L1196" s="17">
        <f>($E1196-23)/30</f>
        <v>832.4666666666667</v>
      </c>
      <c r="M1196" s="17">
        <f>($E1196-29)/30</f>
        <v>832.26666666666665</v>
      </c>
    </row>
    <row r="1197" spans="1:13" x14ac:dyDescent="0.35">
      <c r="B1197" s="2">
        <v>30</v>
      </c>
      <c r="C1197" s="2">
        <f t="shared" ref="C1197:C1203" si="1298">D1197+B1197</f>
        <v>3607</v>
      </c>
      <c r="D1197" s="2">
        <f t="shared" ref="D1197:D1203" si="1299">C1187</f>
        <v>3577</v>
      </c>
      <c r="E1197" s="3">
        <f t="shared" ref="E1197:E1203" si="1300">D1197*$E$5</f>
        <v>25039</v>
      </c>
      <c r="F1197" s="17">
        <f t="shared" ref="F1197:F1203" si="1301">(E1197-1)/30</f>
        <v>834.6</v>
      </c>
      <c r="G1197" s="17">
        <f t="shared" ref="G1197:G1203" si="1302">($E1197-7)/30</f>
        <v>834.4</v>
      </c>
      <c r="H1197" s="17">
        <f t="shared" ref="H1197:H1203" si="1303">($E1197-11)/30</f>
        <v>834.26666666666665</v>
      </c>
      <c r="I1197" s="17">
        <f t="shared" ref="I1197:I1203" si="1304">($E1197-13)/30</f>
        <v>834.2</v>
      </c>
      <c r="J1197" s="17">
        <f t="shared" ref="J1197:J1203" si="1305">($E1197-17)/30</f>
        <v>834.06666666666672</v>
      </c>
      <c r="K1197" s="17">
        <f t="shared" ref="K1197:K1203" si="1306">($E1197-19)/30</f>
        <v>834</v>
      </c>
      <c r="L1197" s="17">
        <f t="shared" ref="L1197:L1203" si="1307">($E1197-23)/30</f>
        <v>833.86666666666667</v>
      </c>
      <c r="M1197" s="17">
        <f t="shared" ref="M1197:M1203" si="1308">($E1197-29)/30</f>
        <v>833.66666666666663</v>
      </c>
    </row>
    <row r="1198" spans="1:13" x14ac:dyDescent="0.35">
      <c r="B1198" s="2">
        <v>30</v>
      </c>
      <c r="C1198" s="2">
        <f t="shared" si="1298"/>
        <v>3611</v>
      </c>
      <c r="D1198" s="2">
        <f t="shared" si="1299"/>
        <v>3581</v>
      </c>
      <c r="E1198" s="3">
        <f t="shared" si="1300"/>
        <v>25067</v>
      </c>
      <c r="F1198" s="17">
        <f t="shared" si="1301"/>
        <v>835.5333333333333</v>
      </c>
      <c r="G1198" s="17">
        <f t="shared" si="1302"/>
        <v>835.33333333333337</v>
      </c>
      <c r="H1198" s="17">
        <f t="shared" si="1303"/>
        <v>835.2</v>
      </c>
      <c r="I1198" s="17">
        <f t="shared" si="1304"/>
        <v>835.13333333333333</v>
      </c>
      <c r="J1198" s="17">
        <f t="shared" si="1305"/>
        <v>835</v>
      </c>
      <c r="K1198" s="17">
        <f t="shared" si="1306"/>
        <v>834.93333333333328</v>
      </c>
      <c r="L1198" s="17">
        <f t="shared" si="1307"/>
        <v>834.8</v>
      </c>
      <c r="M1198" s="17">
        <f t="shared" si="1308"/>
        <v>834.6</v>
      </c>
    </row>
    <row r="1199" spans="1:13" x14ac:dyDescent="0.35">
      <c r="B1199" s="2">
        <v>30</v>
      </c>
      <c r="C1199" s="2">
        <f t="shared" si="1298"/>
        <v>3613</v>
      </c>
      <c r="D1199" s="2">
        <f t="shared" si="1299"/>
        <v>3583</v>
      </c>
      <c r="E1199" s="3">
        <f t="shared" si="1300"/>
        <v>25081</v>
      </c>
      <c r="F1199" s="17">
        <f t="shared" si="1301"/>
        <v>836</v>
      </c>
      <c r="G1199" s="17">
        <f t="shared" si="1302"/>
        <v>835.8</v>
      </c>
      <c r="H1199" s="17">
        <f t="shared" si="1303"/>
        <v>835.66666666666663</v>
      </c>
      <c r="I1199" s="17">
        <f t="shared" si="1304"/>
        <v>835.6</v>
      </c>
      <c r="J1199" s="17">
        <f t="shared" si="1305"/>
        <v>835.4666666666667</v>
      </c>
      <c r="K1199" s="17">
        <f t="shared" si="1306"/>
        <v>835.4</v>
      </c>
      <c r="L1199" s="17">
        <f t="shared" si="1307"/>
        <v>835.26666666666665</v>
      </c>
      <c r="M1199" s="17">
        <f t="shared" si="1308"/>
        <v>835.06666666666672</v>
      </c>
    </row>
    <row r="1200" spans="1:13" x14ac:dyDescent="0.35">
      <c r="B1200" s="2">
        <v>30</v>
      </c>
      <c r="C1200" s="2">
        <f t="shared" si="1298"/>
        <v>3617</v>
      </c>
      <c r="D1200" s="2">
        <f t="shared" si="1299"/>
        <v>3587</v>
      </c>
      <c r="E1200" s="3">
        <f t="shared" si="1300"/>
        <v>25109</v>
      </c>
      <c r="F1200" s="17">
        <f t="shared" si="1301"/>
        <v>836.93333333333328</v>
      </c>
      <c r="G1200" s="17">
        <f t="shared" si="1302"/>
        <v>836.73333333333335</v>
      </c>
      <c r="H1200" s="17">
        <f t="shared" si="1303"/>
        <v>836.6</v>
      </c>
      <c r="I1200" s="17">
        <f t="shared" si="1304"/>
        <v>836.5333333333333</v>
      </c>
      <c r="J1200" s="17">
        <f t="shared" si="1305"/>
        <v>836.4</v>
      </c>
      <c r="K1200" s="17">
        <f t="shared" si="1306"/>
        <v>836.33333333333337</v>
      </c>
      <c r="L1200" s="17">
        <f t="shared" si="1307"/>
        <v>836.2</v>
      </c>
      <c r="M1200" s="17">
        <f t="shared" si="1308"/>
        <v>836</v>
      </c>
    </row>
    <row r="1201" spans="1:13" x14ac:dyDescent="0.35">
      <c r="B1201" s="2">
        <v>30</v>
      </c>
      <c r="C1201" s="2">
        <f t="shared" si="1298"/>
        <v>3619</v>
      </c>
      <c r="D1201" s="2">
        <f t="shared" si="1299"/>
        <v>3589</v>
      </c>
      <c r="E1201" s="3">
        <f t="shared" si="1300"/>
        <v>25123</v>
      </c>
      <c r="F1201" s="17">
        <f t="shared" si="1301"/>
        <v>837.4</v>
      </c>
      <c r="G1201" s="17">
        <f t="shared" si="1302"/>
        <v>837.2</v>
      </c>
      <c r="H1201" s="17">
        <f t="shared" si="1303"/>
        <v>837.06666666666672</v>
      </c>
      <c r="I1201" s="17">
        <f t="shared" si="1304"/>
        <v>837</v>
      </c>
      <c r="J1201" s="17">
        <f t="shared" si="1305"/>
        <v>836.86666666666667</v>
      </c>
      <c r="K1201" s="17">
        <f t="shared" si="1306"/>
        <v>836.8</v>
      </c>
      <c r="L1201" s="17">
        <f t="shared" si="1307"/>
        <v>836.66666666666663</v>
      </c>
      <c r="M1201" s="17">
        <f t="shared" si="1308"/>
        <v>836.4666666666667</v>
      </c>
    </row>
    <row r="1202" spans="1:13" x14ac:dyDescent="0.35">
      <c r="B1202" s="2">
        <v>30</v>
      </c>
      <c r="C1202" s="2">
        <f t="shared" si="1298"/>
        <v>3623</v>
      </c>
      <c r="D1202" s="2">
        <f t="shared" si="1299"/>
        <v>3593</v>
      </c>
      <c r="E1202" s="3">
        <f t="shared" si="1300"/>
        <v>25151</v>
      </c>
      <c r="F1202" s="17">
        <f t="shared" si="1301"/>
        <v>838.33333333333337</v>
      </c>
      <c r="G1202" s="17">
        <f t="shared" si="1302"/>
        <v>838.13333333333333</v>
      </c>
      <c r="H1202" s="17">
        <f t="shared" si="1303"/>
        <v>838</v>
      </c>
      <c r="I1202" s="17">
        <f t="shared" si="1304"/>
        <v>837.93333333333328</v>
      </c>
      <c r="J1202" s="17">
        <f t="shared" si="1305"/>
        <v>837.8</v>
      </c>
      <c r="K1202" s="17">
        <f t="shared" si="1306"/>
        <v>837.73333333333335</v>
      </c>
      <c r="L1202" s="17">
        <f t="shared" si="1307"/>
        <v>837.6</v>
      </c>
      <c r="M1202" s="17">
        <f t="shared" si="1308"/>
        <v>837.4</v>
      </c>
    </row>
    <row r="1203" spans="1:13" x14ac:dyDescent="0.35">
      <c r="B1203" s="2">
        <v>30</v>
      </c>
      <c r="C1203" s="2">
        <f t="shared" si="1298"/>
        <v>3629</v>
      </c>
      <c r="D1203" s="2">
        <f t="shared" si="1299"/>
        <v>3599</v>
      </c>
      <c r="E1203" s="3">
        <f t="shared" si="1300"/>
        <v>25193</v>
      </c>
      <c r="F1203" s="17">
        <f t="shared" si="1301"/>
        <v>839.73333333333335</v>
      </c>
      <c r="G1203" s="17">
        <f t="shared" si="1302"/>
        <v>839.5333333333333</v>
      </c>
      <c r="H1203" s="17">
        <f t="shared" si="1303"/>
        <v>839.4</v>
      </c>
      <c r="I1203" s="17">
        <f t="shared" si="1304"/>
        <v>839.33333333333337</v>
      </c>
      <c r="J1203" s="17">
        <f t="shared" si="1305"/>
        <v>839.2</v>
      </c>
      <c r="K1203" s="17">
        <f t="shared" si="1306"/>
        <v>839.13333333333333</v>
      </c>
      <c r="L1203" s="17">
        <f t="shared" si="1307"/>
        <v>839</v>
      </c>
      <c r="M1203" s="17">
        <f t="shared" si="1308"/>
        <v>838.8</v>
      </c>
    </row>
    <row r="1204" spans="1:13" ht="16.8" thickBot="1" x14ac:dyDescent="0.4">
      <c r="F1204" s="17"/>
      <c r="G1204" s="17"/>
      <c r="H1204" s="17"/>
      <c r="I1204" s="17"/>
      <c r="J1204" s="17"/>
      <c r="K1204" s="17"/>
      <c r="L1204" s="17"/>
      <c r="M1204" s="17"/>
    </row>
    <row r="1205" spans="1:13" ht="16.8" thickBot="1" x14ac:dyDescent="0.4">
      <c r="A1205" s="1">
        <f>A1195+1</f>
        <v>121</v>
      </c>
      <c r="C1205" s="18" t="s">
        <v>2</v>
      </c>
      <c r="E1205" s="13">
        <f>E1186</f>
        <v>24787</v>
      </c>
      <c r="F1205" s="19">
        <v>1</v>
      </c>
      <c r="G1205" s="20">
        <v>7</v>
      </c>
      <c r="H1205" s="20">
        <v>11</v>
      </c>
      <c r="I1205" s="20">
        <v>13</v>
      </c>
      <c r="J1205" s="20">
        <v>17</v>
      </c>
      <c r="K1205" s="20">
        <v>19</v>
      </c>
      <c r="L1205" s="20">
        <v>23</v>
      </c>
      <c r="M1205" s="21">
        <v>29</v>
      </c>
    </row>
    <row r="1206" spans="1:13" x14ac:dyDescent="0.35">
      <c r="B1206" s="2">
        <v>30</v>
      </c>
      <c r="C1206" s="2">
        <f>D1206+B1206</f>
        <v>3631</v>
      </c>
      <c r="D1206" s="2">
        <f>C1196</f>
        <v>3601</v>
      </c>
      <c r="E1206" s="3">
        <f>D1206*$E$5</f>
        <v>25207</v>
      </c>
      <c r="F1206" s="17">
        <f>(E1206-1)/30</f>
        <v>840.2</v>
      </c>
      <c r="G1206" s="17">
        <f>($E1206-7)/30</f>
        <v>840</v>
      </c>
      <c r="H1206" s="17">
        <f>($E1206-11)/30</f>
        <v>839.86666666666667</v>
      </c>
      <c r="I1206" s="17">
        <f>($E1206-13)/30</f>
        <v>839.8</v>
      </c>
      <c r="J1206" s="17">
        <f>($E1206-17)/30</f>
        <v>839.66666666666663</v>
      </c>
      <c r="K1206" s="17">
        <f>($E1206-19)/30</f>
        <v>839.6</v>
      </c>
      <c r="L1206" s="17">
        <f>($E1206-23)/30</f>
        <v>839.4666666666667</v>
      </c>
      <c r="M1206" s="17">
        <f>($E1206-29)/30</f>
        <v>839.26666666666665</v>
      </c>
    </row>
    <row r="1207" spans="1:13" x14ac:dyDescent="0.35">
      <c r="B1207" s="2">
        <v>30</v>
      </c>
      <c r="C1207" s="2">
        <f t="shared" ref="C1207:C1213" si="1309">D1207+B1207</f>
        <v>3637</v>
      </c>
      <c r="D1207" s="2">
        <f t="shared" ref="D1207:D1213" si="1310">C1197</f>
        <v>3607</v>
      </c>
      <c r="E1207" s="3">
        <f t="shared" ref="E1207:E1213" si="1311">D1207*$E$5</f>
        <v>25249</v>
      </c>
      <c r="F1207" s="17">
        <f t="shared" ref="F1207:F1213" si="1312">(E1207-1)/30</f>
        <v>841.6</v>
      </c>
      <c r="G1207" s="17">
        <f t="shared" ref="G1207:G1213" si="1313">($E1207-7)/30</f>
        <v>841.4</v>
      </c>
      <c r="H1207" s="17">
        <f t="shared" ref="H1207:H1213" si="1314">($E1207-11)/30</f>
        <v>841.26666666666665</v>
      </c>
      <c r="I1207" s="17">
        <f t="shared" ref="I1207:I1213" si="1315">($E1207-13)/30</f>
        <v>841.2</v>
      </c>
      <c r="J1207" s="17">
        <f t="shared" ref="J1207:J1213" si="1316">($E1207-17)/30</f>
        <v>841.06666666666672</v>
      </c>
      <c r="K1207" s="17">
        <f t="shared" ref="K1207:K1213" si="1317">($E1207-19)/30</f>
        <v>841</v>
      </c>
      <c r="L1207" s="17">
        <f t="shared" ref="L1207:L1213" si="1318">($E1207-23)/30</f>
        <v>840.86666666666667</v>
      </c>
      <c r="M1207" s="17">
        <f t="shared" ref="M1207:M1213" si="1319">($E1207-29)/30</f>
        <v>840.66666666666663</v>
      </c>
    </row>
    <row r="1208" spans="1:13" x14ac:dyDescent="0.35">
      <c r="B1208" s="2">
        <v>30</v>
      </c>
      <c r="C1208" s="2">
        <f t="shared" si="1309"/>
        <v>3641</v>
      </c>
      <c r="D1208" s="2">
        <f t="shared" si="1310"/>
        <v>3611</v>
      </c>
      <c r="E1208" s="3">
        <f t="shared" si="1311"/>
        <v>25277</v>
      </c>
      <c r="F1208" s="17">
        <f t="shared" si="1312"/>
        <v>842.5333333333333</v>
      </c>
      <c r="G1208" s="17">
        <f t="shared" si="1313"/>
        <v>842.33333333333337</v>
      </c>
      <c r="H1208" s="17">
        <f t="shared" si="1314"/>
        <v>842.2</v>
      </c>
      <c r="I1208" s="17">
        <f t="shared" si="1315"/>
        <v>842.13333333333333</v>
      </c>
      <c r="J1208" s="17">
        <f t="shared" si="1316"/>
        <v>842</v>
      </c>
      <c r="K1208" s="17">
        <f t="shared" si="1317"/>
        <v>841.93333333333328</v>
      </c>
      <c r="L1208" s="17">
        <f t="shared" si="1318"/>
        <v>841.8</v>
      </c>
      <c r="M1208" s="17">
        <f t="shared" si="1319"/>
        <v>841.6</v>
      </c>
    </row>
    <row r="1209" spans="1:13" x14ac:dyDescent="0.35">
      <c r="B1209" s="2">
        <v>30</v>
      </c>
      <c r="C1209" s="2">
        <f t="shared" si="1309"/>
        <v>3643</v>
      </c>
      <c r="D1209" s="2">
        <f t="shared" si="1310"/>
        <v>3613</v>
      </c>
      <c r="E1209" s="3">
        <f t="shared" si="1311"/>
        <v>25291</v>
      </c>
      <c r="F1209" s="17">
        <f t="shared" si="1312"/>
        <v>843</v>
      </c>
      <c r="G1209" s="17">
        <f t="shared" si="1313"/>
        <v>842.8</v>
      </c>
      <c r="H1209" s="17">
        <f t="shared" si="1314"/>
        <v>842.66666666666663</v>
      </c>
      <c r="I1209" s="17">
        <f t="shared" si="1315"/>
        <v>842.6</v>
      </c>
      <c r="J1209" s="17">
        <f t="shared" si="1316"/>
        <v>842.4666666666667</v>
      </c>
      <c r="K1209" s="17">
        <f t="shared" si="1317"/>
        <v>842.4</v>
      </c>
      <c r="L1209" s="17">
        <f t="shared" si="1318"/>
        <v>842.26666666666665</v>
      </c>
      <c r="M1209" s="17">
        <f t="shared" si="1319"/>
        <v>842.06666666666672</v>
      </c>
    </row>
    <row r="1210" spans="1:13" x14ac:dyDescent="0.35">
      <c r="B1210" s="2">
        <v>30</v>
      </c>
      <c r="C1210" s="2">
        <f t="shared" si="1309"/>
        <v>3647</v>
      </c>
      <c r="D1210" s="2">
        <f t="shared" si="1310"/>
        <v>3617</v>
      </c>
      <c r="E1210" s="3">
        <f t="shared" si="1311"/>
        <v>25319</v>
      </c>
      <c r="F1210" s="17">
        <f t="shared" si="1312"/>
        <v>843.93333333333328</v>
      </c>
      <c r="G1210" s="17">
        <f t="shared" si="1313"/>
        <v>843.73333333333335</v>
      </c>
      <c r="H1210" s="17">
        <f t="shared" si="1314"/>
        <v>843.6</v>
      </c>
      <c r="I1210" s="17">
        <f t="shared" si="1315"/>
        <v>843.5333333333333</v>
      </c>
      <c r="J1210" s="17">
        <f t="shared" si="1316"/>
        <v>843.4</v>
      </c>
      <c r="K1210" s="17">
        <f t="shared" si="1317"/>
        <v>843.33333333333337</v>
      </c>
      <c r="L1210" s="17">
        <f t="shared" si="1318"/>
        <v>843.2</v>
      </c>
      <c r="M1210" s="17">
        <f t="shared" si="1319"/>
        <v>843</v>
      </c>
    </row>
    <row r="1211" spans="1:13" x14ac:dyDescent="0.35">
      <c r="B1211" s="2">
        <v>30</v>
      </c>
      <c r="C1211" s="2">
        <f t="shared" si="1309"/>
        <v>3649</v>
      </c>
      <c r="D1211" s="2">
        <f t="shared" si="1310"/>
        <v>3619</v>
      </c>
      <c r="E1211" s="3">
        <f t="shared" si="1311"/>
        <v>25333</v>
      </c>
      <c r="F1211" s="17">
        <f t="shared" si="1312"/>
        <v>844.4</v>
      </c>
      <c r="G1211" s="17">
        <f t="shared" si="1313"/>
        <v>844.2</v>
      </c>
      <c r="H1211" s="17">
        <f t="shared" si="1314"/>
        <v>844.06666666666672</v>
      </c>
      <c r="I1211" s="17">
        <f t="shared" si="1315"/>
        <v>844</v>
      </c>
      <c r="J1211" s="17">
        <f t="shared" si="1316"/>
        <v>843.86666666666667</v>
      </c>
      <c r="K1211" s="17">
        <f t="shared" si="1317"/>
        <v>843.8</v>
      </c>
      <c r="L1211" s="17">
        <f t="shared" si="1318"/>
        <v>843.66666666666663</v>
      </c>
      <c r="M1211" s="17">
        <f t="shared" si="1319"/>
        <v>843.4666666666667</v>
      </c>
    </row>
    <row r="1212" spans="1:13" x14ac:dyDescent="0.35">
      <c r="B1212" s="2">
        <v>30</v>
      </c>
      <c r="C1212" s="2">
        <f t="shared" si="1309"/>
        <v>3653</v>
      </c>
      <c r="D1212" s="2">
        <f t="shared" si="1310"/>
        <v>3623</v>
      </c>
      <c r="E1212" s="3">
        <f t="shared" si="1311"/>
        <v>25361</v>
      </c>
      <c r="F1212" s="17">
        <f t="shared" si="1312"/>
        <v>845.33333333333337</v>
      </c>
      <c r="G1212" s="17">
        <f t="shared" si="1313"/>
        <v>845.13333333333333</v>
      </c>
      <c r="H1212" s="17">
        <f t="shared" si="1314"/>
        <v>845</v>
      </c>
      <c r="I1212" s="17">
        <f t="shared" si="1315"/>
        <v>844.93333333333328</v>
      </c>
      <c r="J1212" s="17">
        <f t="shared" si="1316"/>
        <v>844.8</v>
      </c>
      <c r="K1212" s="17">
        <f t="shared" si="1317"/>
        <v>844.73333333333335</v>
      </c>
      <c r="L1212" s="17">
        <f t="shared" si="1318"/>
        <v>844.6</v>
      </c>
      <c r="M1212" s="17">
        <f t="shared" si="1319"/>
        <v>844.4</v>
      </c>
    </row>
    <row r="1213" spans="1:13" x14ac:dyDescent="0.35">
      <c r="B1213" s="2">
        <v>30</v>
      </c>
      <c r="C1213" s="2">
        <f t="shared" si="1309"/>
        <v>3659</v>
      </c>
      <c r="D1213" s="2">
        <f t="shared" si="1310"/>
        <v>3629</v>
      </c>
      <c r="E1213" s="3">
        <f t="shared" si="1311"/>
        <v>25403</v>
      </c>
      <c r="F1213" s="17">
        <f t="shared" si="1312"/>
        <v>846.73333333333335</v>
      </c>
      <c r="G1213" s="17">
        <f t="shared" si="1313"/>
        <v>846.5333333333333</v>
      </c>
      <c r="H1213" s="17">
        <f t="shared" si="1314"/>
        <v>846.4</v>
      </c>
      <c r="I1213" s="17">
        <f t="shared" si="1315"/>
        <v>846.33333333333337</v>
      </c>
      <c r="J1213" s="17">
        <f t="shared" si="1316"/>
        <v>846.2</v>
      </c>
      <c r="K1213" s="17">
        <f t="shared" si="1317"/>
        <v>846.13333333333333</v>
      </c>
      <c r="L1213" s="17">
        <f t="shared" si="1318"/>
        <v>846</v>
      </c>
      <c r="M1213" s="17">
        <f t="shared" si="1319"/>
        <v>845.8</v>
      </c>
    </row>
    <row r="1214" spans="1:13" ht="16.8" thickBot="1" x14ac:dyDescent="0.4">
      <c r="F1214" s="17"/>
      <c r="G1214" s="17"/>
      <c r="H1214" s="17"/>
      <c r="I1214" s="17"/>
      <c r="J1214" s="17"/>
      <c r="K1214" s="17"/>
      <c r="L1214" s="17"/>
      <c r="M1214" s="17"/>
    </row>
    <row r="1215" spans="1:13" ht="16.8" thickBot="1" x14ac:dyDescent="0.4">
      <c r="A1215" s="1">
        <f>A1205+1</f>
        <v>122</v>
      </c>
      <c r="C1215" s="18" t="s">
        <v>2</v>
      </c>
      <c r="E1215" s="13">
        <f>E1196</f>
        <v>24997</v>
      </c>
      <c r="F1215" s="19">
        <v>1</v>
      </c>
      <c r="G1215" s="20">
        <v>7</v>
      </c>
      <c r="H1215" s="20">
        <v>11</v>
      </c>
      <c r="I1215" s="20">
        <v>13</v>
      </c>
      <c r="J1215" s="20">
        <v>17</v>
      </c>
      <c r="K1215" s="20">
        <v>19</v>
      </c>
      <c r="L1215" s="20">
        <v>23</v>
      </c>
      <c r="M1215" s="21">
        <v>29</v>
      </c>
    </row>
    <row r="1216" spans="1:13" x14ac:dyDescent="0.35">
      <c r="B1216" s="2">
        <v>30</v>
      </c>
      <c r="C1216" s="2">
        <f>D1216+B1216</f>
        <v>3661</v>
      </c>
      <c r="D1216" s="2">
        <f>C1206</f>
        <v>3631</v>
      </c>
      <c r="E1216" s="3">
        <f>D1216*$E$5</f>
        <v>25417</v>
      </c>
      <c r="F1216" s="17">
        <f>(E1216-1)/30</f>
        <v>847.2</v>
      </c>
      <c r="G1216" s="17">
        <f>($E1216-7)/30</f>
        <v>847</v>
      </c>
      <c r="H1216" s="17">
        <f>($E1216-11)/30</f>
        <v>846.86666666666667</v>
      </c>
      <c r="I1216" s="17">
        <f>($E1216-13)/30</f>
        <v>846.8</v>
      </c>
      <c r="J1216" s="17">
        <f>($E1216-17)/30</f>
        <v>846.66666666666663</v>
      </c>
      <c r="K1216" s="17">
        <f>($E1216-19)/30</f>
        <v>846.6</v>
      </c>
      <c r="L1216" s="17">
        <f>($E1216-23)/30</f>
        <v>846.4666666666667</v>
      </c>
      <c r="M1216" s="17">
        <f>($E1216-29)/30</f>
        <v>846.26666666666665</v>
      </c>
    </row>
    <row r="1217" spans="1:13" x14ac:dyDescent="0.35">
      <c r="B1217" s="2">
        <v>30</v>
      </c>
      <c r="C1217" s="2">
        <f t="shared" ref="C1217:C1223" si="1320">D1217+B1217</f>
        <v>3667</v>
      </c>
      <c r="D1217" s="2">
        <f t="shared" ref="D1217:D1223" si="1321">C1207</f>
        <v>3637</v>
      </c>
      <c r="E1217" s="3">
        <f t="shared" ref="E1217:E1223" si="1322">D1217*$E$5</f>
        <v>25459</v>
      </c>
      <c r="F1217" s="17">
        <f t="shared" ref="F1217:F1223" si="1323">(E1217-1)/30</f>
        <v>848.6</v>
      </c>
      <c r="G1217" s="17">
        <f t="shared" ref="G1217:G1223" si="1324">($E1217-7)/30</f>
        <v>848.4</v>
      </c>
      <c r="H1217" s="17">
        <f t="shared" ref="H1217:H1223" si="1325">($E1217-11)/30</f>
        <v>848.26666666666665</v>
      </c>
      <c r="I1217" s="17">
        <f t="shared" ref="I1217:I1223" si="1326">($E1217-13)/30</f>
        <v>848.2</v>
      </c>
      <c r="J1217" s="17">
        <f t="shared" ref="J1217:J1223" si="1327">($E1217-17)/30</f>
        <v>848.06666666666672</v>
      </c>
      <c r="K1217" s="17">
        <f t="shared" ref="K1217:K1223" si="1328">($E1217-19)/30</f>
        <v>848</v>
      </c>
      <c r="L1217" s="17">
        <f t="shared" ref="L1217:L1223" si="1329">($E1217-23)/30</f>
        <v>847.86666666666667</v>
      </c>
      <c r="M1217" s="17">
        <f t="shared" ref="M1217:M1223" si="1330">($E1217-29)/30</f>
        <v>847.66666666666663</v>
      </c>
    </row>
    <row r="1218" spans="1:13" x14ac:dyDescent="0.35">
      <c r="B1218" s="2">
        <v>30</v>
      </c>
      <c r="C1218" s="2">
        <f t="shared" si="1320"/>
        <v>3671</v>
      </c>
      <c r="D1218" s="2">
        <f t="shared" si="1321"/>
        <v>3641</v>
      </c>
      <c r="E1218" s="3">
        <f t="shared" si="1322"/>
        <v>25487</v>
      </c>
      <c r="F1218" s="17">
        <f t="shared" si="1323"/>
        <v>849.5333333333333</v>
      </c>
      <c r="G1218" s="17">
        <f t="shared" si="1324"/>
        <v>849.33333333333337</v>
      </c>
      <c r="H1218" s="17">
        <f t="shared" si="1325"/>
        <v>849.2</v>
      </c>
      <c r="I1218" s="17">
        <f t="shared" si="1326"/>
        <v>849.13333333333333</v>
      </c>
      <c r="J1218" s="17">
        <f t="shared" si="1327"/>
        <v>849</v>
      </c>
      <c r="K1218" s="17">
        <f t="shared" si="1328"/>
        <v>848.93333333333328</v>
      </c>
      <c r="L1218" s="17">
        <f t="shared" si="1329"/>
        <v>848.8</v>
      </c>
      <c r="M1218" s="17">
        <f t="shared" si="1330"/>
        <v>848.6</v>
      </c>
    </row>
    <row r="1219" spans="1:13" x14ac:dyDescent="0.35">
      <c r="B1219" s="2">
        <v>30</v>
      </c>
      <c r="C1219" s="2">
        <f t="shared" si="1320"/>
        <v>3673</v>
      </c>
      <c r="D1219" s="2">
        <f t="shared" si="1321"/>
        <v>3643</v>
      </c>
      <c r="E1219" s="3">
        <f t="shared" si="1322"/>
        <v>25501</v>
      </c>
      <c r="F1219" s="17">
        <f t="shared" si="1323"/>
        <v>850</v>
      </c>
      <c r="G1219" s="17">
        <f t="shared" si="1324"/>
        <v>849.8</v>
      </c>
      <c r="H1219" s="17">
        <f t="shared" si="1325"/>
        <v>849.66666666666663</v>
      </c>
      <c r="I1219" s="17">
        <f t="shared" si="1326"/>
        <v>849.6</v>
      </c>
      <c r="J1219" s="17">
        <f t="shared" si="1327"/>
        <v>849.4666666666667</v>
      </c>
      <c r="K1219" s="17">
        <f t="shared" si="1328"/>
        <v>849.4</v>
      </c>
      <c r="L1219" s="17">
        <f t="shared" si="1329"/>
        <v>849.26666666666665</v>
      </c>
      <c r="M1219" s="17">
        <f t="shared" si="1330"/>
        <v>849.06666666666672</v>
      </c>
    </row>
    <row r="1220" spans="1:13" x14ac:dyDescent="0.35">
      <c r="B1220" s="2">
        <v>30</v>
      </c>
      <c r="C1220" s="2">
        <f t="shared" si="1320"/>
        <v>3677</v>
      </c>
      <c r="D1220" s="2">
        <f t="shared" si="1321"/>
        <v>3647</v>
      </c>
      <c r="E1220" s="3">
        <f t="shared" si="1322"/>
        <v>25529</v>
      </c>
      <c r="F1220" s="17">
        <f t="shared" si="1323"/>
        <v>850.93333333333328</v>
      </c>
      <c r="G1220" s="17">
        <f t="shared" si="1324"/>
        <v>850.73333333333335</v>
      </c>
      <c r="H1220" s="17">
        <f t="shared" si="1325"/>
        <v>850.6</v>
      </c>
      <c r="I1220" s="17">
        <f t="shared" si="1326"/>
        <v>850.5333333333333</v>
      </c>
      <c r="J1220" s="17">
        <f t="shared" si="1327"/>
        <v>850.4</v>
      </c>
      <c r="K1220" s="17">
        <f t="shared" si="1328"/>
        <v>850.33333333333337</v>
      </c>
      <c r="L1220" s="17">
        <f t="shared" si="1329"/>
        <v>850.2</v>
      </c>
      <c r="M1220" s="17">
        <f t="shared" si="1330"/>
        <v>850</v>
      </c>
    </row>
    <row r="1221" spans="1:13" x14ac:dyDescent="0.35">
      <c r="B1221" s="2">
        <v>30</v>
      </c>
      <c r="C1221" s="2">
        <f t="shared" si="1320"/>
        <v>3679</v>
      </c>
      <c r="D1221" s="2">
        <f t="shared" si="1321"/>
        <v>3649</v>
      </c>
      <c r="E1221" s="3">
        <f t="shared" si="1322"/>
        <v>25543</v>
      </c>
      <c r="F1221" s="17">
        <f t="shared" si="1323"/>
        <v>851.4</v>
      </c>
      <c r="G1221" s="17">
        <f t="shared" si="1324"/>
        <v>851.2</v>
      </c>
      <c r="H1221" s="17">
        <f t="shared" si="1325"/>
        <v>851.06666666666672</v>
      </c>
      <c r="I1221" s="17">
        <f t="shared" si="1326"/>
        <v>851</v>
      </c>
      <c r="J1221" s="17">
        <f t="shared" si="1327"/>
        <v>850.86666666666667</v>
      </c>
      <c r="K1221" s="17">
        <f t="shared" si="1328"/>
        <v>850.8</v>
      </c>
      <c r="L1221" s="17">
        <f t="shared" si="1329"/>
        <v>850.66666666666663</v>
      </c>
      <c r="M1221" s="17">
        <f t="shared" si="1330"/>
        <v>850.4666666666667</v>
      </c>
    </row>
    <row r="1222" spans="1:13" x14ac:dyDescent="0.35">
      <c r="B1222" s="2">
        <v>30</v>
      </c>
      <c r="C1222" s="2">
        <f t="shared" si="1320"/>
        <v>3683</v>
      </c>
      <c r="D1222" s="2">
        <f t="shared" si="1321"/>
        <v>3653</v>
      </c>
      <c r="E1222" s="3">
        <f t="shared" si="1322"/>
        <v>25571</v>
      </c>
      <c r="F1222" s="17">
        <f t="shared" si="1323"/>
        <v>852.33333333333337</v>
      </c>
      <c r="G1222" s="17">
        <f t="shared" si="1324"/>
        <v>852.13333333333333</v>
      </c>
      <c r="H1222" s="17">
        <f t="shared" si="1325"/>
        <v>852</v>
      </c>
      <c r="I1222" s="17">
        <f t="shared" si="1326"/>
        <v>851.93333333333328</v>
      </c>
      <c r="J1222" s="17">
        <f t="shared" si="1327"/>
        <v>851.8</v>
      </c>
      <c r="K1222" s="17">
        <f t="shared" si="1328"/>
        <v>851.73333333333335</v>
      </c>
      <c r="L1222" s="17">
        <f t="shared" si="1329"/>
        <v>851.6</v>
      </c>
      <c r="M1222" s="17">
        <f t="shared" si="1330"/>
        <v>851.4</v>
      </c>
    </row>
    <row r="1223" spans="1:13" x14ac:dyDescent="0.35">
      <c r="B1223" s="2">
        <v>30</v>
      </c>
      <c r="C1223" s="2">
        <f t="shared" si="1320"/>
        <v>3689</v>
      </c>
      <c r="D1223" s="2">
        <f t="shared" si="1321"/>
        <v>3659</v>
      </c>
      <c r="E1223" s="3">
        <f t="shared" si="1322"/>
        <v>25613</v>
      </c>
      <c r="F1223" s="17">
        <f t="shared" si="1323"/>
        <v>853.73333333333335</v>
      </c>
      <c r="G1223" s="17">
        <f t="shared" si="1324"/>
        <v>853.5333333333333</v>
      </c>
      <c r="H1223" s="17">
        <f t="shared" si="1325"/>
        <v>853.4</v>
      </c>
      <c r="I1223" s="17">
        <f t="shared" si="1326"/>
        <v>853.33333333333337</v>
      </c>
      <c r="J1223" s="17">
        <f t="shared" si="1327"/>
        <v>853.2</v>
      </c>
      <c r="K1223" s="17">
        <f t="shared" si="1328"/>
        <v>853.13333333333333</v>
      </c>
      <c r="L1223" s="17">
        <f t="shared" si="1329"/>
        <v>853</v>
      </c>
      <c r="M1223" s="17">
        <f t="shared" si="1330"/>
        <v>852.8</v>
      </c>
    </row>
    <row r="1224" spans="1:13" ht="16.8" thickBot="1" x14ac:dyDescent="0.4">
      <c r="F1224" s="17"/>
      <c r="G1224" s="17"/>
      <c r="H1224" s="17"/>
      <c r="I1224" s="17"/>
      <c r="J1224" s="17"/>
      <c r="K1224" s="17"/>
      <c r="L1224" s="17"/>
      <c r="M1224" s="17"/>
    </row>
    <row r="1225" spans="1:13" ht="16.8" thickBot="1" x14ac:dyDescent="0.4">
      <c r="A1225" s="1">
        <f>A1215+1</f>
        <v>123</v>
      </c>
      <c r="C1225" s="18" t="s">
        <v>2</v>
      </c>
      <c r="E1225" s="13">
        <f>E1206</f>
        <v>25207</v>
      </c>
      <c r="F1225" s="19">
        <v>1</v>
      </c>
      <c r="G1225" s="20">
        <v>7</v>
      </c>
      <c r="H1225" s="20">
        <v>11</v>
      </c>
      <c r="I1225" s="20">
        <v>13</v>
      </c>
      <c r="J1225" s="20">
        <v>17</v>
      </c>
      <c r="K1225" s="20">
        <v>19</v>
      </c>
      <c r="L1225" s="20">
        <v>23</v>
      </c>
      <c r="M1225" s="21">
        <v>29</v>
      </c>
    </row>
    <row r="1226" spans="1:13" x14ac:dyDescent="0.35">
      <c r="B1226" s="2">
        <v>30</v>
      </c>
      <c r="C1226" s="2">
        <f>D1226+B1226</f>
        <v>3691</v>
      </c>
      <c r="D1226" s="2">
        <f>C1216</f>
        <v>3661</v>
      </c>
      <c r="E1226" s="3">
        <f>D1226*$E$5</f>
        <v>25627</v>
      </c>
      <c r="F1226" s="17">
        <f>(E1226-1)/30</f>
        <v>854.2</v>
      </c>
      <c r="G1226" s="17">
        <f>($E1226-7)/30</f>
        <v>854</v>
      </c>
      <c r="H1226" s="17">
        <f>($E1226-11)/30</f>
        <v>853.86666666666667</v>
      </c>
      <c r="I1226" s="17">
        <f>($E1226-13)/30</f>
        <v>853.8</v>
      </c>
      <c r="J1226" s="17">
        <f>($E1226-17)/30</f>
        <v>853.66666666666663</v>
      </c>
      <c r="K1226" s="17">
        <f>($E1226-19)/30</f>
        <v>853.6</v>
      </c>
      <c r="L1226" s="17">
        <f>($E1226-23)/30</f>
        <v>853.4666666666667</v>
      </c>
      <c r="M1226" s="17">
        <f>($E1226-29)/30</f>
        <v>853.26666666666665</v>
      </c>
    </row>
    <row r="1227" spans="1:13" x14ac:dyDescent="0.35">
      <c r="B1227" s="2">
        <v>30</v>
      </c>
      <c r="C1227" s="2">
        <f t="shared" ref="C1227:C1233" si="1331">D1227+B1227</f>
        <v>3697</v>
      </c>
      <c r="D1227" s="2">
        <f t="shared" ref="D1227:D1233" si="1332">C1217</f>
        <v>3667</v>
      </c>
      <c r="E1227" s="3">
        <f t="shared" ref="E1227:E1233" si="1333">D1227*$E$5</f>
        <v>25669</v>
      </c>
      <c r="F1227" s="17">
        <f t="shared" ref="F1227:F1233" si="1334">(E1227-1)/30</f>
        <v>855.6</v>
      </c>
      <c r="G1227" s="17">
        <f t="shared" ref="G1227:G1233" si="1335">($E1227-7)/30</f>
        <v>855.4</v>
      </c>
      <c r="H1227" s="17">
        <f t="shared" ref="H1227:H1233" si="1336">($E1227-11)/30</f>
        <v>855.26666666666665</v>
      </c>
      <c r="I1227" s="17">
        <f t="shared" ref="I1227:I1233" si="1337">($E1227-13)/30</f>
        <v>855.2</v>
      </c>
      <c r="J1227" s="17">
        <f t="shared" ref="J1227:J1233" si="1338">($E1227-17)/30</f>
        <v>855.06666666666672</v>
      </c>
      <c r="K1227" s="17">
        <f t="shared" ref="K1227:K1233" si="1339">($E1227-19)/30</f>
        <v>855</v>
      </c>
      <c r="L1227" s="17">
        <f t="shared" ref="L1227:L1233" si="1340">($E1227-23)/30</f>
        <v>854.86666666666667</v>
      </c>
      <c r="M1227" s="17">
        <f t="shared" ref="M1227:M1233" si="1341">($E1227-29)/30</f>
        <v>854.66666666666663</v>
      </c>
    </row>
    <row r="1228" spans="1:13" x14ac:dyDescent="0.35">
      <c r="B1228" s="2">
        <v>30</v>
      </c>
      <c r="C1228" s="2">
        <f t="shared" si="1331"/>
        <v>3701</v>
      </c>
      <c r="D1228" s="2">
        <f t="shared" si="1332"/>
        <v>3671</v>
      </c>
      <c r="E1228" s="3">
        <f t="shared" si="1333"/>
        <v>25697</v>
      </c>
      <c r="F1228" s="17">
        <f t="shared" si="1334"/>
        <v>856.5333333333333</v>
      </c>
      <c r="G1228" s="17">
        <f t="shared" si="1335"/>
        <v>856.33333333333337</v>
      </c>
      <c r="H1228" s="17">
        <f t="shared" si="1336"/>
        <v>856.2</v>
      </c>
      <c r="I1228" s="17">
        <f t="shared" si="1337"/>
        <v>856.13333333333333</v>
      </c>
      <c r="J1228" s="17">
        <f t="shared" si="1338"/>
        <v>856</v>
      </c>
      <c r="K1228" s="17">
        <f t="shared" si="1339"/>
        <v>855.93333333333328</v>
      </c>
      <c r="L1228" s="17">
        <f t="shared" si="1340"/>
        <v>855.8</v>
      </c>
      <c r="M1228" s="17">
        <f t="shared" si="1341"/>
        <v>855.6</v>
      </c>
    </row>
    <row r="1229" spans="1:13" x14ac:dyDescent="0.35">
      <c r="B1229" s="2">
        <v>30</v>
      </c>
      <c r="C1229" s="2">
        <f t="shared" si="1331"/>
        <v>3703</v>
      </c>
      <c r="D1229" s="2">
        <f t="shared" si="1332"/>
        <v>3673</v>
      </c>
      <c r="E1229" s="3">
        <f t="shared" si="1333"/>
        <v>25711</v>
      </c>
      <c r="F1229" s="17">
        <f t="shared" si="1334"/>
        <v>857</v>
      </c>
      <c r="G1229" s="17">
        <f t="shared" si="1335"/>
        <v>856.8</v>
      </c>
      <c r="H1229" s="17">
        <f t="shared" si="1336"/>
        <v>856.66666666666663</v>
      </c>
      <c r="I1229" s="17">
        <f t="shared" si="1337"/>
        <v>856.6</v>
      </c>
      <c r="J1229" s="17">
        <f t="shared" si="1338"/>
        <v>856.4666666666667</v>
      </c>
      <c r="K1229" s="17">
        <f t="shared" si="1339"/>
        <v>856.4</v>
      </c>
      <c r="L1229" s="17">
        <f t="shared" si="1340"/>
        <v>856.26666666666665</v>
      </c>
      <c r="M1229" s="17">
        <f t="shared" si="1341"/>
        <v>856.06666666666672</v>
      </c>
    </row>
    <row r="1230" spans="1:13" x14ac:dyDescent="0.35">
      <c r="B1230" s="2">
        <v>30</v>
      </c>
      <c r="C1230" s="2">
        <f t="shared" si="1331"/>
        <v>3707</v>
      </c>
      <c r="D1230" s="2">
        <f t="shared" si="1332"/>
        <v>3677</v>
      </c>
      <c r="E1230" s="3">
        <f t="shared" si="1333"/>
        <v>25739</v>
      </c>
      <c r="F1230" s="17">
        <f t="shared" si="1334"/>
        <v>857.93333333333328</v>
      </c>
      <c r="G1230" s="17">
        <f t="shared" si="1335"/>
        <v>857.73333333333335</v>
      </c>
      <c r="H1230" s="17">
        <f t="shared" si="1336"/>
        <v>857.6</v>
      </c>
      <c r="I1230" s="17">
        <f t="shared" si="1337"/>
        <v>857.5333333333333</v>
      </c>
      <c r="J1230" s="17">
        <f t="shared" si="1338"/>
        <v>857.4</v>
      </c>
      <c r="K1230" s="17">
        <f t="shared" si="1339"/>
        <v>857.33333333333337</v>
      </c>
      <c r="L1230" s="17">
        <f t="shared" si="1340"/>
        <v>857.2</v>
      </c>
      <c r="M1230" s="17">
        <f t="shared" si="1341"/>
        <v>857</v>
      </c>
    </row>
    <row r="1231" spans="1:13" x14ac:dyDescent="0.35">
      <c r="B1231" s="2">
        <v>30</v>
      </c>
      <c r="C1231" s="2">
        <f t="shared" si="1331"/>
        <v>3709</v>
      </c>
      <c r="D1231" s="2">
        <f t="shared" si="1332"/>
        <v>3679</v>
      </c>
      <c r="E1231" s="3">
        <f t="shared" si="1333"/>
        <v>25753</v>
      </c>
      <c r="F1231" s="17">
        <f t="shared" si="1334"/>
        <v>858.4</v>
      </c>
      <c r="G1231" s="17">
        <f t="shared" si="1335"/>
        <v>858.2</v>
      </c>
      <c r="H1231" s="17">
        <f t="shared" si="1336"/>
        <v>858.06666666666672</v>
      </c>
      <c r="I1231" s="17">
        <f t="shared" si="1337"/>
        <v>858</v>
      </c>
      <c r="J1231" s="17">
        <f t="shared" si="1338"/>
        <v>857.86666666666667</v>
      </c>
      <c r="K1231" s="17">
        <f t="shared" si="1339"/>
        <v>857.8</v>
      </c>
      <c r="L1231" s="17">
        <f t="shared" si="1340"/>
        <v>857.66666666666663</v>
      </c>
      <c r="M1231" s="17">
        <f t="shared" si="1341"/>
        <v>857.4666666666667</v>
      </c>
    </row>
    <row r="1232" spans="1:13" x14ac:dyDescent="0.35">
      <c r="B1232" s="2">
        <v>30</v>
      </c>
      <c r="C1232" s="2">
        <f t="shared" si="1331"/>
        <v>3713</v>
      </c>
      <c r="D1232" s="2">
        <f t="shared" si="1332"/>
        <v>3683</v>
      </c>
      <c r="E1232" s="3">
        <f t="shared" si="1333"/>
        <v>25781</v>
      </c>
      <c r="F1232" s="17">
        <f t="shared" si="1334"/>
        <v>859.33333333333337</v>
      </c>
      <c r="G1232" s="17">
        <f t="shared" si="1335"/>
        <v>859.13333333333333</v>
      </c>
      <c r="H1232" s="17">
        <f t="shared" si="1336"/>
        <v>859</v>
      </c>
      <c r="I1232" s="17">
        <f t="shared" si="1337"/>
        <v>858.93333333333328</v>
      </c>
      <c r="J1232" s="17">
        <f t="shared" si="1338"/>
        <v>858.8</v>
      </c>
      <c r="K1232" s="17">
        <f t="shared" si="1339"/>
        <v>858.73333333333335</v>
      </c>
      <c r="L1232" s="17">
        <f t="shared" si="1340"/>
        <v>858.6</v>
      </c>
      <c r="M1232" s="17">
        <f t="shared" si="1341"/>
        <v>858.4</v>
      </c>
    </row>
    <row r="1233" spans="1:13" x14ac:dyDescent="0.35">
      <c r="B1233" s="2">
        <v>30</v>
      </c>
      <c r="C1233" s="2">
        <f t="shared" si="1331"/>
        <v>3719</v>
      </c>
      <c r="D1233" s="2">
        <f t="shared" si="1332"/>
        <v>3689</v>
      </c>
      <c r="E1233" s="3">
        <f t="shared" si="1333"/>
        <v>25823</v>
      </c>
      <c r="F1233" s="17">
        <f t="shared" si="1334"/>
        <v>860.73333333333335</v>
      </c>
      <c r="G1233" s="17">
        <f t="shared" si="1335"/>
        <v>860.5333333333333</v>
      </c>
      <c r="H1233" s="17">
        <f t="shared" si="1336"/>
        <v>860.4</v>
      </c>
      <c r="I1233" s="17">
        <f t="shared" si="1337"/>
        <v>860.33333333333337</v>
      </c>
      <c r="J1233" s="17">
        <f t="shared" si="1338"/>
        <v>860.2</v>
      </c>
      <c r="K1233" s="17">
        <f t="shared" si="1339"/>
        <v>860.13333333333333</v>
      </c>
      <c r="L1233" s="17">
        <f t="shared" si="1340"/>
        <v>860</v>
      </c>
      <c r="M1233" s="17">
        <f t="shared" si="1341"/>
        <v>859.8</v>
      </c>
    </row>
    <row r="1234" spans="1:13" ht="16.8" thickBot="1" x14ac:dyDescent="0.4">
      <c r="F1234" s="17"/>
      <c r="G1234" s="17"/>
      <c r="H1234" s="17"/>
      <c r="I1234" s="17"/>
      <c r="J1234" s="17"/>
      <c r="K1234" s="17"/>
      <c r="L1234" s="17"/>
      <c r="M1234" s="17"/>
    </row>
    <row r="1235" spans="1:13" ht="16.8" thickBot="1" x14ac:dyDescent="0.4">
      <c r="A1235" s="1">
        <f>A1225+1</f>
        <v>124</v>
      </c>
      <c r="C1235" s="18" t="s">
        <v>2</v>
      </c>
      <c r="E1235" s="13">
        <f>E1216</f>
        <v>25417</v>
      </c>
      <c r="F1235" s="19">
        <v>1</v>
      </c>
      <c r="G1235" s="20">
        <v>7</v>
      </c>
      <c r="H1235" s="20">
        <v>11</v>
      </c>
      <c r="I1235" s="20">
        <v>13</v>
      </c>
      <c r="J1235" s="20">
        <v>17</v>
      </c>
      <c r="K1235" s="20">
        <v>19</v>
      </c>
      <c r="L1235" s="20">
        <v>23</v>
      </c>
      <c r="M1235" s="21">
        <v>29</v>
      </c>
    </row>
    <row r="1236" spans="1:13" x14ac:dyDescent="0.35">
      <c r="B1236" s="2">
        <v>30</v>
      </c>
      <c r="C1236" s="2">
        <f>D1236+B1236</f>
        <v>3721</v>
      </c>
      <c r="D1236" s="2">
        <f>C1226</f>
        <v>3691</v>
      </c>
      <c r="E1236" s="3">
        <f>D1236*$E$5</f>
        <v>25837</v>
      </c>
      <c r="F1236" s="17">
        <f>(E1236-1)/30</f>
        <v>861.2</v>
      </c>
      <c r="G1236" s="17">
        <f>($E1236-7)/30</f>
        <v>861</v>
      </c>
      <c r="H1236" s="17">
        <f>($E1236-11)/30</f>
        <v>860.86666666666667</v>
      </c>
      <c r="I1236" s="17">
        <f>($E1236-13)/30</f>
        <v>860.8</v>
      </c>
      <c r="J1236" s="17">
        <f>($E1236-17)/30</f>
        <v>860.66666666666663</v>
      </c>
      <c r="K1236" s="17">
        <f>($E1236-19)/30</f>
        <v>860.6</v>
      </c>
      <c r="L1236" s="17">
        <f>($E1236-23)/30</f>
        <v>860.4666666666667</v>
      </c>
      <c r="M1236" s="17">
        <f>($E1236-29)/30</f>
        <v>860.26666666666665</v>
      </c>
    </row>
    <row r="1237" spans="1:13" x14ac:dyDescent="0.35">
      <c r="B1237" s="2">
        <v>30</v>
      </c>
      <c r="C1237" s="2">
        <f t="shared" ref="C1237:C1243" si="1342">D1237+B1237</f>
        <v>3727</v>
      </c>
      <c r="D1237" s="2">
        <f t="shared" ref="D1237:D1243" si="1343">C1227</f>
        <v>3697</v>
      </c>
      <c r="E1237" s="3">
        <f t="shared" ref="E1237:E1243" si="1344">D1237*$E$5</f>
        <v>25879</v>
      </c>
      <c r="F1237" s="17">
        <f t="shared" ref="F1237:F1243" si="1345">(E1237-1)/30</f>
        <v>862.6</v>
      </c>
      <c r="G1237" s="17">
        <f t="shared" ref="G1237:G1243" si="1346">($E1237-7)/30</f>
        <v>862.4</v>
      </c>
      <c r="H1237" s="17">
        <f t="shared" ref="H1237:H1243" si="1347">($E1237-11)/30</f>
        <v>862.26666666666665</v>
      </c>
      <c r="I1237" s="17">
        <f t="shared" ref="I1237:I1243" si="1348">($E1237-13)/30</f>
        <v>862.2</v>
      </c>
      <c r="J1237" s="17">
        <f t="shared" ref="J1237:J1243" si="1349">($E1237-17)/30</f>
        <v>862.06666666666672</v>
      </c>
      <c r="K1237" s="17">
        <f t="shared" ref="K1237:K1243" si="1350">($E1237-19)/30</f>
        <v>862</v>
      </c>
      <c r="L1237" s="17">
        <f t="shared" ref="L1237:L1243" si="1351">($E1237-23)/30</f>
        <v>861.86666666666667</v>
      </c>
      <c r="M1237" s="17">
        <f t="shared" ref="M1237:M1243" si="1352">($E1237-29)/30</f>
        <v>861.66666666666663</v>
      </c>
    </row>
    <row r="1238" spans="1:13" x14ac:dyDescent="0.35">
      <c r="B1238" s="2">
        <v>30</v>
      </c>
      <c r="C1238" s="2">
        <f t="shared" si="1342"/>
        <v>3731</v>
      </c>
      <c r="D1238" s="2">
        <f t="shared" si="1343"/>
        <v>3701</v>
      </c>
      <c r="E1238" s="3">
        <f t="shared" si="1344"/>
        <v>25907</v>
      </c>
      <c r="F1238" s="17">
        <f t="shared" si="1345"/>
        <v>863.5333333333333</v>
      </c>
      <c r="G1238" s="17">
        <f t="shared" si="1346"/>
        <v>863.33333333333337</v>
      </c>
      <c r="H1238" s="17">
        <f t="shared" si="1347"/>
        <v>863.2</v>
      </c>
      <c r="I1238" s="17">
        <f t="shared" si="1348"/>
        <v>863.13333333333333</v>
      </c>
      <c r="J1238" s="17">
        <f t="shared" si="1349"/>
        <v>863</v>
      </c>
      <c r="K1238" s="17">
        <f t="shared" si="1350"/>
        <v>862.93333333333328</v>
      </c>
      <c r="L1238" s="17">
        <f t="shared" si="1351"/>
        <v>862.8</v>
      </c>
      <c r="M1238" s="17">
        <f t="shared" si="1352"/>
        <v>862.6</v>
      </c>
    </row>
    <row r="1239" spans="1:13" x14ac:dyDescent="0.35">
      <c r="B1239" s="2">
        <v>30</v>
      </c>
      <c r="C1239" s="2">
        <f t="shared" si="1342"/>
        <v>3733</v>
      </c>
      <c r="D1239" s="2">
        <f t="shared" si="1343"/>
        <v>3703</v>
      </c>
      <c r="E1239" s="3">
        <f t="shared" si="1344"/>
        <v>25921</v>
      </c>
      <c r="F1239" s="17">
        <f t="shared" si="1345"/>
        <v>864</v>
      </c>
      <c r="G1239" s="17">
        <f t="shared" si="1346"/>
        <v>863.8</v>
      </c>
      <c r="H1239" s="17">
        <f t="shared" si="1347"/>
        <v>863.66666666666663</v>
      </c>
      <c r="I1239" s="17">
        <f t="shared" si="1348"/>
        <v>863.6</v>
      </c>
      <c r="J1239" s="17">
        <f t="shared" si="1349"/>
        <v>863.4666666666667</v>
      </c>
      <c r="K1239" s="17">
        <f t="shared" si="1350"/>
        <v>863.4</v>
      </c>
      <c r="L1239" s="17">
        <f t="shared" si="1351"/>
        <v>863.26666666666665</v>
      </c>
      <c r="M1239" s="17">
        <f t="shared" si="1352"/>
        <v>863.06666666666672</v>
      </c>
    </row>
    <row r="1240" spans="1:13" x14ac:dyDescent="0.35">
      <c r="B1240" s="2">
        <v>30</v>
      </c>
      <c r="C1240" s="2">
        <f t="shared" si="1342"/>
        <v>3737</v>
      </c>
      <c r="D1240" s="2">
        <f t="shared" si="1343"/>
        <v>3707</v>
      </c>
      <c r="E1240" s="3">
        <f t="shared" si="1344"/>
        <v>25949</v>
      </c>
      <c r="F1240" s="17">
        <f t="shared" si="1345"/>
        <v>864.93333333333328</v>
      </c>
      <c r="G1240" s="17">
        <f t="shared" si="1346"/>
        <v>864.73333333333335</v>
      </c>
      <c r="H1240" s="17">
        <f t="shared" si="1347"/>
        <v>864.6</v>
      </c>
      <c r="I1240" s="17">
        <f t="shared" si="1348"/>
        <v>864.5333333333333</v>
      </c>
      <c r="J1240" s="17">
        <f t="shared" si="1349"/>
        <v>864.4</v>
      </c>
      <c r="K1240" s="17">
        <f t="shared" si="1350"/>
        <v>864.33333333333337</v>
      </c>
      <c r="L1240" s="17">
        <f t="shared" si="1351"/>
        <v>864.2</v>
      </c>
      <c r="M1240" s="17">
        <f t="shared" si="1352"/>
        <v>864</v>
      </c>
    </row>
    <row r="1241" spans="1:13" x14ac:dyDescent="0.35">
      <c r="B1241" s="2">
        <v>30</v>
      </c>
      <c r="C1241" s="2">
        <f t="shared" si="1342"/>
        <v>3739</v>
      </c>
      <c r="D1241" s="2">
        <f t="shared" si="1343"/>
        <v>3709</v>
      </c>
      <c r="E1241" s="3">
        <f t="shared" si="1344"/>
        <v>25963</v>
      </c>
      <c r="F1241" s="17">
        <f t="shared" si="1345"/>
        <v>865.4</v>
      </c>
      <c r="G1241" s="17">
        <f t="shared" si="1346"/>
        <v>865.2</v>
      </c>
      <c r="H1241" s="17">
        <f t="shared" si="1347"/>
        <v>865.06666666666672</v>
      </c>
      <c r="I1241" s="17">
        <f t="shared" si="1348"/>
        <v>865</v>
      </c>
      <c r="J1241" s="17">
        <f t="shared" si="1349"/>
        <v>864.86666666666667</v>
      </c>
      <c r="K1241" s="17">
        <f t="shared" si="1350"/>
        <v>864.8</v>
      </c>
      <c r="L1241" s="17">
        <f t="shared" si="1351"/>
        <v>864.66666666666663</v>
      </c>
      <c r="M1241" s="17">
        <f t="shared" si="1352"/>
        <v>864.4666666666667</v>
      </c>
    </row>
    <row r="1242" spans="1:13" x14ac:dyDescent="0.35">
      <c r="B1242" s="2">
        <v>30</v>
      </c>
      <c r="C1242" s="2">
        <f t="shared" si="1342"/>
        <v>3743</v>
      </c>
      <c r="D1242" s="2">
        <f t="shared" si="1343"/>
        <v>3713</v>
      </c>
      <c r="E1242" s="3">
        <f t="shared" si="1344"/>
        <v>25991</v>
      </c>
      <c r="F1242" s="17">
        <f t="shared" si="1345"/>
        <v>866.33333333333337</v>
      </c>
      <c r="G1242" s="17">
        <f t="shared" si="1346"/>
        <v>866.13333333333333</v>
      </c>
      <c r="H1242" s="17">
        <f t="shared" si="1347"/>
        <v>866</v>
      </c>
      <c r="I1242" s="17">
        <f t="shared" si="1348"/>
        <v>865.93333333333328</v>
      </c>
      <c r="J1242" s="17">
        <f t="shared" si="1349"/>
        <v>865.8</v>
      </c>
      <c r="K1242" s="17">
        <f t="shared" si="1350"/>
        <v>865.73333333333335</v>
      </c>
      <c r="L1242" s="17">
        <f t="shared" si="1351"/>
        <v>865.6</v>
      </c>
      <c r="M1242" s="17">
        <f t="shared" si="1352"/>
        <v>865.4</v>
      </c>
    </row>
    <row r="1243" spans="1:13" x14ac:dyDescent="0.35">
      <c r="B1243" s="2">
        <v>30</v>
      </c>
      <c r="C1243" s="2">
        <f t="shared" si="1342"/>
        <v>3749</v>
      </c>
      <c r="D1243" s="2">
        <f t="shared" si="1343"/>
        <v>3719</v>
      </c>
      <c r="E1243" s="3">
        <f t="shared" si="1344"/>
        <v>26033</v>
      </c>
      <c r="F1243" s="17">
        <f t="shared" si="1345"/>
        <v>867.73333333333335</v>
      </c>
      <c r="G1243" s="17">
        <f t="shared" si="1346"/>
        <v>867.5333333333333</v>
      </c>
      <c r="H1243" s="17">
        <f t="shared" si="1347"/>
        <v>867.4</v>
      </c>
      <c r="I1243" s="17">
        <f t="shared" si="1348"/>
        <v>867.33333333333337</v>
      </c>
      <c r="J1243" s="17">
        <f t="shared" si="1349"/>
        <v>867.2</v>
      </c>
      <c r="K1243" s="17">
        <f t="shared" si="1350"/>
        <v>867.13333333333333</v>
      </c>
      <c r="L1243" s="17">
        <f t="shared" si="1351"/>
        <v>867</v>
      </c>
      <c r="M1243" s="17">
        <f t="shared" si="1352"/>
        <v>866.8</v>
      </c>
    </row>
    <row r="1244" spans="1:13" ht="16.8" thickBot="1" x14ac:dyDescent="0.4">
      <c r="F1244" s="17"/>
      <c r="G1244" s="17"/>
      <c r="H1244" s="17"/>
      <c r="I1244" s="17"/>
      <c r="J1244" s="17"/>
      <c r="K1244" s="17"/>
      <c r="L1244" s="17"/>
      <c r="M1244" s="17"/>
    </row>
    <row r="1245" spans="1:13" ht="16.8" thickBot="1" x14ac:dyDescent="0.4">
      <c r="A1245" s="1">
        <f>A1235+1</f>
        <v>125</v>
      </c>
      <c r="C1245" s="18" t="s">
        <v>2</v>
      </c>
      <c r="E1245" s="13">
        <f>E1226</f>
        <v>25627</v>
      </c>
      <c r="F1245" s="19">
        <v>1</v>
      </c>
      <c r="G1245" s="20">
        <v>7</v>
      </c>
      <c r="H1245" s="20">
        <v>11</v>
      </c>
      <c r="I1245" s="20">
        <v>13</v>
      </c>
      <c r="J1245" s="20">
        <v>17</v>
      </c>
      <c r="K1245" s="20">
        <v>19</v>
      </c>
      <c r="L1245" s="20">
        <v>23</v>
      </c>
      <c r="M1245" s="21">
        <v>29</v>
      </c>
    </row>
    <row r="1246" spans="1:13" x14ac:dyDescent="0.35">
      <c r="B1246" s="2">
        <v>30</v>
      </c>
      <c r="C1246" s="2">
        <f>D1246+B1246</f>
        <v>3751</v>
      </c>
      <c r="D1246" s="2">
        <f>C1236</f>
        <v>3721</v>
      </c>
      <c r="E1246" s="3">
        <f>D1246*$E$5</f>
        <v>26047</v>
      </c>
      <c r="F1246" s="17">
        <f>(E1246-1)/30</f>
        <v>868.2</v>
      </c>
      <c r="G1246" s="17">
        <f>($E1246-7)/30</f>
        <v>868</v>
      </c>
      <c r="H1246" s="17">
        <f>($E1246-11)/30</f>
        <v>867.86666666666667</v>
      </c>
      <c r="I1246" s="17">
        <f>($E1246-13)/30</f>
        <v>867.8</v>
      </c>
      <c r="J1246" s="17">
        <f>($E1246-17)/30</f>
        <v>867.66666666666663</v>
      </c>
      <c r="K1246" s="17">
        <f>($E1246-19)/30</f>
        <v>867.6</v>
      </c>
      <c r="L1246" s="17">
        <f>($E1246-23)/30</f>
        <v>867.4666666666667</v>
      </c>
      <c r="M1246" s="17">
        <f>($E1246-29)/30</f>
        <v>867.26666666666665</v>
      </c>
    </row>
    <row r="1247" spans="1:13" x14ac:dyDescent="0.35">
      <c r="B1247" s="2">
        <v>30</v>
      </c>
      <c r="C1247" s="2">
        <f t="shared" ref="C1247:C1253" si="1353">D1247+B1247</f>
        <v>3757</v>
      </c>
      <c r="D1247" s="2">
        <f t="shared" ref="D1247:D1253" si="1354">C1237</f>
        <v>3727</v>
      </c>
      <c r="E1247" s="3">
        <f t="shared" ref="E1247:E1253" si="1355">D1247*$E$5</f>
        <v>26089</v>
      </c>
      <c r="F1247" s="17">
        <f t="shared" ref="F1247:F1253" si="1356">(E1247-1)/30</f>
        <v>869.6</v>
      </c>
      <c r="G1247" s="17">
        <f t="shared" ref="G1247:G1253" si="1357">($E1247-7)/30</f>
        <v>869.4</v>
      </c>
      <c r="H1247" s="17">
        <f t="shared" ref="H1247:H1253" si="1358">($E1247-11)/30</f>
        <v>869.26666666666665</v>
      </c>
      <c r="I1247" s="17">
        <f t="shared" ref="I1247:I1253" si="1359">($E1247-13)/30</f>
        <v>869.2</v>
      </c>
      <c r="J1247" s="17">
        <f t="shared" ref="J1247:J1253" si="1360">($E1247-17)/30</f>
        <v>869.06666666666672</v>
      </c>
      <c r="K1247" s="17">
        <f t="shared" ref="K1247:K1253" si="1361">($E1247-19)/30</f>
        <v>869</v>
      </c>
      <c r="L1247" s="17">
        <f t="shared" ref="L1247:L1253" si="1362">($E1247-23)/30</f>
        <v>868.86666666666667</v>
      </c>
      <c r="M1247" s="17">
        <f t="shared" ref="M1247:M1253" si="1363">($E1247-29)/30</f>
        <v>868.66666666666663</v>
      </c>
    </row>
    <row r="1248" spans="1:13" x14ac:dyDescent="0.35">
      <c r="B1248" s="2">
        <v>30</v>
      </c>
      <c r="C1248" s="2">
        <f t="shared" si="1353"/>
        <v>3761</v>
      </c>
      <c r="D1248" s="2">
        <f t="shared" si="1354"/>
        <v>3731</v>
      </c>
      <c r="E1248" s="3">
        <f t="shared" si="1355"/>
        <v>26117</v>
      </c>
      <c r="F1248" s="17">
        <f t="shared" si="1356"/>
        <v>870.5333333333333</v>
      </c>
      <c r="G1248" s="17">
        <f t="shared" si="1357"/>
        <v>870.33333333333337</v>
      </c>
      <c r="H1248" s="17">
        <f t="shared" si="1358"/>
        <v>870.2</v>
      </c>
      <c r="I1248" s="17">
        <f t="shared" si="1359"/>
        <v>870.13333333333333</v>
      </c>
      <c r="J1248" s="17">
        <f t="shared" si="1360"/>
        <v>870</v>
      </c>
      <c r="K1248" s="17">
        <f t="shared" si="1361"/>
        <v>869.93333333333328</v>
      </c>
      <c r="L1248" s="17">
        <f t="shared" si="1362"/>
        <v>869.8</v>
      </c>
      <c r="M1248" s="17">
        <f t="shared" si="1363"/>
        <v>869.6</v>
      </c>
    </row>
    <row r="1249" spans="1:13" x14ac:dyDescent="0.35">
      <c r="B1249" s="2">
        <v>30</v>
      </c>
      <c r="C1249" s="2">
        <f t="shared" si="1353"/>
        <v>3763</v>
      </c>
      <c r="D1249" s="2">
        <f t="shared" si="1354"/>
        <v>3733</v>
      </c>
      <c r="E1249" s="3">
        <f t="shared" si="1355"/>
        <v>26131</v>
      </c>
      <c r="F1249" s="17">
        <f t="shared" si="1356"/>
        <v>871</v>
      </c>
      <c r="G1249" s="17">
        <f t="shared" si="1357"/>
        <v>870.8</v>
      </c>
      <c r="H1249" s="17">
        <f t="shared" si="1358"/>
        <v>870.66666666666663</v>
      </c>
      <c r="I1249" s="17">
        <f t="shared" si="1359"/>
        <v>870.6</v>
      </c>
      <c r="J1249" s="17">
        <f t="shared" si="1360"/>
        <v>870.4666666666667</v>
      </c>
      <c r="K1249" s="17">
        <f t="shared" si="1361"/>
        <v>870.4</v>
      </c>
      <c r="L1249" s="17">
        <f t="shared" si="1362"/>
        <v>870.26666666666665</v>
      </c>
      <c r="M1249" s="17">
        <f t="shared" si="1363"/>
        <v>870.06666666666672</v>
      </c>
    </row>
    <row r="1250" spans="1:13" x14ac:dyDescent="0.35">
      <c r="B1250" s="2">
        <v>30</v>
      </c>
      <c r="C1250" s="2">
        <f t="shared" si="1353"/>
        <v>3767</v>
      </c>
      <c r="D1250" s="2">
        <f t="shared" si="1354"/>
        <v>3737</v>
      </c>
      <c r="E1250" s="3">
        <f t="shared" si="1355"/>
        <v>26159</v>
      </c>
      <c r="F1250" s="17">
        <f t="shared" si="1356"/>
        <v>871.93333333333328</v>
      </c>
      <c r="G1250" s="17">
        <f t="shared" si="1357"/>
        <v>871.73333333333335</v>
      </c>
      <c r="H1250" s="17">
        <f t="shared" si="1358"/>
        <v>871.6</v>
      </c>
      <c r="I1250" s="17">
        <f t="shared" si="1359"/>
        <v>871.5333333333333</v>
      </c>
      <c r="J1250" s="17">
        <f t="shared" si="1360"/>
        <v>871.4</v>
      </c>
      <c r="K1250" s="17">
        <f t="shared" si="1361"/>
        <v>871.33333333333337</v>
      </c>
      <c r="L1250" s="17">
        <f t="shared" si="1362"/>
        <v>871.2</v>
      </c>
      <c r="M1250" s="17">
        <f t="shared" si="1363"/>
        <v>871</v>
      </c>
    </row>
    <row r="1251" spans="1:13" x14ac:dyDescent="0.35">
      <c r="B1251" s="2">
        <v>30</v>
      </c>
      <c r="C1251" s="2">
        <f t="shared" si="1353"/>
        <v>3769</v>
      </c>
      <c r="D1251" s="2">
        <f t="shared" si="1354"/>
        <v>3739</v>
      </c>
      <c r="E1251" s="3">
        <f t="shared" si="1355"/>
        <v>26173</v>
      </c>
      <c r="F1251" s="17">
        <f t="shared" si="1356"/>
        <v>872.4</v>
      </c>
      <c r="G1251" s="17">
        <f t="shared" si="1357"/>
        <v>872.2</v>
      </c>
      <c r="H1251" s="17">
        <f t="shared" si="1358"/>
        <v>872.06666666666672</v>
      </c>
      <c r="I1251" s="17">
        <f t="shared" si="1359"/>
        <v>872</v>
      </c>
      <c r="J1251" s="17">
        <f t="shared" si="1360"/>
        <v>871.86666666666667</v>
      </c>
      <c r="K1251" s="17">
        <f t="shared" si="1361"/>
        <v>871.8</v>
      </c>
      <c r="L1251" s="17">
        <f t="shared" si="1362"/>
        <v>871.66666666666663</v>
      </c>
      <c r="M1251" s="17">
        <f t="shared" si="1363"/>
        <v>871.4666666666667</v>
      </c>
    </row>
    <row r="1252" spans="1:13" x14ac:dyDescent="0.35">
      <c r="B1252" s="2">
        <v>30</v>
      </c>
      <c r="C1252" s="2">
        <f t="shared" si="1353"/>
        <v>3773</v>
      </c>
      <c r="D1252" s="2">
        <f t="shared" si="1354"/>
        <v>3743</v>
      </c>
      <c r="E1252" s="3">
        <f t="shared" si="1355"/>
        <v>26201</v>
      </c>
      <c r="F1252" s="17">
        <f t="shared" si="1356"/>
        <v>873.33333333333337</v>
      </c>
      <c r="G1252" s="17">
        <f t="shared" si="1357"/>
        <v>873.13333333333333</v>
      </c>
      <c r="H1252" s="17">
        <f t="shared" si="1358"/>
        <v>873</v>
      </c>
      <c r="I1252" s="17">
        <f t="shared" si="1359"/>
        <v>872.93333333333328</v>
      </c>
      <c r="J1252" s="17">
        <f t="shared" si="1360"/>
        <v>872.8</v>
      </c>
      <c r="K1252" s="17">
        <f t="shared" si="1361"/>
        <v>872.73333333333335</v>
      </c>
      <c r="L1252" s="17">
        <f t="shared" si="1362"/>
        <v>872.6</v>
      </c>
      <c r="M1252" s="17">
        <f t="shared" si="1363"/>
        <v>872.4</v>
      </c>
    </row>
    <row r="1253" spans="1:13" x14ac:dyDescent="0.35">
      <c r="B1253" s="2">
        <v>30</v>
      </c>
      <c r="C1253" s="2">
        <f t="shared" si="1353"/>
        <v>3779</v>
      </c>
      <c r="D1253" s="2">
        <f t="shared" si="1354"/>
        <v>3749</v>
      </c>
      <c r="E1253" s="3">
        <f t="shared" si="1355"/>
        <v>26243</v>
      </c>
      <c r="F1253" s="17">
        <f t="shared" si="1356"/>
        <v>874.73333333333335</v>
      </c>
      <c r="G1253" s="17">
        <f t="shared" si="1357"/>
        <v>874.5333333333333</v>
      </c>
      <c r="H1253" s="17">
        <f t="shared" si="1358"/>
        <v>874.4</v>
      </c>
      <c r="I1253" s="17">
        <f t="shared" si="1359"/>
        <v>874.33333333333337</v>
      </c>
      <c r="J1253" s="17">
        <f t="shared" si="1360"/>
        <v>874.2</v>
      </c>
      <c r="K1253" s="17">
        <f t="shared" si="1361"/>
        <v>874.13333333333333</v>
      </c>
      <c r="L1253" s="17">
        <f t="shared" si="1362"/>
        <v>874</v>
      </c>
      <c r="M1253" s="17">
        <f t="shared" si="1363"/>
        <v>873.8</v>
      </c>
    </row>
    <row r="1254" spans="1:13" ht="16.8" thickBot="1" x14ac:dyDescent="0.4">
      <c r="F1254" s="17"/>
      <c r="G1254" s="17"/>
      <c r="H1254" s="17"/>
      <c r="I1254" s="17"/>
      <c r="J1254" s="17"/>
      <c r="K1254" s="17"/>
      <c r="L1254" s="17"/>
      <c r="M1254" s="17"/>
    </row>
    <row r="1255" spans="1:13" ht="16.8" thickBot="1" x14ac:dyDescent="0.4">
      <c r="A1255" s="1">
        <f>A1245+1</f>
        <v>126</v>
      </c>
      <c r="C1255" s="18" t="s">
        <v>2</v>
      </c>
      <c r="E1255" s="13">
        <f>E1236</f>
        <v>25837</v>
      </c>
      <c r="F1255" s="19">
        <v>1</v>
      </c>
      <c r="G1255" s="20">
        <v>7</v>
      </c>
      <c r="H1255" s="20">
        <v>11</v>
      </c>
      <c r="I1255" s="20">
        <v>13</v>
      </c>
      <c r="J1255" s="20">
        <v>17</v>
      </c>
      <c r="K1255" s="20">
        <v>19</v>
      </c>
      <c r="L1255" s="20">
        <v>23</v>
      </c>
      <c r="M1255" s="21">
        <v>29</v>
      </c>
    </row>
    <row r="1256" spans="1:13" x14ac:dyDescent="0.35">
      <c r="B1256" s="2">
        <v>30</v>
      </c>
      <c r="C1256" s="2">
        <f>D1256+B1256</f>
        <v>3781</v>
      </c>
      <c r="D1256" s="2">
        <f>C1246</f>
        <v>3751</v>
      </c>
      <c r="E1256" s="3">
        <f>D1256*$E$5</f>
        <v>26257</v>
      </c>
      <c r="F1256" s="17">
        <f>(E1256-1)/30</f>
        <v>875.2</v>
      </c>
      <c r="G1256" s="17">
        <f>($E1256-7)/30</f>
        <v>875</v>
      </c>
      <c r="H1256" s="17">
        <f>($E1256-11)/30</f>
        <v>874.86666666666667</v>
      </c>
      <c r="I1256" s="17">
        <f>($E1256-13)/30</f>
        <v>874.8</v>
      </c>
      <c r="J1256" s="17">
        <f>($E1256-17)/30</f>
        <v>874.66666666666663</v>
      </c>
      <c r="K1256" s="17">
        <f>($E1256-19)/30</f>
        <v>874.6</v>
      </c>
      <c r="L1256" s="17">
        <f>($E1256-23)/30</f>
        <v>874.4666666666667</v>
      </c>
      <c r="M1256" s="17">
        <f>($E1256-29)/30</f>
        <v>874.26666666666665</v>
      </c>
    </row>
    <row r="1257" spans="1:13" x14ac:dyDescent="0.35">
      <c r="B1257" s="2">
        <v>30</v>
      </c>
      <c r="C1257" s="2">
        <f t="shared" ref="C1257:C1263" si="1364">D1257+B1257</f>
        <v>3787</v>
      </c>
      <c r="D1257" s="2">
        <f t="shared" ref="D1257:D1263" si="1365">C1247</f>
        <v>3757</v>
      </c>
      <c r="E1257" s="3">
        <f t="shared" ref="E1257:E1263" si="1366">D1257*$E$5</f>
        <v>26299</v>
      </c>
      <c r="F1257" s="17">
        <f t="shared" ref="F1257:F1263" si="1367">(E1257-1)/30</f>
        <v>876.6</v>
      </c>
      <c r="G1257" s="17">
        <f t="shared" ref="G1257:G1263" si="1368">($E1257-7)/30</f>
        <v>876.4</v>
      </c>
      <c r="H1257" s="17">
        <f t="shared" ref="H1257:H1263" si="1369">($E1257-11)/30</f>
        <v>876.26666666666665</v>
      </c>
      <c r="I1257" s="17">
        <f t="shared" ref="I1257:I1263" si="1370">($E1257-13)/30</f>
        <v>876.2</v>
      </c>
      <c r="J1257" s="17">
        <f t="shared" ref="J1257:J1263" si="1371">($E1257-17)/30</f>
        <v>876.06666666666672</v>
      </c>
      <c r="K1257" s="17">
        <f t="shared" ref="K1257:K1263" si="1372">($E1257-19)/30</f>
        <v>876</v>
      </c>
      <c r="L1257" s="17">
        <f t="shared" ref="L1257:L1263" si="1373">($E1257-23)/30</f>
        <v>875.86666666666667</v>
      </c>
      <c r="M1257" s="17">
        <f t="shared" ref="M1257:M1263" si="1374">($E1257-29)/30</f>
        <v>875.66666666666663</v>
      </c>
    </row>
    <row r="1258" spans="1:13" x14ac:dyDescent="0.35">
      <c r="B1258" s="2">
        <v>30</v>
      </c>
      <c r="C1258" s="2">
        <f t="shared" si="1364"/>
        <v>3791</v>
      </c>
      <c r="D1258" s="2">
        <f t="shared" si="1365"/>
        <v>3761</v>
      </c>
      <c r="E1258" s="3">
        <f t="shared" si="1366"/>
        <v>26327</v>
      </c>
      <c r="F1258" s="17">
        <f t="shared" si="1367"/>
        <v>877.5333333333333</v>
      </c>
      <c r="G1258" s="17">
        <f t="shared" si="1368"/>
        <v>877.33333333333337</v>
      </c>
      <c r="H1258" s="17">
        <f t="shared" si="1369"/>
        <v>877.2</v>
      </c>
      <c r="I1258" s="17">
        <f t="shared" si="1370"/>
        <v>877.13333333333333</v>
      </c>
      <c r="J1258" s="17">
        <f t="shared" si="1371"/>
        <v>877</v>
      </c>
      <c r="K1258" s="17">
        <f t="shared" si="1372"/>
        <v>876.93333333333328</v>
      </c>
      <c r="L1258" s="17">
        <f t="shared" si="1373"/>
        <v>876.8</v>
      </c>
      <c r="M1258" s="17">
        <f t="shared" si="1374"/>
        <v>876.6</v>
      </c>
    </row>
    <row r="1259" spans="1:13" x14ac:dyDescent="0.35">
      <c r="B1259" s="2">
        <v>30</v>
      </c>
      <c r="C1259" s="2">
        <f t="shared" si="1364"/>
        <v>3793</v>
      </c>
      <c r="D1259" s="2">
        <f t="shared" si="1365"/>
        <v>3763</v>
      </c>
      <c r="E1259" s="3">
        <f t="shared" si="1366"/>
        <v>26341</v>
      </c>
      <c r="F1259" s="17">
        <f t="shared" si="1367"/>
        <v>878</v>
      </c>
      <c r="G1259" s="17">
        <f t="shared" si="1368"/>
        <v>877.8</v>
      </c>
      <c r="H1259" s="17">
        <f t="shared" si="1369"/>
        <v>877.66666666666663</v>
      </c>
      <c r="I1259" s="17">
        <f t="shared" si="1370"/>
        <v>877.6</v>
      </c>
      <c r="J1259" s="17">
        <f t="shared" si="1371"/>
        <v>877.4666666666667</v>
      </c>
      <c r="K1259" s="17">
        <f t="shared" si="1372"/>
        <v>877.4</v>
      </c>
      <c r="L1259" s="17">
        <f t="shared" si="1373"/>
        <v>877.26666666666665</v>
      </c>
      <c r="M1259" s="17">
        <f t="shared" si="1374"/>
        <v>877.06666666666672</v>
      </c>
    </row>
    <row r="1260" spans="1:13" x14ac:dyDescent="0.35">
      <c r="B1260" s="2">
        <v>30</v>
      </c>
      <c r="C1260" s="2">
        <f t="shared" si="1364"/>
        <v>3797</v>
      </c>
      <c r="D1260" s="2">
        <f t="shared" si="1365"/>
        <v>3767</v>
      </c>
      <c r="E1260" s="3">
        <f t="shared" si="1366"/>
        <v>26369</v>
      </c>
      <c r="F1260" s="17">
        <f t="shared" si="1367"/>
        <v>878.93333333333328</v>
      </c>
      <c r="G1260" s="17">
        <f t="shared" si="1368"/>
        <v>878.73333333333335</v>
      </c>
      <c r="H1260" s="17">
        <f t="shared" si="1369"/>
        <v>878.6</v>
      </c>
      <c r="I1260" s="17">
        <f t="shared" si="1370"/>
        <v>878.5333333333333</v>
      </c>
      <c r="J1260" s="17">
        <f t="shared" si="1371"/>
        <v>878.4</v>
      </c>
      <c r="K1260" s="17">
        <f t="shared" si="1372"/>
        <v>878.33333333333337</v>
      </c>
      <c r="L1260" s="17">
        <f t="shared" si="1373"/>
        <v>878.2</v>
      </c>
      <c r="M1260" s="17">
        <f t="shared" si="1374"/>
        <v>878</v>
      </c>
    </row>
    <row r="1261" spans="1:13" x14ac:dyDescent="0.35">
      <c r="B1261" s="2">
        <v>30</v>
      </c>
      <c r="C1261" s="2">
        <f t="shared" si="1364"/>
        <v>3799</v>
      </c>
      <c r="D1261" s="2">
        <f t="shared" si="1365"/>
        <v>3769</v>
      </c>
      <c r="E1261" s="3">
        <f t="shared" si="1366"/>
        <v>26383</v>
      </c>
      <c r="F1261" s="17">
        <f t="shared" si="1367"/>
        <v>879.4</v>
      </c>
      <c r="G1261" s="17">
        <f t="shared" si="1368"/>
        <v>879.2</v>
      </c>
      <c r="H1261" s="17">
        <f t="shared" si="1369"/>
        <v>879.06666666666672</v>
      </c>
      <c r="I1261" s="17">
        <f t="shared" si="1370"/>
        <v>879</v>
      </c>
      <c r="J1261" s="17">
        <f t="shared" si="1371"/>
        <v>878.86666666666667</v>
      </c>
      <c r="K1261" s="17">
        <f t="shared" si="1372"/>
        <v>878.8</v>
      </c>
      <c r="L1261" s="17">
        <f t="shared" si="1373"/>
        <v>878.66666666666663</v>
      </c>
      <c r="M1261" s="17">
        <f t="shared" si="1374"/>
        <v>878.4666666666667</v>
      </c>
    </row>
    <row r="1262" spans="1:13" x14ac:dyDescent="0.35">
      <c r="B1262" s="2">
        <v>30</v>
      </c>
      <c r="C1262" s="2">
        <f t="shared" si="1364"/>
        <v>3803</v>
      </c>
      <c r="D1262" s="2">
        <f t="shared" si="1365"/>
        <v>3773</v>
      </c>
      <c r="E1262" s="3">
        <f t="shared" si="1366"/>
        <v>26411</v>
      </c>
      <c r="F1262" s="17">
        <f t="shared" si="1367"/>
        <v>880.33333333333337</v>
      </c>
      <c r="G1262" s="17">
        <f t="shared" si="1368"/>
        <v>880.13333333333333</v>
      </c>
      <c r="H1262" s="17">
        <f t="shared" si="1369"/>
        <v>880</v>
      </c>
      <c r="I1262" s="17">
        <f t="shared" si="1370"/>
        <v>879.93333333333328</v>
      </c>
      <c r="J1262" s="17">
        <f t="shared" si="1371"/>
        <v>879.8</v>
      </c>
      <c r="K1262" s="17">
        <f t="shared" si="1372"/>
        <v>879.73333333333335</v>
      </c>
      <c r="L1262" s="17">
        <f t="shared" si="1373"/>
        <v>879.6</v>
      </c>
      <c r="M1262" s="17">
        <f t="shared" si="1374"/>
        <v>879.4</v>
      </c>
    </row>
    <row r="1263" spans="1:13" x14ac:dyDescent="0.35">
      <c r="B1263" s="2">
        <v>30</v>
      </c>
      <c r="C1263" s="2">
        <f t="shared" si="1364"/>
        <v>3809</v>
      </c>
      <c r="D1263" s="2">
        <f t="shared" si="1365"/>
        <v>3779</v>
      </c>
      <c r="E1263" s="3">
        <f t="shared" si="1366"/>
        <v>26453</v>
      </c>
      <c r="F1263" s="17">
        <f t="shared" si="1367"/>
        <v>881.73333333333335</v>
      </c>
      <c r="G1263" s="17">
        <f t="shared" si="1368"/>
        <v>881.5333333333333</v>
      </c>
      <c r="H1263" s="17">
        <f t="shared" si="1369"/>
        <v>881.4</v>
      </c>
      <c r="I1263" s="17">
        <f t="shared" si="1370"/>
        <v>881.33333333333337</v>
      </c>
      <c r="J1263" s="17">
        <f t="shared" si="1371"/>
        <v>881.2</v>
      </c>
      <c r="K1263" s="17">
        <f t="shared" si="1372"/>
        <v>881.13333333333333</v>
      </c>
      <c r="L1263" s="17">
        <f t="shared" si="1373"/>
        <v>881</v>
      </c>
      <c r="M1263" s="17">
        <f t="shared" si="1374"/>
        <v>880.8</v>
      </c>
    </row>
    <row r="1264" spans="1:13" ht="16.8" thickBot="1" x14ac:dyDescent="0.4">
      <c r="F1264" s="17"/>
      <c r="G1264" s="17"/>
      <c r="H1264" s="17"/>
      <c r="I1264" s="17"/>
      <c r="J1264" s="17"/>
      <c r="K1264" s="17"/>
      <c r="L1264" s="17"/>
      <c r="M1264" s="17"/>
    </row>
    <row r="1265" spans="1:13" ht="16.8" thickBot="1" x14ac:dyDescent="0.4">
      <c r="A1265" s="1">
        <f>A1255+1</f>
        <v>127</v>
      </c>
      <c r="C1265" s="18" t="s">
        <v>2</v>
      </c>
      <c r="E1265" s="13">
        <f>E1246</f>
        <v>26047</v>
      </c>
      <c r="F1265" s="19">
        <v>1</v>
      </c>
      <c r="G1265" s="20">
        <v>7</v>
      </c>
      <c r="H1265" s="20">
        <v>11</v>
      </c>
      <c r="I1265" s="20">
        <v>13</v>
      </c>
      <c r="J1265" s="20">
        <v>17</v>
      </c>
      <c r="K1265" s="20">
        <v>19</v>
      </c>
      <c r="L1265" s="20">
        <v>23</v>
      </c>
      <c r="M1265" s="21">
        <v>29</v>
      </c>
    </row>
    <row r="1266" spans="1:13" x14ac:dyDescent="0.35">
      <c r="B1266" s="2">
        <v>30</v>
      </c>
      <c r="C1266" s="2">
        <f>D1266+B1266</f>
        <v>3811</v>
      </c>
      <c r="D1266" s="2">
        <f>C1256</f>
        <v>3781</v>
      </c>
      <c r="E1266" s="3">
        <f>D1266*$E$5</f>
        <v>26467</v>
      </c>
      <c r="F1266" s="17">
        <f>(E1266-1)/30</f>
        <v>882.2</v>
      </c>
      <c r="G1266" s="17">
        <f>($E1266-7)/30</f>
        <v>882</v>
      </c>
      <c r="H1266" s="17">
        <f>($E1266-11)/30</f>
        <v>881.86666666666667</v>
      </c>
      <c r="I1266" s="17">
        <f>($E1266-13)/30</f>
        <v>881.8</v>
      </c>
      <c r="J1266" s="17">
        <f>($E1266-17)/30</f>
        <v>881.66666666666663</v>
      </c>
      <c r="K1266" s="17">
        <f>($E1266-19)/30</f>
        <v>881.6</v>
      </c>
      <c r="L1266" s="17">
        <f>($E1266-23)/30</f>
        <v>881.4666666666667</v>
      </c>
      <c r="M1266" s="17">
        <f>($E1266-29)/30</f>
        <v>881.26666666666665</v>
      </c>
    </row>
    <row r="1267" spans="1:13" x14ac:dyDescent="0.35">
      <c r="B1267" s="2">
        <v>30</v>
      </c>
      <c r="C1267" s="2">
        <f t="shared" ref="C1267:C1273" si="1375">D1267+B1267</f>
        <v>3817</v>
      </c>
      <c r="D1267" s="2">
        <f t="shared" ref="D1267:D1273" si="1376">C1257</f>
        <v>3787</v>
      </c>
      <c r="E1267" s="3">
        <f t="shared" ref="E1267:E1273" si="1377">D1267*$E$5</f>
        <v>26509</v>
      </c>
      <c r="F1267" s="17">
        <f t="shared" ref="F1267:F1273" si="1378">(E1267-1)/30</f>
        <v>883.6</v>
      </c>
      <c r="G1267" s="17">
        <f t="shared" ref="G1267:G1273" si="1379">($E1267-7)/30</f>
        <v>883.4</v>
      </c>
      <c r="H1267" s="17">
        <f t="shared" ref="H1267:H1273" si="1380">($E1267-11)/30</f>
        <v>883.26666666666665</v>
      </c>
      <c r="I1267" s="17">
        <f t="shared" ref="I1267:I1273" si="1381">($E1267-13)/30</f>
        <v>883.2</v>
      </c>
      <c r="J1267" s="17">
        <f t="shared" ref="J1267:J1273" si="1382">($E1267-17)/30</f>
        <v>883.06666666666672</v>
      </c>
      <c r="K1267" s="17">
        <f t="shared" ref="K1267:K1273" si="1383">($E1267-19)/30</f>
        <v>883</v>
      </c>
      <c r="L1267" s="17">
        <f t="shared" ref="L1267:L1273" si="1384">($E1267-23)/30</f>
        <v>882.86666666666667</v>
      </c>
      <c r="M1267" s="17">
        <f t="shared" ref="M1267:M1273" si="1385">($E1267-29)/30</f>
        <v>882.66666666666663</v>
      </c>
    </row>
    <row r="1268" spans="1:13" x14ac:dyDescent="0.35">
      <c r="B1268" s="2">
        <v>30</v>
      </c>
      <c r="C1268" s="2">
        <f t="shared" si="1375"/>
        <v>3821</v>
      </c>
      <c r="D1268" s="2">
        <f t="shared" si="1376"/>
        <v>3791</v>
      </c>
      <c r="E1268" s="3">
        <f t="shared" si="1377"/>
        <v>26537</v>
      </c>
      <c r="F1268" s="17">
        <f t="shared" si="1378"/>
        <v>884.5333333333333</v>
      </c>
      <c r="G1268" s="17">
        <f t="shared" si="1379"/>
        <v>884.33333333333337</v>
      </c>
      <c r="H1268" s="17">
        <f t="shared" si="1380"/>
        <v>884.2</v>
      </c>
      <c r="I1268" s="17">
        <f t="shared" si="1381"/>
        <v>884.13333333333333</v>
      </c>
      <c r="J1268" s="17">
        <f t="shared" si="1382"/>
        <v>884</v>
      </c>
      <c r="K1268" s="17">
        <f t="shared" si="1383"/>
        <v>883.93333333333328</v>
      </c>
      <c r="L1268" s="17">
        <f t="shared" si="1384"/>
        <v>883.8</v>
      </c>
      <c r="M1268" s="17">
        <f t="shared" si="1385"/>
        <v>883.6</v>
      </c>
    </row>
    <row r="1269" spans="1:13" x14ac:dyDescent="0.35">
      <c r="B1269" s="2">
        <v>30</v>
      </c>
      <c r="C1269" s="2">
        <f t="shared" si="1375"/>
        <v>3823</v>
      </c>
      <c r="D1269" s="2">
        <f t="shared" si="1376"/>
        <v>3793</v>
      </c>
      <c r="E1269" s="3">
        <f t="shared" si="1377"/>
        <v>26551</v>
      </c>
      <c r="F1269" s="17">
        <f t="shared" si="1378"/>
        <v>885</v>
      </c>
      <c r="G1269" s="17">
        <f t="shared" si="1379"/>
        <v>884.8</v>
      </c>
      <c r="H1269" s="17">
        <f t="shared" si="1380"/>
        <v>884.66666666666663</v>
      </c>
      <c r="I1269" s="17">
        <f t="shared" si="1381"/>
        <v>884.6</v>
      </c>
      <c r="J1269" s="17">
        <f t="shared" si="1382"/>
        <v>884.4666666666667</v>
      </c>
      <c r="K1269" s="17">
        <f t="shared" si="1383"/>
        <v>884.4</v>
      </c>
      <c r="L1269" s="17">
        <f t="shared" si="1384"/>
        <v>884.26666666666665</v>
      </c>
      <c r="M1269" s="17">
        <f t="shared" si="1385"/>
        <v>884.06666666666672</v>
      </c>
    </row>
    <row r="1270" spans="1:13" x14ac:dyDescent="0.35">
      <c r="B1270" s="2">
        <v>30</v>
      </c>
      <c r="C1270" s="2">
        <f t="shared" si="1375"/>
        <v>3827</v>
      </c>
      <c r="D1270" s="2">
        <f t="shared" si="1376"/>
        <v>3797</v>
      </c>
      <c r="E1270" s="3">
        <f t="shared" si="1377"/>
        <v>26579</v>
      </c>
      <c r="F1270" s="17">
        <f t="shared" si="1378"/>
        <v>885.93333333333328</v>
      </c>
      <c r="G1270" s="17">
        <f t="shared" si="1379"/>
        <v>885.73333333333335</v>
      </c>
      <c r="H1270" s="17">
        <f t="shared" si="1380"/>
        <v>885.6</v>
      </c>
      <c r="I1270" s="17">
        <f t="shared" si="1381"/>
        <v>885.5333333333333</v>
      </c>
      <c r="J1270" s="17">
        <f t="shared" si="1382"/>
        <v>885.4</v>
      </c>
      <c r="K1270" s="17">
        <f t="shared" si="1383"/>
        <v>885.33333333333337</v>
      </c>
      <c r="L1270" s="17">
        <f t="shared" si="1384"/>
        <v>885.2</v>
      </c>
      <c r="M1270" s="17">
        <f t="shared" si="1385"/>
        <v>885</v>
      </c>
    </row>
    <row r="1271" spans="1:13" x14ac:dyDescent="0.35">
      <c r="B1271" s="2">
        <v>30</v>
      </c>
      <c r="C1271" s="2">
        <f t="shared" si="1375"/>
        <v>3829</v>
      </c>
      <c r="D1271" s="2">
        <f t="shared" si="1376"/>
        <v>3799</v>
      </c>
      <c r="E1271" s="3">
        <f t="shared" si="1377"/>
        <v>26593</v>
      </c>
      <c r="F1271" s="17">
        <f t="shared" si="1378"/>
        <v>886.4</v>
      </c>
      <c r="G1271" s="17">
        <f t="shared" si="1379"/>
        <v>886.2</v>
      </c>
      <c r="H1271" s="17">
        <f t="shared" si="1380"/>
        <v>886.06666666666672</v>
      </c>
      <c r="I1271" s="17">
        <f t="shared" si="1381"/>
        <v>886</v>
      </c>
      <c r="J1271" s="17">
        <f t="shared" si="1382"/>
        <v>885.86666666666667</v>
      </c>
      <c r="K1271" s="17">
        <f t="shared" si="1383"/>
        <v>885.8</v>
      </c>
      <c r="L1271" s="17">
        <f t="shared" si="1384"/>
        <v>885.66666666666663</v>
      </c>
      <c r="M1271" s="17">
        <f t="shared" si="1385"/>
        <v>885.4666666666667</v>
      </c>
    </row>
    <row r="1272" spans="1:13" x14ac:dyDescent="0.35">
      <c r="B1272" s="2">
        <v>30</v>
      </c>
      <c r="C1272" s="2">
        <f t="shared" si="1375"/>
        <v>3833</v>
      </c>
      <c r="D1272" s="2">
        <f t="shared" si="1376"/>
        <v>3803</v>
      </c>
      <c r="E1272" s="3">
        <f t="shared" si="1377"/>
        <v>26621</v>
      </c>
      <c r="F1272" s="17">
        <f t="shared" si="1378"/>
        <v>887.33333333333337</v>
      </c>
      <c r="G1272" s="17">
        <f t="shared" si="1379"/>
        <v>887.13333333333333</v>
      </c>
      <c r="H1272" s="17">
        <f t="shared" si="1380"/>
        <v>887</v>
      </c>
      <c r="I1272" s="17">
        <f t="shared" si="1381"/>
        <v>886.93333333333328</v>
      </c>
      <c r="J1272" s="17">
        <f t="shared" si="1382"/>
        <v>886.8</v>
      </c>
      <c r="K1272" s="17">
        <f t="shared" si="1383"/>
        <v>886.73333333333335</v>
      </c>
      <c r="L1272" s="17">
        <f t="shared" si="1384"/>
        <v>886.6</v>
      </c>
      <c r="M1272" s="17">
        <f t="shared" si="1385"/>
        <v>886.4</v>
      </c>
    </row>
    <row r="1273" spans="1:13" x14ac:dyDescent="0.35">
      <c r="B1273" s="2">
        <v>30</v>
      </c>
      <c r="C1273" s="2">
        <f t="shared" si="1375"/>
        <v>3839</v>
      </c>
      <c r="D1273" s="2">
        <f t="shared" si="1376"/>
        <v>3809</v>
      </c>
      <c r="E1273" s="3">
        <f t="shared" si="1377"/>
        <v>26663</v>
      </c>
      <c r="F1273" s="17">
        <f t="shared" si="1378"/>
        <v>888.73333333333335</v>
      </c>
      <c r="G1273" s="17">
        <f t="shared" si="1379"/>
        <v>888.5333333333333</v>
      </c>
      <c r="H1273" s="17">
        <f t="shared" si="1380"/>
        <v>888.4</v>
      </c>
      <c r="I1273" s="17">
        <f t="shared" si="1381"/>
        <v>888.33333333333337</v>
      </c>
      <c r="J1273" s="17">
        <f t="shared" si="1382"/>
        <v>888.2</v>
      </c>
      <c r="K1273" s="17">
        <f t="shared" si="1383"/>
        <v>888.13333333333333</v>
      </c>
      <c r="L1273" s="17">
        <f t="shared" si="1384"/>
        <v>888</v>
      </c>
      <c r="M1273" s="17">
        <f t="shared" si="1385"/>
        <v>887.8</v>
      </c>
    </row>
    <row r="1274" spans="1:13" ht="16.8" thickBot="1" x14ac:dyDescent="0.4">
      <c r="F1274" s="17"/>
      <c r="G1274" s="17"/>
      <c r="H1274" s="17"/>
      <c r="I1274" s="17"/>
      <c r="J1274" s="17"/>
      <c r="K1274" s="17"/>
      <c r="L1274" s="17"/>
      <c r="M1274" s="17"/>
    </row>
    <row r="1275" spans="1:13" ht="16.8" thickBot="1" x14ac:dyDescent="0.4">
      <c r="A1275" s="1">
        <f>A1265+1</f>
        <v>128</v>
      </c>
      <c r="C1275" s="18" t="s">
        <v>2</v>
      </c>
      <c r="E1275" s="13">
        <f>E1256</f>
        <v>26257</v>
      </c>
      <c r="F1275" s="19">
        <v>1</v>
      </c>
      <c r="G1275" s="20">
        <v>7</v>
      </c>
      <c r="H1275" s="20">
        <v>11</v>
      </c>
      <c r="I1275" s="20">
        <v>13</v>
      </c>
      <c r="J1275" s="20">
        <v>17</v>
      </c>
      <c r="K1275" s="20">
        <v>19</v>
      </c>
      <c r="L1275" s="20">
        <v>23</v>
      </c>
      <c r="M1275" s="21">
        <v>29</v>
      </c>
    </row>
    <row r="1276" spans="1:13" x14ac:dyDescent="0.35">
      <c r="B1276" s="2">
        <v>30</v>
      </c>
      <c r="C1276" s="2">
        <f>D1276+B1276</f>
        <v>3841</v>
      </c>
      <c r="D1276" s="2">
        <f>C1266</f>
        <v>3811</v>
      </c>
      <c r="E1276" s="3">
        <f>D1276*$E$5</f>
        <v>26677</v>
      </c>
      <c r="F1276" s="17">
        <f>(E1276-1)/30</f>
        <v>889.2</v>
      </c>
      <c r="G1276" s="17">
        <f>($E1276-7)/30</f>
        <v>889</v>
      </c>
      <c r="H1276" s="17">
        <f>($E1276-11)/30</f>
        <v>888.86666666666667</v>
      </c>
      <c r="I1276" s="17">
        <f>($E1276-13)/30</f>
        <v>888.8</v>
      </c>
      <c r="J1276" s="17">
        <f>($E1276-17)/30</f>
        <v>888.66666666666663</v>
      </c>
      <c r="K1276" s="17">
        <f>($E1276-19)/30</f>
        <v>888.6</v>
      </c>
      <c r="L1276" s="17">
        <f>($E1276-23)/30</f>
        <v>888.4666666666667</v>
      </c>
      <c r="M1276" s="17">
        <f>($E1276-29)/30</f>
        <v>888.26666666666665</v>
      </c>
    </row>
    <row r="1277" spans="1:13" x14ac:dyDescent="0.35">
      <c r="B1277" s="2">
        <v>30</v>
      </c>
      <c r="C1277" s="2">
        <f t="shared" ref="C1277:C1283" si="1386">D1277+B1277</f>
        <v>3847</v>
      </c>
      <c r="D1277" s="2">
        <f t="shared" ref="D1277:D1283" si="1387">C1267</f>
        <v>3817</v>
      </c>
      <c r="E1277" s="3">
        <f t="shared" ref="E1277:E1283" si="1388">D1277*$E$5</f>
        <v>26719</v>
      </c>
      <c r="F1277" s="17">
        <f t="shared" ref="F1277:F1283" si="1389">(E1277-1)/30</f>
        <v>890.6</v>
      </c>
      <c r="G1277" s="17">
        <f t="shared" ref="G1277:G1283" si="1390">($E1277-7)/30</f>
        <v>890.4</v>
      </c>
      <c r="H1277" s="17">
        <f t="shared" ref="H1277:H1283" si="1391">($E1277-11)/30</f>
        <v>890.26666666666665</v>
      </c>
      <c r="I1277" s="17">
        <f t="shared" ref="I1277:I1283" si="1392">($E1277-13)/30</f>
        <v>890.2</v>
      </c>
      <c r="J1277" s="17">
        <f t="shared" ref="J1277:J1283" si="1393">($E1277-17)/30</f>
        <v>890.06666666666672</v>
      </c>
      <c r="K1277" s="17">
        <f t="shared" ref="K1277:K1283" si="1394">($E1277-19)/30</f>
        <v>890</v>
      </c>
      <c r="L1277" s="17">
        <f t="shared" ref="L1277:L1283" si="1395">($E1277-23)/30</f>
        <v>889.86666666666667</v>
      </c>
      <c r="M1277" s="17">
        <f t="shared" ref="M1277:M1283" si="1396">($E1277-29)/30</f>
        <v>889.66666666666663</v>
      </c>
    </row>
    <row r="1278" spans="1:13" x14ac:dyDescent="0.35">
      <c r="B1278" s="2">
        <v>30</v>
      </c>
      <c r="C1278" s="2">
        <f t="shared" si="1386"/>
        <v>3851</v>
      </c>
      <c r="D1278" s="2">
        <f t="shared" si="1387"/>
        <v>3821</v>
      </c>
      <c r="E1278" s="3">
        <f t="shared" si="1388"/>
        <v>26747</v>
      </c>
      <c r="F1278" s="17">
        <f t="shared" si="1389"/>
        <v>891.5333333333333</v>
      </c>
      <c r="G1278" s="17">
        <f t="shared" si="1390"/>
        <v>891.33333333333337</v>
      </c>
      <c r="H1278" s="17">
        <f t="shared" si="1391"/>
        <v>891.2</v>
      </c>
      <c r="I1278" s="17">
        <f t="shared" si="1392"/>
        <v>891.13333333333333</v>
      </c>
      <c r="J1278" s="17">
        <f t="shared" si="1393"/>
        <v>891</v>
      </c>
      <c r="K1278" s="17">
        <f t="shared" si="1394"/>
        <v>890.93333333333328</v>
      </c>
      <c r="L1278" s="17">
        <f t="shared" si="1395"/>
        <v>890.8</v>
      </c>
      <c r="M1278" s="17">
        <f t="shared" si="1396"/>
        <v>890.6</v>
      </c>
    </row>
    <row r="1279" spans="1:13" x14ac:dyDescent="0.35">
      <c r="B1279" s="2">
        <v>30</v>
      </c>
      <c r="C1279" s="2">
        <f t="shared" si="1386"/>
        <v>3853</v>
      </c>
      <c r="D1279" s="2">
        <f t="shared" si="1387"/>
        <v>3823</v>
      </c>
      <c r="E1279" s="3">
        <f t="shared" si="1388"/>
        <v>26761</v>
      </c>
      <c r="F1279" s="17">
        <f t="shared" si="1389"/>
        <v>892</v>
      </c>
      <c r="G1279" s="17">
        <f t="shared" si="1390"/>
        <v>891.8</v>
      </c>
      <c r="H1279" s="17">
        <f t="shared" si="1391"/>
        <v>891.66666666666663</v>
      </c>
      <c r="I1279" s="17">
        <f t="shared" si="1392"/>
        <v>891.6</v>
      </c>
      <c r="J1279" s="17">
        <f t="shared" si="1393"/>
        <v>891.4666666666667</v>
      </c>
      <c r="K1279" s="17">
        <f t="shared" si="1394"/>
        <v>891.4</v>
      </c>
      <c r="L1279" s="17">
        <f t="shared" si="1395"/>
        <v>891.26666666666665</v>
      </c>
      <c r="M1279" s="17">
        <f t="shared" si="1396"/>
        <v>891.06666666666672</v>
      </c>
    </row>
    <row r="1280" spans="1:13" x14ac:dyDescent="0.35">
      <c r="B1280" s="2">
        <v>30</v>
      </c>
      <c r="C1280" s="2">
        <f t="shared" si="1386"/>
        <v>3857</v>
      </c>
      <c r="D1280" s="2">
        <f t="shared" si="1387"/>
        <v>3827</v>
      </c>
      <c r="E1280" s="3">
        <f t="shared" si="1388"/>
        <v>26789</v>
      </c>
      <c r="F1280" s="17">
        <f t="shared" si="1389"/>
        <v>892.93333333333328</v>
      </c>
      <c r="G1280" s="17">
        <f t="shared" si="1390"/>
        <v>892.73333333333335</v>
      </c>
      <c r="H1280" s="17">
        <f t="shared" si="1391"/>
        <v>892.6</v>
      </c>
      <c r="I1280" s="17">
        <f t="shared" si="1392"/>
        <v>892.5333333333333</v>
      </c>
      <c r="J1280" s="17">
        <f t="shared" si="1393"/>
        <v>892.4</v>
      </c>
      <c r="K1280" s="17">
        <f t="shared" si="1394"/>
        <v>892.33333333333337</v>
      </c>
      <c r="L1280" s="17">
        <f t="shared" si="1395"/>
        <v>892.2</v>
      </c>
      <c r="M1280" s="17">
        <f t="shared" si="1396"/>
        <v>892</v>
      </c>
    </row>
    <row r="1281" spans="1:13" x14ac:dyDescent="0.35">
      <c r="B1281" s="2">
        <v>30</v>
      </c>
      <c r="C1281" s="2">
        <f t="shared" si="1386"/>
        <v>3859</v>
      </c>
      <c r="D1281" s="2">
        <f t="shared" si="1387"/>
        <v>3829</v>
      </c>
      <c r="E1281" s="3">
        <f t="shared" si="1388"/>
        <v>26803</v>
      </c>
      <c r="F1281" s="17">
        <f t="shared" si="1389"/>
        <v>893.4</v>
      </c>
      <c r="G1281" s="17">
        <f t="shared" si="1390"/>
        <v>893.2</v>
      </c>
      <c r="H1281" s="17">
        <f t="shared" si="1391"/>
        <v>893.06666666666672</v>
      </c>
      <c r="I1281" s="17">
        <f t="shared" si="1392"/>
        <v>893</v>
      </c>
      <c r="J1281" s="17">
        <f t="shared" si="1393"/>
        <v>892.86666666666667</v>
      </c>
      <c r="K1281" s="17">
        <f t="shared" si="1394"/>
        <v>892.8</v>
      </c>
      <c r="L1281" s="17">
        <f t="shared" si="1395"/>
        <v>892.66666666666663</v>
      </c>
      <c r="M1281" s="17">
        <f t="shared" si="1396"/>
        <v>892.4666666666667</v>
      </c>
    </row>
    <row r="1282" spans="1:13" x14ac:dyDescent="0.35">
      <c r="B1282" s="2">
        <v>30</v>
      </c>
      <c r="C1282" s="2">
        <f t="shared" si="1386"/>
        <v>3863</v>
      </c>
      <c r="D1282" s="2">
        <f t="shared" si="1387"/>
        <v>3833</v>
      </c>
      <c r="E1282" s="3">
        <f t="shared" si="1388"/>
        <v>26831</v>
      </c>
      <c r="F1282" s="17">
        <f t="shared" si="1389"/>
        <v>894.33333333333337</v>
      </c>
      <c r="G1282" s="17">
        <f t="shared" si="1390"/>
        <v>894.13333333333333</v>
      </c>
      <c r="H1282" s="17">
        <f t="shared" si="1391"/>
        <v>894</v>
      </c>
      <c r="I1282" s="17">
        <f t="shared" si="1392"/>
        <v>893.93333333333328</v>
      </c>
      <c r="J1282" s="17">
        <f t="shared" si="1393"/>
        <v>893.8</v>
      </c>
      <c r="K1282" s="17">
        <f t="shared" si="1394"/>
        <v>893.73333333333335</v>
      </c>
      <c r="L1282" s="17">
        <f t="shared" si="1395"/>
        <v>893.6</v>
      </c>
      <c r="M1282" s="17">
        <f t="shared" si="1396"/>
        <v>893.4</v>
      </c>
    </row>
    <row r="1283" spans="1:13" x14ac:dyDescent="0.35">
      <c r="B1283" s="2">
        <v>30</v>
      </c>
      <c r="C1283" s="2">
        <f t="shared" si="1386"/>
        <v>3869</v>
      </c>
      <c r="D1283" s="2">
        <f t="shared" si="1387"/>
        <v>3839</v>
      </c>
      <c r="E1283" s="3">
        <f t="shared" si="1388"/>
        <v>26873</v>
      </c>
      <c r="F1283" s="17">
        <f t="shared" si="1389"/>
        <v>895.73333333333335</v>
      </c>
      <c r="G1283" s="17">
        <f t="shared" si="1390"/>
        <v>895.5333333333333</v>
      </c>
      <c r="H1283" s="17">
        <f t="shared" si="1391"/>
        <v>895.4</v>
      </c>
      <c r="I1283" s="17">
        <f t="shared" si="1392"/>
        <v>895.33333333333337</v>
      </c>
      <c r="J1283" s="17">
        <f t="shared" si="1393"/>
        <v>895.2</v>
      </c>
      <c r="K1283" s="17">
        <f t="shared" si="1394"/>
        <v>895.13333333333333</v>
      </c>
      <c r="L1283" s="17">
        <f t="shared" si="1395"/>
        <v>895</v>
      </c>
      <c r="M1283" s="17">
        <f t="shared" si="1396"/>
        <v>894.8</v>
      </c>
    </row>
    <row r="1284" spans="1:13" ht="16.8" thickBot="1" x14ac:dyDescent="0.4">
      <c r="F1284" s="17"/>
      <c r="G1284" s="17"/>
      <c r="H1284" s="17"/>
      <c r="I1284" s="17"/>
      <c r="J1284" s="17"/>
      <c r="K1284" s="17"/>
      <c r="L1284" s="17"/>
      <c r="M1284" s="17"/>
    </row>
    <row r="1285" spans="1:13" ht="16.8" thickBot="1" x14ac:dyDescent="0.4">
      <c r="A1285" s="1">
        <f>A1275+1</f>
        <v>129</v>
      </c>
      <c r="C1285" s="18" t="s">
        <v>2</v>
      </c>
      <c r="E1285" s="13">
        <f>E1266</f>
        <v>26467</v>
      </c>
      <c r="F1285" s="19">
        <v>1</v>
      </c>
      <c r="G1285" s="20">
        <v>7</v>
      </c>
      <c r="H1285" s="20">
        <v>11</v>
      </c>
      <c r="I1285" s="20">
        <v>13</v>
      </c>
      <c r="J1285" s="20">
        <v>17</v>
      </c>
      <c r="K1285" s="20">
        <v>19</v>
      </c>
      <c r="L1285" s="20">
        <v>23</v>
      </c>
      <c r="M1285" s="21">
        <v>29</v>
      </c>
    </row>
    <row r="1286" spans="1:13" x14ac:dyDescent="0.35">
      <c r="B1286" s="2">
        <v>30</v>
      </c>
      <c r="C1286" s="2">
        <f>D1286+B1286</f>
        <v>3871</v>
      </c>
      <c r="D1286" s="2">
        <f>C1276</f>
        <v>3841</v>
      </c>
      <c r="E1286" s="3">
        <f>D1286*$E$5</f>
        <v>26887</v>
      </c>
      <c r="F1286" s="17">
        <f>(E1286-1)/30</f>
        <v>896.2</v>
      </c>
      <c r="G1286" s="17">
        <f>($E1286-7)/30</f>
        <v>896</v>
      </c>
      <c r="H1286" s="17">
        <f>($E1286-11)/30</f>
        <v>895.86666666666667</v>
      </c>
      <c r="I1286" s="17">
        <f>($E1286-13)/30</f>
        <v>895.8</v>
      </c>
      <c r="J1286" s="17">
        <f>($E1286-17)/30</f>
        <v>895.66666666666663</v>
      </c>
      <c r="K1286" s="17">
        <f>($E1286-19)/30</f>
        <v>895.6</v>
      </c>
      <c r="L1286" s="17">
        <f>($E1286-23)/30</f>
        <v>895.4666666666667</v>
      </c>
      <c r="M1286" s="17">
        <f>($E1286-29)/30</f>
        <v>895.26666666666665</v>
      </c>
    </row>
    <row r="1287" spans="1:13" x14ac:dyDescent="0.35">
      <c r="B1287" s="2">
        <v>30</v>
      </c>
      <c r="C1287" s="2">
        <f t="shared" ref="C1287:C1293" si="1397">D1287+B1287</f>
        <v>3877</v>
      </c>
      <c r="D1287" s="2">
        <f t="shared" ref="D1287:D1293" si="1398">C1277</f>
        <v>3847</v>
      </c>
      <c r="E1287" s="3">
        <f t="shared" ref="E1287:E1293" si="1399">D1287*$E$5</f>
        <v>26929</v>
      </c>
      <c r="F1287" s="17">
        <f t="shared" ref="F1287:F1293" si="1400">(E1287-1)/30</f>
        <v>897.6</v>
      </c>
      <c r="G1287" s="17">
        <f t="shared" ref="G1287:G1293" si="1401">($E1287-7)/30</f>
        <v>897.4</v>
      </c>
      <c r="H1287" s="17">
        <f t="shared" ref="H1287:H1293" si="1402">($E1287-11)/30</f>
        <v>897.26666666666665</v>
      </c>
      <c r="I1287" s="17">
        <f t="shared" ref="I1287:I1293" si="1403">($E1287-13)/30</f>
        <v>897.2</v>
      </c>
      <c r="J1287" s="17">
        <f t="shared" ref="J1287:J1293" si="1404">($E1287-17)/30</f>
        <v>897.06666666666672</v>
      </c>
      <c r="K1287" s="17">
        <f t="shared" ref="K1287:K1293" si="1405">($E1287-19)/30</f>
        <v>897</v>
      </c>
      <c r="L1287" s="17">
        <f t="shared" ref="L1287:L1293" si="1406">($E1287-23)/30</f>
        <v>896.86666666666667</v>
      </c>
      <c r="M1287" s="17">
        <f t="shared" ref="M1287:M1293" si="1407">($E1287-29)/30</f>
        <v>896.66666666666663</v>
      </c>
    </row>
    <row r="1288" spans="1:13" x14ac:dyDescent="0.35">
      <c r="B1288" s="2">
        <v>30</v>
      </c>
      <c r="C1288" s="2">
        <f t="shared" si="1397"/>
        <v>3881</v>
      </c>
      <c r="D1288" s="2">
        <f t="shared" si="1398"/>
        <v>3851</v>
      </c>
      <c r="E1288" s="3">
        <f t="shared" si="1399"/>
        <v>26957</v>
      </c>
      <c r="F1288" s="17">
        <f t="shared" si="1400"/>
        <v>898.5333333333333</v>
      </c>
      <c r="G1288" s="17">
        <f t="shared" si="1401"/>
        <v>898.33333333333337</v>
      </c>
      <c r="H1288" s="17">
        <f t="shared" si="1402"/>
        <v>898.2</v>
      </c>
      <c r="I1288" s="17">
        <f t="shared" si="1403"/>
        <v>898.13333333333333</v>
      </c>
      <c r="J1288" s="17">
        <f t="shared" si="1404"/>
        <v>898</v>
      </c>
      <c r="K1288" s="17">
        <f t="shared" si="1405"/>
        <v>897.93333333333328</v>
      </c>
      <c r="L1288" s="17">
        <f t="shared" si="1406"/>
        <v>897.8</v>
      </c>
      <c r="M1288" s="17">
        <f t="shared" si="1407"/>
        <v>897.6</v>
      </c>
    </row>
    <row r="1289" spans="1:13" x14ac:dyDescent="0.35">
      <c r="B1289" s="2">
        <v>30</v>
      </c>
      <c r="C1289" s="2">
        <f t="shared" si="1397"/>
        <v>3883</v>
      </c>
      <c r="D1289" s="2">
        <f t="shared" si="1398"/>
        <v>3853</v>
      </c>
      <c r="E1289" s="3">
        <f t="shared" si="1399"/>
        <v>26971</v>
      </c>
      <c r="F1289" s="17">
        <f t="shared" si="1400"/>
        <v>899</v>
      </c>
      <c r="G1289" s="17">
        <f t="shared" si="1401"/>
        <v>898.8</v>
      </c>
      <c r="H1289" s="17">
        <f t="shared" si="1402"/>
        <v>898.66666666666663</v>
      </c>
      <c r="I1289" s="17">
        <f t="shared" si="1403"/>
        <v>898.6</v>
      </c>
      <c r="J1289" s="17">
        <f t="shared" si="1404"/>
        <v>898.4666666666667</v>
      </c>
      <c r="K1289" s="17">
        <f t="shared" si="1405"/>
        <v>898.4</v>
      </c>
      <c r="L1289" s="17">
        <f t="shared" si="1406"/>
        <v>898.26666666666665</v>
      </c>
      <c r="M1289" s="17">
        <f t="shared" si="1407"/>
        <v>898.06666666666672</v>
      </c>
    </row>
    <row r="1290" spans="1:13" x14ac:dyDescent="0.35">
      <c r="B1290" s="2">
        <v>30</v>
      </c>
      <c r="C1290" s="2">
        <f t="shared" si="1397"/>
        <v>3887</v>
      </c>
      <c r="D1290" s="2">
        <f t="shared" si="1398"/>
        <v>3857</v>
      </c>
      <c r="E1290" s="3">
        <f t="shared" si="1399"/>
        <v>26999</v>
      </c>
      <c r="F1290" s="17">
        <f t="shared" si="1400"/>
        <v>899.93333333333328</v>
      </c>
      <c r="G1290" s="17">
        <f t="shared" si="1401"/>
        <v>899.73333333333335</v>
      </c>
      <c r="H1290" s="17">
        <f t="shared" si="1402"/>
        <v>899.6</v>
      </c>
      <c r="I1290" s="17">
        <f t="shared" si="1403"/>
        <v>899.5333333333333</v>
      </c>
      <c r="J1290" s="17">
        <f t="shared" si="1404"/>
        <v>899.4</v>
      </c>
      <c r="K1290" s="17">
        <f t="shared" si="1405"/>
        <v>899.33333333333337</v>
      </c>
      <c r="L1290" s="17">
        <f t="shared" si="1406"/>
        <v>899.2</v>
      </c>
      <c r="M1290" s="17">
        <f t="shared" si="1407"/>
        <v>899</v>
      </c>
    </row>
    <row r="1291" spans="1:13" x14ac:dyDescent="0.35">
      <c r="B1291" s="2">
        <v>30</v>
      </c>
      <c r="C1291" s="2">
        <f t="shared" si="1397"/>
        <v>3889</v>
      </c>
      <c r="D1291" s="2">
        <f t="shared" si="1398"/>
        <v>3859</v>
      </c>
      <c r="E1291" s="3">
        <f t="shared" si="1399"/>
        <v>27013</v>
      </c>
      <c r="F1291" s="17">
        <f t="shared" si="1400"/>
        <v>900.4</v>
      </c>
      <c r="G1291" s="17">
        <f t="shared" si="1401"/>
        <v>900.2</v>
      </c>
      <c r="H1291" s="17">
        <f t="shared" si="1402"/>
        <v>900.06666666666672</v>
      </c>
      <c r="I1291" s="17">
        <f t="shared" si="1403"/>
        <v>900</v>
      </c>
      <c r="J1291" s="17">
        <f t="shared" si="1404"/>
        <v>899.86666666666667</v>
      </c>
      <c r="K1291" s="17">
        <f t="shared" si="1405"/>
        <v>899.8</v>
      </c>
      <c r="L1291" s="17">
        <f t="shared" si="1406"/>
        <v>899.66666666666663</v>
      </c>
      <c r="M1291" s="17">
        <f t="shared" si="1407"/>
        <v>899.4666666666667</v>
      </c>
    </row>
    <row r="1292" spans="1:13" x14ac:dyDescent="0.35">
      <c r="B1292" s="2">
        <v>30</v>
      </c>
      <c r="C1292" s="2">
        <f t="shared" si="1397"/>
        <v>3893</v>
      </c>
      <c r="D1292" s="2">
        <f t="shared" si="1398"/>
        <v>3863</v>
      </c>
      <c r="E1292" s="3">
        <f t="shared" si="1399"/>
        <v>27041</v>
      </c>
      <c r="F1292" s="17">
        <f t="shared" si="1400"/>
        <v>901.33333333333337</v>
      </c>
      <c r="G1292" s="17">
        <f t="shared" si="1401"/>
        <v>901.13333333333333</v>
      </c>
      <c r="H1292" s="17">
        <f t="shared" si="1402"/>
        <v>901</v>
      </c>
      <c r="I1292" s="17">
        <f t="shared" si="1403"/>
        <v>900.93333333333328</v>
      </c>
      <c r="J1292" s="17">
        <f t="shared" si="1404"/>
        <v>900.8</v>
      </c>
      <c r="K1292" s="17">
        <f t="shared" si="1405"/>
        <v>900.73333333333335</v>
      </c>
      <c r="L1292" s="17">
        <f t="shared" si="1406"/>
        <v>900.6</v>
      </c>
      <c r="M1292" s="17">
        <f t="shared" si="1407"/>
        <v>900.4</v>
      </c>
    </row>
    <row r="1293" spans="1:13" x14ac:dyDescent="0.35">
      <c r="B1293" s="2">
        <v>30</v>
      </c>
      <c r="C1293" s="2">
        <f t="shared" si="1397"/>
        <v>3899</v>
      </c>
      <c r="D1293" s="2">
        <f t="shared" si="1398"/>
        <v>3869</v>
      </c>
      <c r="E1293" s="3">
        <f t="shared" si="1399"/>
        <v>27083</v>
      </c>
      <c r="F1293" s="17">
        <f t="shared" si="1400"/>
        <v>902.73333333333335</v>
      </c>
      <c r="G1293" s="17">
        <f t="shared" si="1401"/>
        <v>902.5333333333333</v>
      </c>
      <c r="H1293" s="17">
        <f t="shared" si="1402"/>
        <v>902.4</v>
      </c>
      <c r="I1293" s="17">
        <f t="shared" si="1403"/>
        <v>902.33333333333337</v>
      </c>
      <c r="J1293" s="17">
        <f t="shared" si="1404"/>
        <v>902.2</v>
      </c>
      <c r="K1293" s="17">
        <f t="shared" si="1405"/>
        <v>902.13333333333333</v>
      </c>
      <c r="L1293" s="17">
        <f t="shared" si="1406"/>
        <v>902</v>
      </c>
      <c r="M1293" s="17">
        <f t="shared" si="1407"/>
        <v>901.8</v>
      </c>
    </row>
    <row r="1294" spans="1:13" ht="16.8" thickBot="1" x14ac:dyDescent="0.4">
      <c r="F1294" s="17"/>
      <c r="G1294" s="17"/>
      <c r="H1294" s="17"/>
      <c r="I1294" s="17"/>
      <c r="J1294" s="17"/>
      <c r="K1294" s="17"/>
      <c r="L1294" s="17"/>
      <c r="M1294" s="17"/>
    </row>
    <row r="1295" spans="1:13" ht="16.8" thickBot="1" x14ac:dyDescent="0.4">
      <c r="A1295" s="1">
        <f>A1285+1</f>
        <v>130</v>
      </c>
      <c r="C1295" s="18" t="s">
        <v>2</v>
      </c>
      <c r="E1295" s="13">
        <f>E1276</f>
        <v>26677</v>
      </c>
      <c r="F1295" s="19">
        <v>1</v>
      </c>
      <c r="G1295" s="20">
        <v>7</v>
      </c>
      <c r="H1295" s="20">
        <v>11</v>
      </c>
      <c r="I1295" s="20">
        <v>13</v>
      </c>
      <c r="J1295" s="20">
        <v>17</v>
      </c>
      <c r="K1295" s="20">
        <v>19</v>
      </c>
      <c r="L1295" s="20">
        <v>23</v>
      </c>
      <c r="M1295" s="21">
        <v>29</v>
      </c>
    </row>
    <row r="1296" spans="1:13" x14ac:dyDescent="0.35">
      <c r="B1296" s="2">
        <v>30</v>
      </c>
      <c r="C1296" s="2">
        <f>D1296+B1296</f>
        <v>3901</v>
      </c>
      <c r="D1296" s="2">
        <f>C1286</f>
        <v>3871</v>
      </c>
      <c r="E1296" s="3">
        <f>D1296*$E$5</f>
        <v>27097</v>
      </c>
      <c r="F1296" s="17">
        <f>(E1296-1)/30</f>
        <v>903.2</v>
      </c>
      <c r="G1296" s="17">
        <f>($E1296-7)/30</f>
        <v>903</v>
      </c>
      <c r="H1296" s="17">
        <f>($E1296-11)/30</f>
        <v>902.86666666666667</v>
      </c>
      <c r="I1296" s="17">
        <f>($E1296-13)/30</f>
        <v>902.8</v>
      </c>
      <c r="J1296" s="17">
        <f>($E1296-17)/30</f>
        <v>902.66666666666663</v>
      </c>
      <c r="K1296" s="17">
        <f>($E1296-19)/30</f>
        <v>902.6</v>
      </c>
      <c r="L1296" s="17">
        <f>($E1296-23)/30</f>
        <v>902.4666666666667</v>
      </c>
      <c r="M1296" s="17">
        <f>($E1296-29)/30</f>
        <v>902.26666666666665</v>
      </c>
    </row>
    <row r="1297" spans="1:13" x14ac:dyDescent="0.35">
      <c r="B1297" s="2">
        <v>30</v>
      </c>
      <c r="C1297" s="2">
        <f t="shared" ref="C1297:C1303" si="1408">D1297+B1297</f>
        <v>3907</v>
      </c>
      <c r="D1297" s="2">
        <f t="shared" ref="D1297:D1303" si="1409">C1287</f>
        <v>3877</v>
      </c>
      <c r="E1297" s="3">
        <f t="shared" ref="E1297:E1303" si="1410">D1297*$E$5</f>
        <v>27139</v>
      </c>
      <c r="F1297" s="17">
        <f t="shared" ref="F1297:F1303" si="1411">(E1297-1)/30</f>
        <v>904.6</v>
      </c>
      <c r="G1297" s="17">
        <f t="shared" ref="G1297:G1303" si="1412">($E1297-7)/30</f>
        <v>904.4</v>
      </c>
      <c r="H1297" s="17">
        <f t="shared" ref="H1297:H1303" si="1413">($E1297-11)/30</f>
        <v>904.26666666666665</v>
      </c>
      <c r="I1297" s="17">
        <f t="shared" ref="I1297:I1303" si="1414">($E1297-13)/30</f>
        <v>904.2</v>
      </c>
      <c r="J1297" s="17">
        <f t="shared" ref="J1297:J1303" si="1415">($E1297-17)/30</f>
        <v>904.06666666666672</v>
      </c>
      <c r="K1297" s="17">
        <f t="shared" ref="K1297:K1303" si="1416">($E1297-19)/30</f>
        <v>904</v>
      </c>
      <c r="L1297" s="17">
        <f t="shared" ref="L1297:L1303" si="1417">($E1297-23)/30</f>
        <v>903.86666666666667</v>
      </c>
      <c r="M1297" s="17">
        <f t="shared" ref="M1297:M1303" si="1418">($E1297-29)/30</f>
        <v>903.66666666666663</v>
      </c>
    </row>
    <row r="1298" spans="1:13" x14ac:dyDescent="0.35">
      <c r="B1298" s="2">
        <v>30</v>
      </c>
      <c r="C1298" s="2">
        <f t="shared" si="1408"/>
        <v>3911</v>
      </c>
      <c r="D1298" s="2">
        <f t="shared" si="1409"/>
        <v>3881</v>
      </c>
      <c r="E1298" s="3">
        <f t="shared" si="1410"/>
        <v>27167</v>
      </c>
      <c r="F1298" s="17">
        <f t="shared" si="1411"/>
        <v>905.5333333333333</v>
      </c>
      <c r="G1298" s="17">
        <f t="shared" si="1412"/>
        <v>905.33333333333337</v>
      </c>
      <c r="H1298" s="17">
        <f t="shared" si="1413"/>
        <v>905.2</v>
      </c>
      <c r="I1298" s="17">
        <f t="shared" si="1414"/>
        <v>905.13333333333333</v>
      </c>
      <c r="J1298" s="17">
        <f t="shared" si="1415"/>
        <v>905</v>
      </c>
      <c r="K1298" s="17">
        <f t="shared" si="1416"/>
        <v>904.93333333333328</v>
      </c>
      <c r="L1298" s="17">
        <f t="shared" si="1417"/>
        <v>904.8</v>
      </c>
      <c r="M1298" s="17">
        <f t="shared" si="1418"/>
        <v>904.6</v>
      </c>
    </row>
    <row r="1299" spans="1:13" x14ac:dyDescent="0.35">
      <c r="B1299" s="2">
        <v>30</v>
      </c>
      <c r="C1299" s="2">
        <f t="shared" si="1408"/>
        <v>3913</v>
      </c>
      <c r="D1299" s="2">
        <f t="shared" si="1409"/>
        <v>3883</v>
      </c>
      <c r="E1299" s="3">
        <f t="shared" si="1410"/>
        <v>27181</v>
      </c>
      <c r="F1299" s="17">
        <f t="shared" si="1411"/>
        <v>906</v>
      </c>
      <c r="G1299" s="17">
        <f t="shared" si="1412"/>
        <v>905.8</v>
      </c>
      <c r="H1299" s="17">
        <f t="shared" si="1413"/>
        <v>905.66666666666663</v>
      </c>
      <c r="I1299" s="17">
        <f t="shared" si="1414"/>
        <v>905.6</v>
      </c>
      <c r="J1299" s="17">
        <f t="shared" si="1415"/>
        <v>905.4666666666667</v>
      </c>
      <c r="K1299" s="17">
        <f t="shared" si="1416"/>
        <v>905.4</v>
      </c>
      <c r="L1299" s="17">
        <f t="shared" si="1417"/>
        <v>905.26666666666665</v>
      </c>
      <c r="M1299" s="17">
        <f t="shared" si="1418"/>
        <v>905.06666666666672</v>
      </c>
    </row>
    <row r="1300" spans="1:13" x14ac:dyDescent="0.35">
      <c r="B1300" s="2">
        <v>30</v>
      </c>
      <c r="C1300" s="2">
        <f t="shared" si="1408"/>
        <v>3917</v>
      </c>
      <c r="D1300" s="2">
        <f t="shared" si="1409"/>
        <v>3887</v>
      </c>
      <c r="E1300" s="3">
        <f t="shared" si="1410"/>
        <v>27209</v>
      </c>
      <c r="F1300" s="17">
        <f t="shared" si="1411"/>
        <v>906.93333333333328</v>
      </c>
      <c r="G1300" s="17">
        <f t="shared" si="1412"/>
        <v>906.73333333333335</v>
      </c>
      <c r="H1300" s="17">
        <f t="shared" si="1413"/>
        <v>906.6</v>
      </c>
      <c r="I1300" s="17">
        <f t="shared" si="1414"/>
        <v>906.5333333333333</v>
      </c>
      <c r="J1300" s="17">
        <f t="shared" si="1415"/>
        <v>906.4</v>
      </c>
      <c r="K1300" s="17">
        <f t="shared" si="1416"/>
        <v>906.33333333333337</v>
      </c>
      <c r="L1300" s="17">
        <f t="shared" si="1417"/>
        <v>906.2</v>
      </c>
      <c r="M1300" s="17">
        <f t="shared" si="1418"/>
        <v>906</v>
      </c>
    </row>
    <row r="1301" spans="1:13" x14ac:dyDescent="0.35">
      <c r="B1301" s="2">
        <v>30</v>
      </c>
      <c r="C1301" s="2">
        <f t="shared" si="1408"/>
        <v>3919</v>
      </c>
      <c r="D1301" s="2">
        <f t="shared" si="1409"/>
        <v>3889</v>
      </c>
      <c r="E1301" s="3">
        <f t="shared" si="1410"/>
        <v>27223</v>
      </c>
      <c r="F1301" s="17">
        <f t="shared" si="1411"/>
        <v>907.4</v>
      </c>
      <c r="G1301" s="17">
        <f t="shared" si="1412"/>
        <v>907.2</v>
      </c>
      <c r="H1301" s="17">
        <f t="shared" si="1413"/>
        <v>907.06666666666672</v>
      </c>
      <c r="I1301" s="17">
        <f t="shared" si="1414"/>
        <v>907</v>
      </c>
      <c r="J1301" s="17">
        <f t="shared" si="1415"/>
        <v>906.86666666666667</v>
      </c>
      <c r="K1301" s="17">
        <f t="shared" si="1416"/>
        <v>906.8</v>
      </c>
      <c r="L1301" s="17">
        <f t="shared" si="1417"/>
        <v>906.66666666666663</v>
      </c>
      <c r="M1301" s="17">
        <f t="shared" si="1418"/>
        <v>906.4666666666667</v>
      </c>
    </row>
    <row r="1302" spans="1:13" x14ac:dyDescent="0.35">
      <c r="B1302" s="2">
        <v>30</v>
      </c>
      <c r="C1302" s="2">
        <f t="shared" si="1408"/>
        <v>3923</v>
      </c>
      <c r="D1302" s="2">
        <f t="shared" si="1409"/>
        <v>3893</v>
      </c>
      <c r="E1302" s="3">
        <f t="shared" si="1410"/>
        <v>27251</v>
      </c>
      <c r="F1302" s="17">
        <f t="shared" si="1411"/>
        <v>908.33333333333337</v>
      </c>
      <c r="G1302" s="17">
        <f t="shared" si="1412"/>
        <v>908.13333333333333</v>
      </c>
      <c r="H1302" s="17">
        <f t="shared" si="1413"/>
        <v>908</v>
      </c>
      <c r="I1302" s="17">
        <f t="shared" si="1414"/>
        <v>907.93333333333328</v>
      </c>
      <c r="J1302" s="17">
        <f t="shared" si="1415"/>
        <v>907.8</v>
      </c>
      <c r="K1302" s="17">
        <f t="shared" si="1416"/>
        <v>907.73333333333335</v>
      </c>
      <c r="L1302" s="17">
        <f t="shared" si="1417"/>
        <v>907.6</v>
      </c>
      <c r="M1302" s="17">
        <f t="shared" si="1418"/>
        <v>907.4</v>
      </c>
    </row>
    <row r="1303" spans="1:13" x14ac:dyDescent="0.35">
      <c r="B1303" s="2">
        <v>30</v>
      </c>
      <c r="C1303" s="2">
        <f t="shared" si="1408"/>
        <v>3929</v>
      </c>
      <c r="D1303" s="2">
        <f t="shared" si="1409"/>
        <v>3899</v>
      </c>
      <c r="E1303" s="3">
        <f t="shared" si="1410"/>
        <v>27293</v>
      </c>
      <c r="F1303" s="17">
        <f t="shared" si="1411"/>
        <v>909.73333333333335</v>
      </c>
      <c r="G1303" s="17">
        <f t="shared" si="1412"/>
        <v>909.5333333333333</v>
      </c>
      <c r="H1303" s="17">
        <f t="shared" si="1413"/>
        <v>909.4</v>
      </c>
      <c r="I1303" s="17">
        <f t="shared" si="1414"/>
        <v>909.33333333333337</v>
      </c>
      <c r="J1303" s="17">
        <f t="shared" si="1415"/>
        <v>909.2</v>
      </c>
      <c r="K1303" s="17">
        <f t="shared" si="1416"/>
        <v>909.13333333333333</v>
      </c>
      <c r="L1303" s="17">
        <f t="shared" si="1417"/>
        <v>909</v>
      </c>
      <c r="M1303" s="17">
        <f t="shared" si="1418"/>
        <v>908.8</v>
      </c>
    </row>
    <row r="1304" spans="1:13" ht="16.8" thickBot="1" x14ac:dyDescent="0.4">
      <c r="F1304" s="17"/>
      <c r="G1304" s="17"/>
      <c r="H1304" s="17"/>
      <c r="I1304" s="17"/>
      <c r="J1304" s="17"/>
      <c r="K1304" s="17"/>
      <c r="L1304" s="17"/>
      <c r="M1304" s="17"/>
    </row>
    <row r="1305" spans="1:13" ht="16.8" thickBot="1" x14ac:dyDescent="0.4">
      <c r="A1305" s="1">
        <f>A1295+1</f>
        <v>131</v>
      </c>
      <c r="C1305" s="18" t="s">
        <v>2</v>
      </c>
      <c r="E1305" s="13">
        <f>E1286</f>
        <v>26887</v>
      </c>
      <c r="F1305" s="19">
        <v>1</v>
      </c>
      <c r="G1305" s="20">
        <v>7</v>
      </c>
      <c r="H1305" s="20">
        <v>11</v>
      </c>
      <c r="I1305" s="20">
        <v>13</v>
      </c>
      <c r="J1305" s="20">
        <v>17</v>
      </c>
      <c r="K1305" s="20">
        <v>19</v>
      </c>
      <c r="L1305" s="20">
        <v>23</v>
      </c>
      <c r="M1305" s="21">
        <v>29</v>
      </c>
    </row>
    <row r="1306" spans="1:13" x14ac:dyDescent="0.35">
      <c r="B1306" s="2">
        <v>30</v>
      </c>
      <c r="C1306" s="2">
        <f>D1306+B1306</f>
        <v>3931</v>
      </c>
      <c r="D1306" s="2">
        <f>C1296</f>
        <v>3901</v>
      </c>
      <c r="E1306" s="3">
        <f>D1306*$E$5</f>
        <v>27307</v>
      </c>
      <c r="F1306" s="17">
        <f>(E1306-1)/30</f>
        <v>910.2</v>
      </c>
      <c r="G1306" s="17">
        <f>($E1306-7)/30</f>
        <v>910</v>
      </c>
      <c r="H1306" s="17">
        <f>($E1306-11)/30</f>
        <v>909.86666666666667</v>
      </c>
      <c r="I1306" s="17">
        <f>($E1306-13)/30</f>
        <v>909.8</v>
      </c>
      <c r="J1306" s="17">
        <f>($E1306-17)/30</f>
        <v>909.66666666666663</v>
      </c>
      <c r="K1306" s="17">
        <f>($E1306-19)/30</f>
        <v>909.6</v>
      </c>
      <c r="L1306" s="17">
        <f>($E1306-23)/30</f>
        <v>909.4666666666667</v>
      </c>
      <c r="M1306" s="17">
        <f>($E1306-29)/30</f>
        <v>909.26666666666665</v>
      </c>
    </row>
    <row r="1307" spans="1:13" x14ac:dyDescent="0.35">
      <c r="B1307" s="2">
        <v>30</v>
      </c>
      <c r="C1307" s="2">
        <f t="shared" ref="C1307:C1313" si="1419">D1307+B1307</f>
        <v>3937</v>
      </c>
      <c r="D1307" s="2">
        <f t="shared" ref="D1307:D1313" si="1420">C1297</f>
        <v>3907</v>
      </c>
      <c r="E1307" s="3">
        <f t="shared" ref="E1307:E1313" si="1421">D1307*$E$5</f>
        <v>27349</v>
      </c>
      <c r="F1307" s="17">
        <f t="shared" ref="F1307:F1313" si="1422">(E1307-1)/30</f>
        <v>911.6</v>
      </c>
      <c r="G1307" s="17">
        <f t="shared" ref="G1307:G1313" si="1423">($E1307-7)/30</f>
        <v>911.4</v>
      </c>
      <c r="H1307" s="17">
        <f t="shared" ref="H1307:H1313" si="1424">($E1307-11)/30</f>
        <v>911.26666666666665</v>
      </c>
      <c r="I1307" s="17">
        <f t="shared" ref="I1307:I1313" si="1425">($E1307-13)/30</f>
        <v>911.2</v>
      </c>
      <c r="J1307" s="17">
        <f t="shared" ref="J1307:J1313" si="1426">($E1307-17)/30</f>
        <v>911.06666666666672</v>
      </c>
      <c r="K1307" s="17">
        <f t="shared" ref="K1307:K1313" si="1427">($E1307-19)/30</f>
        <v>911</v>
      </c>
      <c r="L1307" s="17">
        <f t="shared" ref="L1307:L1313" si="1428">($E1307-23)/30</f>
        <v>910.86666666666667</v>
      </c>
      <c r="M1307" s="17">
        <f t="shared" ref="M1307:M1313" si="1429">($E1307-29)/30</f>
        <v>910.66666666666663</v>
      </c>
    </row>
    <row r="1308" spans="1:13" x14ac:dyDescent="0.35">
      <c r="B1308" s="2">
        <v>30</v>
      </c>
      <c r="C1308" s="2">
        <f t="shared" si="1419"/>
        <v>3941</v>
      </c>
      <c r="D1308" s="2">
        <f t="shared" si="1420"/>
        <v>3911</v>
      </c>
      <c r="E1308" s="3">
        <f t="shared" si="1421"/>
        <v>27377</v>
      </c>
      <c r="F1308" s="17">
        <f t="shared" si="1422"/>
        <v>912.5333333333333</v>
      </c>
      <c r="G1308" s="17">
        <f t="shared" si="1423"/>
        <v>912.33333333333337</v>
      </c>
      <c r="H1308" s="17">
        <f t="shared" si="1424"/>
        <v>912.2</v>
      </c>
      <c r="I1308" s="17">
        <f t="shared" si="1425"/>
        <v>912.13333333333333</v>
      </c>
      <c r="J1308" s="17">
        <f t="shared" si="1426"/>
        <v>912</v>
      </c>
      <c r="K1308" s="17">
        <f t="shared" si="1427"/>
        <v>911.93333333333328</v>
      </c>
      <c r="L1308" s="17">
        <f t="shared" si="1428"/>
        <v>911.8</v>
      </c>
      <c r="M1308" s="17">
        <f t="shared" si="1429"/>
        <v>911.6</v>
      </c>
    </row>
    <row r="1309" spans="1:13" x14ac:dyDescent="0.35">
      <c r="B1309" s="2">
        <v>30</v>
      </c>
      <c r="C1309" s="2">
        <f t="shared" si="1419"/>
        <v>3943</v>
      </c>
      <c r="D1309" s="2">
        <f t="shared" si="1420"/>
        <v>3913</v>
      </c>
      <c r="E1309" s="3">
        <f t="shared" si="1421"/>
        <v>27391</v>
      </c>
      <c r="F1309" s="17">
        <f t="shared" si="1422"/>
        <v>913</v>
      </c>
      <c r="G1309" s="17">
        <f t="shared" si="1423"/>
        <v>912.8</v>
      </c>
      <c r="H1309" s="17">
        <f t="shared" si="1424"/>
        <v>912.66666666666663</v>
      </c>
      <c r="I1309" s="17">
        <f t="shared" si="1425"/>
        <v>912.6</v>
      </c>
      <c r="J1309" s="17">
        <f t="shared" si="1426"/>
        <v>912.4666666666667</v>
      </c>
      <c r="K1309" s="17">
        <f t="shared" si="1427"/>
        <v>912.4</v>
      </c>
      <c r="L1309" s="17">
        <f t="shared" si="1428"/>
        <v>912.26666666666665</v>
      </c>
      <c r="M1309" s="17">
        <f t="shared" si="1429"/>
        <v>912.06666666666672</v>
      </c>
    </row>
    <row r="1310" spans="1:13" x14ac:dyDescent="0.35">
      <c r="B1310" s="2">
        <v>30</v>
      </c>
      <c r="C1310" s="2">
        <f t="shared" si="1419"/>
        <v>3947</v>
      </c>
      <c r="D1310" s="2">
        <f t="shared" si="1420"/>
        <v>3917</v>
      </c>
      <c r="E1310" s="3">
        <f t="shared" si="1421"/>
        <v>27419</v>
      </c>
      <c r="F1310" s="17">
        <f t="shared" si="1422"/>
        <v>913.93333333333328</v>
      </c>
      <c r="G1310" s="17">
        <f t="shared" si="1423"/>
        <v>913.73333333333335</v>
      </c>
      <c r="H1310" s="17">
        <f t="shared" si="1424"/>
        <v>913.6</v>
      </c>
      <c r="I1310" s="17">
        <f t="shared" si="1425"/>
        <v>913.5333333333333</v>
      </c>
      <c r="J1310" s="17">
        <f t="shared" si="1426"/>
        <v>913.4</v>
      </c>
      <c r="K1310" s="17">
        <f t="shared" si="1427"/>
        <v>913.33333333333337</v>
      </c>
      <c r="L1310" s="17">
        <f t="shared" si="1428"/>
        <v>913.2</v>
      </c>
      <c r="M1310" s="17">
        <f t="shared" si="1429"/>
        <v>913</v>
      </c>
    </row>
    <row r="1311" spans="1:13" x14ac:dyDescent="0.35">
      <c r="B1311" s="2">
        <v>30</v>
      </c>
      <c r="C1311" s="2">
        <f t="shared" si="1419"/>
        <v>3949</v>
      </c>
      <c r="D1311" s="2">
        <f t="shared" si="1420"/>
        <v>3919</v>
      </c>
      <c r="E1311" s="3">
        <f t="shared" si="1421"/>
        <v>27433</v>
      </c>
      <c r="F1311" s="17">
        <f t="shared" si="1422"/>
        <v>914.4</v>
      </c>
      <c r="G1311" s="17">
        <f t="shared" si="1423"/>
        <v>914.2</v>
      </c>
      <c r="H1311" s="17">
        <f t="shared" si="1424"/>
        <v>914.06666666666672</v>
      </c>
      <c r="I1311" s="17">
        <f t="shared" si="1425"/>
        <v>914</v>
      </c>
      <c r="J1311" s="17">
        <f t="shared" si="1426"/>
        <v>913.86666666666667</v>
      </c>
      <c r="K1311" s="17">
        <f t="shared" si="1427"/>
        <v>913.8</v>
      </c>
      <c r="L1311" s="17">
        <f t="shared" si="1428"/>
        <v>913.66666666666663</v>
      </c>
      <c r="M1311" s="17">
        <f t="shared" si="1429"/>
        <v>913.4666666666667</v>
      </c>
    </row>
    <row r="1312" spans="1:13" x14ac:dyDescent="0.35">
      <c r="B1312" s="2">
        <v>30</v>
      </c>
      <c r="C1312" s="2">
        <f t="shared" si="1419"/>
        <v>3953</v>
      </c>
      <c r="D1312" s="2">
        <f t="shared" si="1420"/>
        <v>3923</v>
      </c>
      <c r="E1312" s="3">
        <f t="shared" si="1421"/>
        <v>27461</v>
      </c>
      <c r="F1312" s="17">
        <f t="shared" si="1422"/>
        <v>915.33333333333337</v>
      </c>
      <c r="G1312" s="17">
        <f t="shared" si="1423"/>
        <v>915.13333333333333</v>
      </c>
      <c r="H1312" s="17">
        <f t="shared" si="1424"/>
        <v>915</v>
      </c>
      <c r="I1312" s="17">
        <f t="shared" si="1425"/>
        <v>914.93333333333328</v>
      </c>
      <c r="J1312" s="17">
        <f t="shared" si="1426"/>
        <v>914.8</v>
      </c>
      <c r="K1312" s="17">
        <f t="shared" si="1427"/>
        <v>914.73333333333335</v>
      </c>
      <c r="L1312" s="17">
        <f t="shared" si="1428"/>
        <v>914.6</v>
      </c>
      <c r="M1312" s="17">
        <f t="shared" si="1429"/>
        <v>914.4</v>
      </c>
    </row>
    <row r="1313" spans="1:13" x14ac:dyDescent="0.35">
      <c r="B1313" s="2">
        <v>30</v>
      </c>
      <c r="C1313" s="2">
        <f t="shared" si="1419"/>
        <v>3959</v>
      </c>
      <c r="D1313" s="2">
        <f t="shared" si="1420"/>
        <v>3929</v>
      </c>
      <c r="E1313" s="3">
        <f t="shared" si="1421"/>
        <v>27503</v>
      </c>
      <c r="F1313" s="17">
        <f t="shared" si="1422"/>
        <v>916.73333333333335</v>
      </c>
      <c r="G1313" s="17">
        <f t="shared" si="1423"/>
        <v>916.5333333333333</v>
      </c>
      <c r="H1313" s="17">
        <f t="shared" si="1424"/>
        <v>916.4</v>
      </c>
      <c r="I1313" s="17">
        <f t="shared" si="1425"/>
        <v>916.33333333333337</v>
      </c>
      <c r="J1313" s="17">
        <f t="shared" si="1426"/>
        <v>916.2</v>
      </c>
      <c r="K1313" s="17">
        <f t="shared" si="1427"/>
        <v>916.13333333333333</v>
      </c>
      <c r="L1313" s="17">
        <f t="shared" si="1428"/>
        <v>916</v>
      </c>
      <c r="M1313" s="17">
        <f t="shared" si="1429"/>
        <v>915.8</v>
      </c>
    </row>
    <row r="1314" spans="1:13" ht="16.8" thickBot="1" x14ac:dyDescent="0.4">
      <c r="F1314" s="17"/>
      <c r="G1314" s="17"/>
      <c r="H1314" s="17"/>
      <c r="I1314" s="17"/>
      <c r="J1314" s="17"/>
      <c r="K1314" s="17"/>
      <c r="L1314" s="17"/>
      <c r="M1314" s="17"/>
    </row>
    <row r="1315" spans="1:13" ht="16.8" thickBot="1" x14ac:dyDescent="0.4">
      <c r="A1315" s="1">
        <f>A1305+1</f>
        <v>132</v>
      </c>
      <c r="C1315" s="18" t="s">
        <v>2</v>
      </c>
      <c r="E1315" s="13">
        <f>E1296</f>
        <v>27097</v>
      </c>
      <c r="F1315" s="19">
        <v>1</v>
      </c>
      <c r="G1315" s="20">
        <v>7</v>
      </c>
      <c r="H1315" s="20">
        <v>11</v>
      </c>
      <c r="I1315" s="20">
        <v>13</v>
      </c>
      <c r="J1315" s="20">
        <v>17</v>
      </c>
      <c r="K1315" s="20">
        <v>19</v>
      </c>
      <c r="L1315" s="20">
        <v>23</v>
      </c>
      <c r="M1315" s="21">
        <v>29</v>
      </c>
    </row>
    <row r="1316" spans="1:13" x14ac:dyDescent="0.35">
      <c r="B1316" s="2">
        <v>30</v>
      </c>
      <c r="C1316" s="2">
        <f>D1316+B1316</f>
        <v>3961</v>
      </c>
      <c r="D1316" s="2">
        <f>C1306</f>
        <v>3931</v>
      </c>
      <c r="E1316" s="3">
        <f>D1316*$E$5</f>
        <v>27517</v>
      </c>
      <c r="F1316" s="17">
        <f>(E1316-1)/30</f>
        <v>917.2</v>
      </c>
      <c r="G1316" s="17">
        <f>($E1316-7)/30</f>
        <v>917</v>
      </c>
      <c r="H1316" s="17">
        <f>($E1316-11)/30</f>
        <v>916.86666666666667</v>
      </c>
      <c r="I1316" s="17">
        <f>($E1316-13)/30</f>
        <v>916.8</v>
      </c>
      <c r="J1316" s="17">
        <f>($E1316-17)/30</f>
        <v>916.66666666666663</v>
      </c>
      <c r="K1316" s="17">
        <f>($E1316-19)/30</f>
        <v>916.6</v>
      </c>
      <c r="L1316" s="17">
        <f>($E1316-23)/30</f>
        <v>916.4666666666667</v>
      </c>
      <c r="M1316" s="17">
        <f>($E1316-29)/30</f>
        <v>916.26666666666665</v>
      </c>
    </row>
    <row r="1317" spans="1:13" x14ac:dyDescent="0.35">
      <c r="B1317" s="2">
        <v>30</v>
      </c>
      <c r="C1317" s="2">
        <f t="shared" ref="C1317:C1323" si="1430">D1317+B1317</f>
        <v>3967</v>
      </c>
      <c r="D1317" s="2">
        <f t="shared" ref="D1317:D1323" si="1431">C1307</f>
        <v>3937</v>
      </c>
      <c r="E1317" s="3">
        <f t="shared" ref="E1317:E1323" si="1432">D1317*$E$5</f>
        <v>27559</v>
      </c>
      <c r="F1317" s="17">
        <f t="shared" ref="F1317:F1323" si="1433">(E1317-1)/30</f>
        <v>918.6</v>
      </c>
      <c r="G1317" s="17">
        <f t="shared" ref="G1317:G1323" si="1434">($E1317-7)/30</f>
        <v>918.4</v>
      </c>
      <c r="H1317" s="17">
        <f t="shared" ref="H1317:H1323" si="1435">($E1317-11)/30</f>
        <v>918.26666666666665</v>
      </c>
      <c r="I1317" s="17">
        <f t="shared" ref="I1317:I1323" si="1436">($E1317-13)/30</f>
        <v>918.2</v>
      </c>
      <c r="J1317" s="17">
        <f t="shared" ref="J1317:J1323" si="1437">($E1317-17)/30</f>
        <v>918.06666666666672</v>
      </c>
      <c r="K1317" s="17">
        <f t="shared" ref="K1317:K1323" si="1438">($E1317-19)/30</f>
        <v>918</v>
      </c>
      <c r="L1317" s="17">
        <f t="shared" ref="L1317:L1323" si="1439">($E1317-23)/30</f>
        <v>917.86666666666667</v>
      </c>
      <c r="M1317" s="17">
        <f t="shared" ref="M1317:M1323" si="1440">($E1317-29)/30</f>
        <v>917.66666666666663</v>
      </c>
    </row>
    <row r="1318" spans="1:13" x14ac:dyDescent="0.35">
      <c r="B1318" s="2">
        <v>30</v>
      </c>
      <c r="C1318" s="2">
        <f t="shared" si="1430"/>
        <v>3971</v>
      </c>
      <c r="D1318" s="2">
        <f t="shared" si="1431"/>
        <v>3941</v>
      </c>
      <c r="E1318" s="3">
        <f t="shared" si="1432"/>
        <v>27587</v>
      </c>
      <c r="F1318" s="17">
        <f t="shared" si="1433"/>
        <v>919.5333333333333</v>
      </c>
      <c r="G1318" s="17">
        <f t="shared" si="1434"/>
        <v>919.33333333333337</v>
      </c>
      <c r="H1318" s="17">
        <f t="shared" si="1435"/>
        <v>919.2</v>
      </c>
      <c r="I1318" s="17">
        <f t="shared" si="1436"/>
        <v>919.13333333333333</v>
      </c>
      <c r="J1318" s="17">
        <f t="shared" si="1437"/>
        <v>919</v>
      </c>
      <c r="K1318" s="17">
        <f t="shared" si="1438"/>
        <v>918.93333333333328</v>
      </c>
      <c r="L1318" s="17">
        <f t="shared" si="1439"/>
        <v>918.8</v>
      </c>
      <c r="M1318" s="17">
        <f t="shared" si="1440"/>
        <v>918.6</v>
      </c>
    </row>
    <row r="1319" spans="1:13" x14ac:dyDescent="0.35">
      <c r="B1319" s="2">
        <v>30</v>
      </c>
      <c r="C1319" s="2">
        <f t="shared" si="1430"/>
        <v>3973</v>
      </c>
      <c r="D1319" s="2">
        <f t="shared" si="1431"/>
        <v>3943</v>
      </c>
      <c r="E1319" s="3">
        <f t="shared" si="1432"/>
        <v>27601</v>
      </c>
      <c r="F1319" s="17">
        <f t="shared" si="1433"/>
        <v>920</v>
      </c>
      <c r="G1319" s="17">
        <f t="shared" si="1434"/>
        <v>919.8</v>
      </c>
      <c r="H1319" s="17">
        <f t="shared" si="1435"/>
        <v>919.66666666666663</v>
      </c>
      <c r="I1319" s="17">
        <f t="shared" si="1436"/>
        <v>919.6</v>
      </c>
      <c r="J1319" s="17">
        <f t="shared" si="1437"/>
        <v>919.4666666666667</v>
      </c>
      <c r="K1319" s="17">
        <f t="shared" si="1438"/>
        <v>919.4</v>
      </c>
      <c r="L1319" s="17">
        <f t="shared" si="1439"/>
        <v>919.26666666666665</v>
      </c>
      <c r="M1319" s="17">
        <f t="shared" si="1440"/>
        <v>919.06666666666672</v>
      </c>
    </row>
    <row r="1320" spans="1:13" x14ac:dyDescent="0.35">
      <c r="B1320" s="2">
        <v>30</v>
      </c>
      <c r="C1320" s="2">
        <f t="shared" si="1430"/>
        <v>3977</v>
      </c>
      <c r="D1320" s="2">
        <f t="shared" si="1431"/>
        <v>3947</v>
      </c>
      <c r="E1320" s="3">
        <f t="shared" si="1432"/>
        <v>27629</v>
      </c>
      <c r="F1320" s="17">
        <f t="shared" si="1433"/>
        <v>920.93333333333328</v>
      </c>
      <c r="G1320" s="17">
        <f t="shared" si="1434"/>
        <v>920.73333333333335</v>
      </c>
      <c r="H1320" s="17">
        <f t="shared" si="1435"/>
        <v>920.6</v>
      </c>
      <c r="I1320" s="17">
        <f t="shared" si="1436"/>
        <v>920.5333333333333</v>
      </c>
      <c r="J1320" s="17">
        <f t="shared" si="1437"/>
        <v>920.4</v>
      </c>
      <c r="K1320" s="17">
        <f t="shared" si="1438"/>
        <v>920.33333333333337</v>
      </c>
      <c r="L1320" s="17">
        <f t="shared" si="1439"/>
        <v>920.2</v>
      </c>
      <c r="M1320" s="17">
        <f t="shared" si="1440"/>
        <v>920</v>
      </c>
    </row>
    <row r="1321" spans="1:13" x14ac:dyDescent="0.35">
      <c r="B1321" s="2">
        <v>30</v>
      </c>
      <c r="C1321" s="2">
        <f t="shared" si="1430"/>
        <v>3979</v>
      </c>
      <c r="D1321" s="2">
        <f t="shared" si="1431"/>
        <v>3949</v>
      </c>
      <c r="E1321" s="3">
        <f t="shared" si="1432"/>
        <v>27643</v>
      </c>
      <c r="F1321" s="17">
        <f t="shared" si="1433"/>
        <v>921.4</v>
      </c>
      <c r="G1321" s="17">
        <f t="shared" si="1434"/>
        <v>921.2</v>
      </c>
      <c r="H1321" s="17">
        <f t="shared" si="1435"/>
        <v>921.06666666666672</v>
      </c>
      <c r="I1321" s="17">
        <f t="shared" si="1436"/>
        <v>921</v>
      </c>
      <c r="J1321" s="17">
        <f t="shared" si="1437"/>
        <v>920.86666666666667</v>
      </c>
      <c r="K1321" s="17">
        <f t="shared" si="1438"/>
        <v>920.8</v>
      </c>
      <c r="L1321" s="17">
        <f t="shared" si="1439"/>
        <v>920.66666666666663</v>
      </c>
      <c r="M1321" s="17">
        <f t="shared" si="1440"/>
        <v>920.4666666666667</v>
      </c>
    </row>
    <row r="1322" spans="1:13" x14ac:dyDescent="0.35">
      <c r="B1322" s="2">
        <v>30</v>
      </c>
      <c r="C1322" s="2">
        <f t="shared" si="1430"/>
        <v>3983</v>
      </c>
      <c r="D1322" s="2">
        <f t="shared" si="1431"/>
        <v>3953</v>
      </c>
      <c r="E1322" s="3">
        <f t="shared" si="1432"/>
        <v>27671</v>
      </c>
      <c r="F1322" s="17">
        <f t="shared" si="1433"/>
        <v>922.33333333333337</v>
      </c>
      <c r="G1322" s="17">
        <f t="shared" si="1434"/>
        <v>922.13333333333333</v>
      </c>
      <c r="H1322" s="17">
        <f t="shared" si="1435"/>
        <v>922</v>
      </c>
      <c r="I1322" s="17">
        <f t="shared" si="1436"/>
        <v>921.93333333333328</v>
      </c>
      <c r="J1322" s="17">
        <f t="shared" si="1437"/>
        <v>921.8</v>
      </c>
      <c r="K1322" s="17">
        <f t="shared" si="1438"/>
        <v>921.73333333333335</v>
      </c>
      <c r="L1322" s="17">
        <f t="shared" si="1439"/>
        <v>921.6</v>
      </c>
      <c r="M1322" s="17">
        <f t="shared" si="1440"/>
        <v>921.4</v>
      </c>
    </row>
    <row r="1323" spans="1:13" x14ac:dyDescent="0.35">
      <c r="B1323" s="2">
        <v>30</v>
      </c>
      <c r="C1323" s="2">
        <f t="shared" si="1430"/>
        <v>3989</v>
      </c>
      <c r="D1323" s="2">
        <f t="shared" si="1431"/>
        <v>3959</v>
      </c>
      <c r="E1323" s="3">
        <f t="shared" si="1432"/>
        <v>27713</v>
      </c>
      <c r="F1323" s="17">
        <f t="shared" si="1433"/>
        <v>923.73333333333335</v>
      </c>
      <c r="G1323" s="17">
        <f t="shared" si="1434"/>
        <v>923.5333333333333</v>
      </c>
      <c r="H1323" s="17">
        <f t="shared" si="1435"/>
        <v>923.4</v>
      </c>
      <c r="I1323" s="17">
        <f t="shared" si="1436"/>
        <v>923.33333333333337</v>
      </c>
      <c r="J1323" s="17">
        <f t="shared" si="1437"/>
        <v>923.2</v>
      </c>
      <c r="K1323" s="17">
        <f t="shared" si="1438"/>
        <v>923.13333333333333</v>
      </c>
      <c r="L1323" s="17">
        <f t="shared" si="1439"/>
        <v>923</v>
      </c>
      <c r="M1323" s="17">
        <f t="shared" si="1440"/>
        <v>922.8</v>
      </c>
    </row>
    <row r="1324" spans="1:13" ht="16.8" thickBot="1" x14ac:dyDescent="0.4">
      <c r="F1324" s="17"/>
      <c r="G1324" s="17"/>
      <c r="H1324" s="17"/>
      <c r="I1324" s="17"/>
      <c r="J1324" s="17"/>
      <c r="K1324" s="17"/>
      <c r="L1324" s="17"/>
      <c r="M1324" s="17"/>
    </row>
    <row r="1325" spans="1:13" ht="16.8" thickBot="1" x14ac:dyDescent="0.4">
      <c r="A1325" s="1">
        <f>A1315+1</f>
        <v>133</v>
      </c>
      <c r="C1325" s="18" t="s">
        <v>2</v>
      </c>
      <c r="E1325" s="13">
        <f>E1306</f>
        <v>27307</v>
      </c>
      <c r="F1325" s="19">
        <v>1</v>
      </c>
      <c r="G1325" s="20">
        <v>7</v>
      </c>
      <c r="H1325" s="20">
        <v>11</v>
      </c>
      <c r="I1325" s="20">
        <v>13</v>
      </c>
      <c r="J1325" s="20">
        <v>17</v>
      </c>
      <c r="K1325" s="20">
        <v>19</v>
      </c>
      <c r="L1325" s="20">
        <v>23</v>
      </c>
      <c r="M1325" s="21">
        <v>29</v>
      </c>
    </row>
    <row r="1326" spans="1:13" x14ac:dyDescent="0.35">
      <c r="B1326" s="2">
        <v>30</v>
      </c>
      <c r="C1326" s="2">
        <f>D1326+B1326</f>
        <v>3991</v>
      </c>
      <c r="D1326" s="2">
        <f>C1316</f>
        <v>3961</v>
      </c>
      <c r="E1326" s="3">
        <f>D1326*$E$5</f>
        <v>27727</v>
      </c>
      <c r="F1326" s="17">
        <f>(E1326-1)/30</f>
        <v>924.2</v>
      </c>
      <c r="G1326" s="17">
        <f>($E1326-7)/30</f>
        <v>924</v>
      </c>
      <c r="H1326" s="17">
        <f>($E1326-11)/30</f>
        <v>923.86666666666667</v>
      </c>
      <c r="I1326" s="17">
        <f>($E1326-13)/30</f>
        <v>923.8</v>
      </c>
      <c r="J1326" s="17">
        <f>($E1326-17)/30</f>
        <v>923.66666666666663</v>
      </c>
      <c r="K1326" s="17">
        <f>($E1326-19)/30</f>
        <v>923.6</v>
      </c>
      <c r="L1326" s="17">
        <f>($E1326-23)/30</f>
        <v>923.4666666666667</v>
      </c>
      <c r="M1326" s="17">
        <f>($E1326-29)/30</f>
        <v>923.26666666666665</v>
      </c>
    </row>
    <row r="1327" spans="1:13" x14ac:dyDescent="0.35">
      <c r="B1327" s="2">
        <v>30</v>
      </c>
      <c r="C1327" s="2">
        <f t="shared" ref="C1327:C1333" si="1441">D1327+B1327</f>
        <v>3997</v>
      </c>
      <c r="D1327" s="2">
        <f t="shared" ref="D1327:D1333" si="1442">C1317</f>
        <v>3967</v>
      </c>
      <c r="E1327" s="3">
        <f t="shared" ref="E1327:E1333" si="1443">D1327*$E$5</f>
        <v>27769</v>
      </c>
      <c r="F1327" s="17">
        <f t="shared" ref="F1327:F1333" si="1444">(E1327-1)/30</f>
        <v>925.6</v>
      </c>
      <c r="G1327" s="17">
        <f t="shared" ref="G1327:G1333" si="1445">($E1327-7)/30</f>
        <v>925.4</v>
      </c>
      <c r="H1327" s="17">
        <f t="shared" ref="H1327:H1333" si="1446">($E1327-11)/30</f>
        <v>925.26666666666665</v>
      </c>
      <c r="I1327" s="17">
        <f t="shared" ref="I1327:I1333" si="1447">($E1327-13)/30</f>
        <v>925.2</v>
      </c>
      <c r="J1327" s="17">
        <f t="shared" ref="J1327:J1333" si="1448">($E1327-17)/30</f>
        <v>925.06666666666672</v>
      </c>
      <c r="K1327" s="17">
        <f t="shared" ref="K1327:K1333" si="1449">($E1327-19)/30</f>
        <v>925</v>
      </c>
      <c r="L1327" s="17">
        <f t="shared" ref="L1327:L1333" si="1450">($E1327-23)/30</f>
        <v>924.86666666666667</v>
      </c>
      <c r="M1327" s="17">
        <f t="shared" ref="M1327:M1333" si="1451">($E1327-29)/30</f>
        <v>924.66666666666663</v>
      </c>
    </row>
    <row r="1328" spans="1:13" x14ac:dyDescent="0.35">
      <c r="B1328" s="2">
        <v>30</v>
      </c>
      <c r="C1328" s="2">
        <f t="shared" si="1441"/>
        <v>4001</v>
      </c>
      <c r="D1328" s="2">
        <f t="shared" si="1442"/>
        <v>3971</v>
      </c>
      <c r="E1328" s="3">
        <f t="shared" si="1443"/>
        <v>27797</v>
      </c>
      <c r="F1328" s="17">
        <f t="shared" si="1444"/>
        <v>926.5333333333333</v>
      </c>
      <c r="G1328" s="17">
        <f t="shared" si="1445"/>
        <v>926.33333333333337</v>
      </c>
      <c r="H1328" s="17">
        <f t="shared" si="1446"/>
        <v>926.2</v>
      </c>
      <c r="I1328" s="17">
        <f t="shared" si="1447"/>
        <v>926.13333333333333</v>
      </c>
      <c r="J1328" s="17">
        <f t="shared" si="1448"/>
        <v>926</v>
      </c>
      <c r="K1328" s="17">
        <f t="shared" si="1449"/>
        <v>925.93333333333328</v>
      </c>
      <c r="L1328" s="17">
        <f t="shared" si="1450"/>
        <v>925.8</v>
      </c>
      <c r="M1328" s="17">
        <f t="shared" si="1451"/>
        <v>925.6</v>
      </c>
    </row>
    <row r="1329" spans="1:13" x14ac:dyDescent="0.35">
      <c r="B1329" s="2">
        <v>30</v>
      </c>
      <c r="C1329" s="2">
        <f t="shared" si="1441"/>
        <v>4003</v>
      </c>
      <c r="D1329" s="2">
        <f t="shared" si="1442"/>
        <v>3973</v>
      </c>
      <c r="E1329" s="3">
        <f t="shared" si="1443"/>
        <v>27811</v>
      </c>
      <c r="F1329" s="17">
        <f t="shared" si="1444"/>
        <v>927</v>
      </c>
      <c r="G1329" s="17">
        <f t="shared" si="1445"/>
        <v>926.8</v>
      </c>
      <c r="H1329" s="17">
        <f t="shared" si="1446"/>
        <v>926.66666666666663</v>
      </c>
      <c r="I1329" s="17">
        <f t="shared" si="1447"/>
        <v>926.6</v>
      </c>
      <c r="J1329" s="17">
        <f t="shared" si="1448"/>
        <v>926.4666666666667</v>
      </c>
      <c r="K1329" s="17">
        <f t="shared" si="1449"/>
        <v>926.4</v>
      </c>
      <c r="L1329" s="17">
        <f t="shared" si="1450"/>
        <v>926.26666666666665</v>
      </c>
      <c r="M1329" s="17">
        <f t="shared" si="1451"/>
        <v>926.06666666666672</v>
      </c>
    </row>
    <row r="1330" spans="1:13" x14ac:dyDescent="0.35">
      <c r="B1330" s="2">
        <v>30</v>
      </c>
      <c r="C1330" s="2">
        <f t="shared" si="1441"/>
        <v>4007</v>
      </c>
      <c r="D1330" s="2">
        <f t="shared" si="1442"/>
        <v>3977</v>
      </c>
      <c r="E1330" s="3">
        <f t="shared" si="1443"/>
        <v>27839</v>
      </c>
      <c r="F1330" s="17">
        <f t="shared" si="1444"/>
        <v>927.93333333333328</v>
      </c>
      <c r="G1330" s="17">
        <f t="shared" si="1445"/>
        <v>927.73333333333335</v>
      </c>
      <c r="H1330" s="17">
        <f t="shared" si="1446"/>
        <v>927.6</v>
      </c>
      <c r="I1330" s="17">
        <f t="shared" si="1447"/>
        <v>927.5333333333333</v>
      </c>
      <c r="J1330" s="17">
        <f t="shared" si="1448"/>
        <v>927.4</v>
      </c>
      <c r="K1330" s="17">
        <f t="shared" si="1449"/>
        <v>927.33333333333337</v>
      </c>
      <c r="L1330" s="17">
        <f t="shared" si="1450"/>
        <v>927.2</v>
      </c>
      <c r="M1330" s="17">
        <f t="shared" si="1451"/>
        <v>927</v>
      </c>
    </row>
    <row r="1331" spans="1:13" x14ac:dyDescent="0.35">
      <c r="B1331" s="2">
        <v>30</v>
      </c>
      <c r="C1331" s="2">
        <f t="shared" si="1441"/>
        <v>4009</v>
      </c>
      <c r="D1331" s="2">
        <f t="shared" si="1442"/>
        <v>3979</v>
      </c>
      <c r="E1331" s="3">
        <f t="shared" si="1443"/>
        <v>27853</v>
      </c>
      <c r="F1331" s="17">
        <f t="shared" si="1444"/>
        <v>928.4</v>
      </c>
      <c r="G1331" s="17">
        <f t="shared" si="1445"/>
        <v>928.2</v>
      </c>
      <c r="H1331" s="17">
        <f t="shared" si="1446"/>
        <v>928.06666666666672</v>
      </c>
      <c r="I1331" s="17">
        <f t="shared" si="1447"/>
        <v>928</v>
      </c>
      <c r="J1331" s="17">
        <f t="shared" si="1448"/>
        <v>927.86666666666667</v>
      </c>
      <c r="K1331" s="17">
        <f t="shared" si="1449"/>
        <v>927.8</v>
      </c>
      <c r="L1331" s="17">
        <f t="shared" si="1450"/>
        <v>927.66666666666663</v>
      </c>
      <c r="M1331" s="17">
        <f t="shared" si="1451"/>
        <v>927.4666666666667</v>
      </c>
    </row>
    <row r="1332" spans="1:13" x14ac:dyDescent="0.35">
      <c r="B1332" s="2">
        <v>30</v>
      </c>
      <c r="C1332" s="2">
        <f t="shared" si="1441"/>
        <v>4013</v>
      </c>
      <c r="D1332" s="2">
        <f t="shared" si="1442"/>
        <v>3983</v>
      </c>
      <c r="E1332" s="3">
        <f t="shared" si="1443"/>
        <v>27881</v>
      </c>
      <c r="F1332" s="17">
        <f t="shared" si="1444"/>
        <v>929.33333333333337</v>
      </c>
      <c r="G1332" s="17">
        <f t="shared" si="1445"/>
        <v>929.13333333333333</v>
      </c>
      <c r="H1332" s="17">
        <f t="shared" si="1446"/>
        <v>929</v>
      </c>
      <c r="I1332" s="17">
        <f t="shared" si="1447"/>
        <v>928.93333333333328</v>
      </c>
      <c r="J1332" s="17">
        <f t="shared" si="1448"/>
        <v>928.8</v>
      </c>
      <c r="K1332" s="17">
        <f t="shared" si="1449"/>
        <v>928.73333333333335</v>
      </c>
      <c r="L1332" s="17">
        <f t="shared" si="1450"/>
        <v>928.6</v>
      </c>
      <c r="M1332" s="17">
        <f t="shared" si="1451"/>
        <v>928.4</v>
      </c>
    </row>
    <row r="1333" spans="1:13" x14ac:dyDescent="0.35">
      <c r="B1333" s="2">
        <v>30</v>
      </c>
      <c r="C1333" s="2">
        <f t="shared" si="1441"/>
        <v>4019</v>
      </c>
      <c r="D1333" s="2">
        <f t="shared" si="1442"/>
        <v>3989</v>
      </c>
      <c r="E1333" s="3">
        <f t="shared" si="1443"/>
        <v>27923</v>
      </c>
      <c r="F1333" s="17">
        <f t="shared" si="1444"/>
        <v>930.73333333333335</v>
      </c>
      <c r="G1333" s="17">
        <f t="shared" si="1445"/>
        <v>930.5333333333333</v>
      </c>
      <c r="H1333" s="17">
        <f t="shared" si="1446"/>
        <v>930.4</v>
      </c>
      <c r="I1333" s="17">
        <f t="shared" si="1447"/>
        <v>930.33333333333337</v>
      </c>
      <c r="J1333" s="17">
        <f t="shared" si="1448"/>
        <v>930.2</v>
      </c>
      <c r="K1333" s="17">
        <f t="shared" si="1449"/>
        <v>930.13333333333333</v>
      </c>
      <c r="L1333" s="17">
        <f t="shared" si="1450"/>
        <v>930</v>
      </c>
      <c r="M1333" s="17">
        <f t="shared" si="1451"/>
        <v>929.8</v>
      </c>
    </row>
    <row r="1334" spans="1:13" ht="16.8" thickBot="1" x14ac:dyDescent="0.4">
      <c r="F1334" s="17"/>
      <c r="G1334" s="17"/>
      <c r="H1334" s="17"/>
      <c r="I1334" s="17"/>
      <c r="J1334" s="17"/>
      <c r="K1334" s="17"/>
      <c r="L1334" s="17"/>
      <c r="M1334" s="17"/>
    </row>
    <row r="1335" spans="1:13" ht="16.8" thickBot="1" x14ac:dyDescent="0.4">
      <c r="A1335" s="1">
        <f>A1325+1</f>
        <v>134</v>
      </c>
      <c r="C1335" s="18" t="s">
        <v>2</v>
      </c>
      <c r="E1335" s="13">
        <f>E1316</f>
        <v>27517</v>
      </c>
      <c r="F1335" s="19">
        <v>1</v>
      </c>
      <c r="G1335" s="20">
        <v>7</v>
      </c>
      <c r="H1335" s="20">
        <v>11</v>
      </c>
      <c r="I1335" s="20">
        <v>13</v>
      </c>
      <c r="J1335" s="20">
        <v>17</v>
      </c>
      <c r="K1335" s="20">
        <v>19</v>
      </c>
      <c r="L1335" s="20">
        <v>23</v>
      </c>
      <c r="M1335" s="21">
        <v>29</v>
      </c>
    </row>
    <row r="1336" spans="1:13" x14ac:dyDescent="0.35">
      <c r="B1336" s="2">
        <v>30</v>
      </c>
      <c r="C1336" s="2">
        <f>D1336+B1336</f>
        <v>4021</v>
      </c>
      <c r="D1336" s="2">
        <f>C1326</f>
        <v>3991</v>
      </c>
      <c r="E1336" s="3">
        <f>D1336*$E$5</f>
        <v>27937</v>
      </c>
      <c r="F1336" s="17">
        <f>(E1336-1)/30</f>
        <v>931.2</v>
      </c>
      <c r="G1336" s="17">
        <f>($E1336-7)/30</f>
        <v>931</v>
      </c>
      <c r="H1336" s="17">
        <f>($E1336-11)/30</f>
        <v>930.86666666666667</v>
      </c>
      <c r="I1336" s="17">
        <f>($E1336-13)/30</f>
        <v>930.8</v>
      </c>
      <c r="J1336" s="17">
        <f>($E1336-17)/30</f>
        <v>930.66666666666663</v>
      </c>
      <c r="K1336" s="17">
        <f>($E1336-19)/30</f>
        <v>930.6</v>
      </c>
      <c r="L1336" s="17">
        <f>($E1336-23)/30</f>
        <v>930.4666666666667</v>
      </c>
      <c r="M1336" s="17">
        <f>($E1336-29)/30</f>
        <v>930.26666666666665</v>
      </c>
    </row>
    <row r="1337" spans="1:13" x14ac:dyDescent="0.35">
      <c r="B1337" s="2">
        <v>30</v>
      </c>
      <c r="C1337" s="2">
        <f t="shared" ref="C1337:C1343" si="1452">D1337+B1337</f>
        <v>4027</v>
      </c>
      <c r="D1337" s="2">
        <f t="shared" ref="D1337:D1343" si="1453">C1327</f>
        <v>3997</v>
      </c>
      <c r="E1337" s="3">
        <f t="shared" ref="E1337:E1343" si="1454">D1337*$E$5</f>
        <v>27979</v>
      </c>
      <c r="F1337" s="17">
        <f t="shared" ref="F1337:F1343" si="1455">(E1337-1)/30</f>
        <v>932.6</v>
      </c>
      <c r="G1337" s="17">
        <f t="shared" ref="G1337:G1343" si="1456">($E1337-7)/30</f>
        <v>932.4</v>
      </c>
      <c r="H1337" s="17">
        <f t="shared" ref="H1337:H1343" si="1457">($E1337-11)/30</f>
        <v>932.26666666666665</v>
      </c>
      <c r="I1337" s="17">
        <f t="shared" ref="I1337:I1343" si="1458">($E1337-13)/30</f>
        <v>932.2</v>
      </c>
      <c r="J1337" s="17">
        <f t="shared" ref="J1337:J1343" si="1459">($E1337-17)/30</f>
        <v>932.06666666666672</v>
      </c>
      <c r="K1337" s="17">
        <f t="shared" ref="K1337:K1343" si="1460">($E1337-19)/30</f>
        <v>932</v>
      </c>
      <c r="L1337" s="17">
        <f t="shared" ref="L1337:L1343" si="1461">($E1337-23)/30</f>
        <v>931.86666666666667</v>
      </c>
      <c r="M1337" s="17">
        <f t="shared" ref="M1337:M1343" si="1462">($E1337-29)/30</f>
        <v>931.66666666666663</v>
      </c>
    </row>
    <row r="1338" spans="1:13" x14ac:dyDescent="0.35">
      <c r="B1338" s="2">
        <v>30</v>
      </c>
      <c r="C1338" s="2">
        <f t="shared" si="1452"/>
        <v>4031</v>
      </c>
      <c r="D1338" s="2">
        <f t="shared" si="1453"/>
        <v>4001</v>
      </c>
      <c r="E1338" s="3">
        <f t="shared" si="1454"/>
        <v>28007</v>
      </c>
      <c r="F1338" s="17">
        <f t="shared" si="1455"/>
        <v>933.5333333333333</v>
      </c>
      <c r="G1338" s="17">
        <f t="shared" si="1456"/>
        <v>933.33333333333337</v>
      </c>
      <c r="H1338" s="17">
        <f t="shared" si="1457"/>
        <v>933.2</v>
      </c>
      <c r="I1338" s="17">
        <f t="shared" si="1458"/>
        <v>933.13333333333333</v>
      </c>
      <c r="J1338" s="17">
        <f t="shared" si="1459"/>
        <v>933</v>
      </c>
      <c r="K1338" s="17">
        <f t="shared" si="1460"/>
        <v>932.93333333333328</v>
      </c>
      <c r="L1338" s="17">
        <f t="shared" si="1461"/>
        <v>932.8</v>
      </c>
      <c r="M1338" s="17">
        <f t="shared" si="1462"/>
        <v>932.6</v>
      </c>
    </row>
    <row r="1339" spans="1:13" x14ac:dyDescent="0.35">
      <c r="B1339" s="2">
        <v>30</v>
      </c>
      <c r="C1339" s="2">
        <f t="shared" si="1452"/>
        <v>4033</v>
      </c>
      <c r="D1339" s="2">
        <f t="shared" si="1453"/>
        <v>4003</v>
      </c>
      <c r="E1339" s="3">
        <f t="shared" si="1454"/>
        <v>28021</v>
      </c>
      <c r="F1339" s="17">
        <f t="shared" si="1455"/>
        <v>934</v>
      </c>
      <c r="G1339" s="17">
        <f t="shared" si="1456"/>
        <v>933.8</v>
      </c>
      <c r="H1339" s="17">
        <f t="shared" si="1457"/>
        <v>933.66666666666663</v>
      </c>
      <c r="I1339" s="17">
        <f t="shared" si="1458"/>
        <v>933.6</v>
      </c>
      <c r="J1339" s="17">
        <f t="shared" si="1459"/>
        <v>933.4666666666667</v>
      </c>
      <c r="K1339" s="17">
        <f t="shared" si="1460"/>
        <v>933.4</v>
      </c>
      <c r="L1339" s="17">
        <f t="shared" si="1461"/>
        <v>933.26666666666665</v>
      </c>
      <c r="M1339" s="17">
        <f t="shared" si="1462"/>
        <v>933.06666666666672</v>
      </c>
    </row>
    <row r="1340" spans="1:13" x14ac:dyDescent="0.35">
      <c r="B1340" s="2">
        <v>30</v>
      </c>
      <c r="C1340" s="2">
        <f t="shared" si="1452"/>
        <v>4037</v>
      </c>
      <c r="D1340" s="2">
        <f t="shared" si="1453"/>
        <v>4007</v>
      </c>
      <c r="E1340" s="3">
        <f t="shared" si="1454"/>
        <v>28049</v>
      </c>
      <c r="F1340" s="17">
        <f t="shared" si="1455"/>
        <v>934.93333333333328</v>
      </c>
      <c r="G1340" s="17">
        <f t="shared" si="1456"/>
        <v>934.73333333333335</v>
      </c>
      <c r="H1340" s="17">
        <f t="shared" si="1457"/>
        <v>934.6</v>
      </c>
      <c r="I1340" s="17">
        <f t="shared" si="1458"/>
        <v>934.5333333333333</v>
      </c>
      <c r="J1340" s="17">
        <f t="shared" si="1459"/>
        <v>934.4</v>
      </c>
      <c r="K1340" s="17">
        <f t="shared" si="1460"/>
        <v>934.33333333333337</v>
      </c>
      <c r="L1340" s="17">
        <f t="shared" si="1461"/>
        <v>934.2</v>
      </c>
      <c r="M1340" s="17">
        <f t="shared" si="1462"/>
        <v>934</v>
      </c>
    </row>
    <row r="1341" spans="1:13" x14ac:dyDescent="0.35">
      <c r="B1341" s="2">
        <v>30</v>
      </c>
      <c r="C1341" s="2">
        <f t="shared" si="1452"/>
        <v>4039</v>
      </c>
      <c r="D1341" s="2">
        <f t="shared" si="1453"/>
        <v>4009</v>
      </c>
      <c r="E1341" s="3">
        <f t="shared" si="1454"/>
        <v>28063</v>
      </c>
      <c r="F1341" s="17">
        <f t="shared" si="1455"/>
        <v>935.4</v>
      </c>
      <c r="G1341" s="17">
        <f t="shared" si="1456"/>
        <v>935.2</v>
      </c>
      <c r="H1341" s="17">
        <f t="shared" si="1457"/>
        <v>935.06666666666672</v>
      </c>
      <c r="I1341" s="17">
        <f t="shared" si="1458"/>
        <v>935</v>
      </c>
      <c r="J1341" s="17">
        <f t="shared" si="1459"/>
        <v>934.86666666666667</v>
      </c>
      <c r="K1341" s="17">
        <f t="shared" si="1460"/>
        <v>934.8</v>
      </c>
      <c r="L1341" s="17">
        <f t="shared" si="1461"/>
        <v>934.66666666666663</v>
      </c>
      <c r="M1341" s="17">
        <f t="shared" si="1462"/>
        <v>934.4666666666667</v>
      </c>
    </row>
    <row r="1342" spans="1:13" x14ac:dyDescent="0.35">
      <c r="B1342" s="2">
        <v>30</v>
      </c>
      <c r="C1342" s="2">
        <f t="shared" si="1452"/>
        <v>4043</v>
      </c>
      <c r="D1342" s="2">
        <f t="shared" si="1453"/>
        <v>4013</v>
      </c>
      <c r="E1342" s="3">
        <f t="shared" si="1454"/>
        <v>28091</v>
      </c>
      <c r="F1342" s="17">
        <f t="shared" si="1455"/>
        <v>936.33333333333337</v>
      </c>
      <c r="G1342" s="17">
        <f t="shared" si="1456"/>
        <v>936.13333333333333</v>
      </c>
      <c r="H1342" s="17">
        <f t="shared" si="1457"/>
        <v>936</v>
      </c>
      <c r="I1342" s="17">
        <f t="shared" si="1458"/>
        <v>935.93333333333328</v>
      </c>
      <c r="J1342" s="17">
        <f t="shared" si="1459"/>
        <v>935.8</v>
      </c>
      <c r="K1342" s="17">
        <f t="shared" si="1460"/>
        <v>935.73333333333335</v>
      </c>
      <c r="L1342" s="17">
        <f t="shared" si="1461"/>
        <v>935.6</v>
      </c>
      <c r="M1342" s="17">
        <f t="shared" si="1462"/>
        <v>935.4</v>
      </c>
    </row>
    <row r="1343" spans="1:13" x14ac:dyDescent="0.35">
      <c r="B1343" s="2">
        <v>30</v>
      </c>
      <c r="C1343" s="2">
        <f t="shared" si="1452"/>
        <v>4049</v>
      </c>
      <c r="D1343" s="2">
        <f t="shared" si="1453"/>
        <v>4019</v>
      </c>
      <c r="E1343" s="3">
        <f t="shared" si="1454"/>
        <v>28133</v>
      </c>
      <c r="F1343" s="17">
        <f t="shared" si="1455"/>
        <v>937.73333333333335</v>
      </c>
      <c r="G1343" s="17">
        <f t="shared" si="1456"/>
        <v>937.5333333333333</v>
      </c>
      <c r="H1343" s="17">
        <f t="shared" si="1457"/>
        <v>937.4</v>
      </c>
      <c r="I1343" s="17">
        <f t="shared" si="1458"/>
        <v>937.33333333333337</v>
      </c>
      <c r="J1343" s="17">
        <f t="shared" si="1459"/>
        <v>937.2</v>
      </c>
      <c r="K1343" s="17">
        <f t="shared" si="1460"/>
        <v>937.13333333333333</v>
      </c>
      <c r="L1343" s="17">
        <f t="shared" si="1461"/>
        <v>937</v>
      </c>
      <c r="M1343" s="17">
        <f t="shared" si="1462"/>
        <v>936.8</v>
      </c>
    </row>
    <row r="1344" spans="1:13" ht="16.8" thickBot="1" x14ac:dyDescent="0.4">
      <c r="F1344" s="17"/>
      <c r="G1344" s="17"/>
      <c r="H1344" s="17"/>
      <c r="I1344" s="17"/>
      <c r="J1344" s="17"/>
      <c r="K1344" s="17"/>
      <c r="L1344" s="17"/>
      <c r="M1344" s="17"/>
    </row>
    <row r="1345" spans="1:13" ht="16.8" thickBot="1" x14ac:dyDescent="0.4">
      <c r="A1345" s="1">
        <f>A1335+1</f>
        <v>135</v>
      </c>
      <c r="C1345" s="18" t="s">
        <v>2</v>
      </c>
      <c r="E1345" s="13">
        <f>E1326</f>
        <v>27727</v>
      </c>
      <c r="F1345" s="19">
        <v>1</v>
      </c>
      <c r="G1345" s="20">
        <v>7</v>
      </c>
      <c r="H1345" s="20">
        <v>11</v>
      </c>
      <c r="I1345" s="20">
        <v>13</v>
      </c>
      <c r="J1345" s="20">
        <v>17</v>
      </c>
      <c r="K1345" s="20">
        <v>19</v>
      </c>
      <c r="L1345" s="20">
        <v>23</v>
      </c>
      <c r="M1345" s="21">
        <v>29</v>
      </c>
    </row>
    <row r="1346" spans="1:13" x14ac:dyDescent="0.35">
      <c r="B1346" s="2">
        <v>30</v>
      </c>
      <c r="C1346" s="2">
        <f>D1346+B1346</f>
        <v>4051</v>
      </c>
      <c r="D1346" s="2">
        <f>C1336</f>
        <v>4021</v>
      </c>
      <c r="E1346" s="3">
        <f>D1346*$E$5</f>
        <v>28147</v>
      </c>
      <c r="F1346" s="17">
        <f>(E1346-1)/30</f>
        <v>938.2</v>
      </c>
      <c r="G1346" s="17">
        <f>($E1346-7)/30</f>
        <v>938</v>
      </c>
      <c r="H1346" s="17">
        <f>($E1346-11)/30</f>
        <v>937.86666666666667</v>
      </c>
      <c r="I1346" s="17">
        <f>($E1346-13)/30</f>
        <v>937.8</v>
      </c>
      <c r="J1346" s="17">
        <f>($E1346-17)/30</f>
        <v>937.66666666666663</v>
      </c>
      <c r="K1346" s="17">
        <f>($E1346-19)/30</f>
        <v>937.6</v>
      </c>
      <c r="L1346" s="17">
        <f>($E1346-23)/30</f>
        <v>937.4666666666667</v>
      </c>
      <c r="M1346" s="17">
        <f>($E1346-29)/30</f>
        <v>937.26666666666665</v>
      </c>
    </row>
    <row r="1347" spans="1:13" x14ac:dyDescent="0.35">
      <c r="B1347" s="2">
        <v>30</v>
      </c>
      <c r="C1347" s="2">
        <f t="shared" ref="C1347:C1353" si="1463">D1347+B1347</f>
        <v>4057</v>
      </c>
      <c r="D1347" s="2">
        <f t="shared" ref="D1347:D1353" si="1464">C1337</f>
        <v>4027</v>
      </c>
      <c r="E1347" s="3">
        <f t="shared" ref="E1347:E1353" si="1465">D1347*$E$5</f>
        <v>28189</v>
      </c>
      <c r="F1347" s="17">
        <f t="shared" ref="F1347:F1353" si="1466">(E1347-1)/30</f>
        <v>939.6</v>
      </c>
      <c r="G1347" s="17">
        <f t="shared" ref="G1347:G1353" si="1467">($E1347-7)/30</f>
        <v>939.4</v>
      </c>
      <c r="H1347" s="17">
        <f t="shared" ref="H1347:H1353" si="1468">($E1347-11)/30</f>
        <v>939.26666666666665</v>
      </c>
      <c r="I1347" s="17">
        <f t="shared" ref="I1347:I1353" si="1469">($E1347-13)/30</f>
        <v>939.2</v>
      </c>
      <c r="J1347" s="17">
        <f t="shared" ref="J1347:J1353" si="1470">($E1347-17)/30</f>
        <v>939.06666666666672</v>
      </c>
      <c r="K1347" s="17">
        <f t="shared" ref="K1347:K1353" si="1471">($E1347-19)/30</f>
        <v>939</v>
      </c>
      <c r="L1347" s="17">
        <f t="shared" ref="L1347:L1353" si="1472">($E1347-23)/30</f>
        <v>938.86666666666667</v>
      </c>
      <c r="M1347" s="17">
        <f t="shared" ref="M1347:M1353" si="1473">($E1347-29)/30</f>
        <v>938.66666666666663</v>
      </c>
    </row>
    <row r="1348" spans="1:13" x14ac:dyDescent="0.35">
      <c r="B1348" s="2">
        <v>30</v>
      </c>
      <c r="C1348" s="2">
        <f t="shared" si="1463"/>
        <v>4061</v>
      </c>
      <c r="D1348" s="2">
        <f t="shared" si="1464"/>
        <v>4031</v>
      </c>
      <c r="E1348" s="3">
        <f t="shared" si="1465"/>
        <v>28217</v>
      </c>
      <c r="F1348" s="17">
        <f t="shared" si="1466"/>
        <v>940.5333333333333</v>
      </c>
      <c r="G1348" s="17">
        <f t="shared" si="1467"/>
        <v>940.33333333333337</v>
      </c>
      <c r="H1348" s="17">
        <f t="shared" si="1468"/>
        <v>940.2</v>
      </c>
      <c r="I1348" s="17">
        <f t="shared" si="1469"/>
        <v>940.13333333333333</v>
      </c>
      <c r="J1348" s="17">
        <f t="shared" si="1470"/>
        <v>940</v>
      </c>
      <c r="K1348" s="17">
        <f t="shared" si="1471"/>
        <v>939.93333333333328</v>
      </c>
      <c r="L1348" s="17">
        <f t="shared" si="1472"/>
        <v>939.8</v>
      </c>
      <c r="M1348" s="17">
        <f t="shared" si="1473"/>
        <v>939.6</v>
      </c>
    </row>
    <row r="1349" spans="1:13" x14ac:dyDescent="0.35">
      <c r="B1349" s="2">
        <v>30</v>
      </c>
      <c r="C1349" s="2">
        <f t="shared" si="1463"/>
        <v>4063</v>
      </c>
      <c r="D1349" s="2">
        <f t="shared" si="1464"/>
        <v>4033</v>
      </c>
      <c r="E1349" s="3">
        <f t="shared" si="1465"/>
        <v>28231</v>
      </c>
      <c r="F1349" s="17">
        <f t="shared" si="1466"/>
        <v>941</v>
      </c>
      <c r="G1349" s="17">
        <f t="shared" si="1467"/>
        <v>940.8</v>
      </c>
      <c r="H1349" s="17">
        <f t="shared" si="1468"/>
        <v>940.66666666666663</v>
      </c>
      <c r="I1349" s="17">
        <f t="shared" si="1469"/>
        <v>940.6</v>
      </c>
      <c r="J1349" s="17">
        <f t="shared" si="1470"/>
        <v>940.4666666666667</v>
      </c>
      <c r="K1349" s="17">
        <f t="shared" si="1471"/>
        <v>940.4</v>
      </c>
      <c r="L1349" s="17">
        <f t="shared" si="1472"/>
        <v>940.26666666666665</v>
      </c>
      <c r="M1349" s="17">
        <f t="shared" si="1473"/>
        <v>940.06666666666672</v>
      </c>
    </row>
    <row r="1350" spans="1:13" x14ac:dyDescent="0.35">
      <c r="B1350" s="2">
        <v>30</v>
      </c>
      <c r="C1350" s="2">
        <f t="shared" si="1463"/>
        <v>4067</v>
      </c>
      <c r="D1350" s="2">
        <f t="shared" si="1464"/>
        <v>4037</v>
      </c>
      <c r="E1350" s="3">
        <f t="shared" si="1465"/>
        <v>28259</v>
      </c>
      <c r="F1350" s="17">
        <f t="shared" si="1466"/>
        <v>941.93333333333328</v>
      </c>
      <c r="G1350" s="17">
        <f t="shared" si="1467"/>
        <v>941.73333333333335</v>
      </c>
      <c r="H1350" s="17">
        <f t="shared" si="1468"/>
        <v>941.6</v>
      </c>
      <c r="I1350" s="17">
        <f t="shared" si="1469"/>
        <v>941.5333333333333</v>
      </c>
      <c r="J1350" s="17">
        <f t="shared" si="1470"/>
        <v>941.4</v>
      </c>
      <c r="K1350" s="17">
        <f t="shared" si="1471"/>
        <v>941.33333333333337</v>
      </c>
      <c r="L1350" s="17">
        <f t="shared" si="1472"/>
        <v>941.2</v>
      </c>
      <c r="M1350" s="17">
        <f t="shared" si="1473"/>
        <v>941</v>
      </c>
    </row>
    <row r="1351" spans="1:13" x14ac:dyDescent="0.35">
      <c r="B1351" s="2">
        <v>30</v>
      </c>
      <c r="C1351" s="2">
        <f t="shared" si="1463"/>
        <v>4069</v>
      </c>
      <c r="D1351" s="2">
        <f t="shared" si="1464"/>
        <v>4039</v>
      </c>
      <c r="E1351" s="3">
        <f t="shared" si="1465"/>
        <v>28273</v>
      </c>
      <c r="F1351" s="17">
        <f t="shared" si="1466"/>
        <v>942.4</v>
      </c>
      <c r="G1351" s="17">
        <f t="shared" si="1467"/>
        <v>942.2</v>
      </c>
      <c r="H1351" s="17">
        <f t="shared" si="1468"/>
        <v>942.06666666666672</v>
      </c>
      <c r="I1351" s="17">
        <f t="shared" si="1469"/>
        <v>942</v>
      </c>
      <c r="J1351" s="17">
        <f t="shared" si="1470"/>
        <v>941.86666666666667</v>
      </c>
      <c r="K1351" s="17">
        <f t="shared" si="1471"/>
        <v>941.8</v>
      </c>
      <c r="L1351" s="17">
        <f t="shared" si="1472"/>
        <v>941.66666666666663</v>
      </c>
      <c r="M1351" s="17">
        <f t="shared" si="1473"/>
        <v>941.4666666666667</v>
      </c>
    </row>
    <row r="1352" spans="1:13" x14ac:dyDescent="0.35">
      <c r="B1352" s="2">
        <v>30</v>
      </c>
      <c r="C1352" s="2">
        <f t="shared" si="1463"/>
        <v>4073</v>
      </c>
      <c r="D1352" s="2">
        <f t="shared" si="1464"/>
        <v>4043</v>
      </c>
      <c r="E1352" s="3">
        <f t="shared" si="1465"/>
        <v>28301</v>
      </c>
      <c r="F1352" s="17">
        <f t="shared" si="1466"/>
        <v>943.33333333333337</v>
      </c>
      <c r="G1352" s="17">
        <f t="shared" si="1467"/>
        <v>943.13333333333333</v>
      </c>
      <c r="H1352" s="17">
        <f t="shared" si="1468"/>
        <v>943</v>
      </c>
      <c r="I1352" s="17">
        <f t="shared" si="1469"/>
        <v>942.93333333333328</v>
      </c>
      <c r="J1352" s="17">
        <f t="shared" si="1470"/>
        <v>942.8</v>
      </c>
      <c r="K1352" s="17">
        <f t="shared" si="1471"/>
        <v>942.73333333333335</v>
      </c>
      <c r="L1352" s="17">
        <f t="shared" si="1472"/>
        <v>942.6</v>
      </c>
      <c r="M1352" s="17">
        <f t="shared" si="1473"/>
        <v>942.4</v>
      </c>
    </row>
    <row r="1353" spans="1:13" x14ac:dyDescent="0.35">
      <c r="B1353" s="2">
        <v>30</v>
      </c>
      <c r="C1353" s="2">
        <f t="shared" si="1463"/>
        <v>4079</v>
      </c>
      <c r="D1353" s="2">
        <f t="shared" si="1464"/>
        <v>4049</v>
      </c>
      <c r="E1353" s="3">
        <f t="shared" si="1465"/>
        <v>28343</v>
      </c>
      <c r="F1353" s="17">
        <f t="shared" si="1466"/>
        <v>944.73333333333335</v>
      </c>
      <c r="G1353" s="17">
        <f t="shared" si="1467"/>
        <v>944.5333333333333</v>
      </c>
      <c r="H1353" s="17">
        <f t="shared" si="1468"/>
        <v>944.4</v>
      </c>
      <c r="I1353" s="17">
        <f t="shared" si="1469"/>
        <v>944.33333333333337</v>
      </c>
      <c r="J1353" s="17">
        <f t="shared" si="1470"/>
        <v>944.2</v>
      </c>
      <c r="K1353" s="17">
        <f t="shared" si="1471"/>
        <v>944.13333333333333</v>
      </c>
      <c r="L1353" s="17">
        <f t="shared" si="1472"/>
        <v>944</v>
      </c>
      <c r="M1353" s="17">
        <f t="shared" si="1473"/>
        <v>943.8</v>
      </c>
    </row>
    <row r="1354" spans="1:13" ht="16.8" thickBot="1" x14ac:dyDescent="0.4">
      <c r="F1354" s="17"/>
      <c r="G1354" s="17"/>
      <c r="H1354" s="17"/>
      <c r="I1354" s="17"/>
      <c r="J1354" s="17"/>
      <c r="K1354" s="17"/>
      <c r="L1354" s="17"/>
      <c r="M1354" s="17"/>
    </row>
    <row r="1355" spans="1:13" ht="16.8" thickBot="1" x14ac:dyDescent="0.4">
      <c r="A1355" s="1">
        <f>A1345+1</f>
        <v>136</v>
      </c>
      <c r="C1355" s="18" t="s">
        <v>2</v>
      </c>
      <c r="E1355" s="13">
        <f>E1336</f>
        <v>27937</v>
      </c>
      <c r="F1355" s="19">
        <v>1</v>
      </c>
      <c r="G1355" s="20">
        <v>7</v>
      </c>
      <c r="H1355" s="20">
        <v>11</v>
      </c>
      <c r="I1355" s="20">
        <v>13</v>
      </c>
      <c r="J1355" s="20">
        <v>17</v>
      </c>
      <c r="K1355" s="20">
        <v>19</v>
      </c>
      <c r="L1355" s="20">
        <v>23</v>
      </c>
      <c r="M1355" s="21">
        <v>29</v>
      </c>
    </row>
    <row r="1356" spans="1:13" x14ac:dyDescent="0.35">
      <c r="B1356" s="2">
        <v>30</v>
      </c>
      <c r="C1356" s="2">
        <f>D1356+B1356</f>
        <v>4081</v>
      </c>
      <c r="D1356" s="2">
        <f>C1346</f>
        <v>4051</v>
      </c>
      <c r="E1356" s="3">
        <f>D1356*$E$5</f>
        <v>28357</v>
      </c>
      <c r="F1356" s="17">
        <f>(E1356-1)/30</f>
        <v>945.2</v>
      </c>
      <c r="G1356" s="17">
        <f>($E1356-7)/30</f>
        <v>945</v>
      </c>
      <c r="H1356" s="17">
        <f>($E1356-11)/30</f>
        <v>944.86666666666667</v>
      </c>
      <c r="I1356" s="17">
        <f>($E1356-13)/30</f>
        <v>944.8</v>
      </c>
      <c r="J1356" s="17">
        <f>($E1356-17)/30</f>
        <v>944.66666666666663</v>
      </c>
      <c r="K1356" s="17">
        <f>($E1356-19)/30</f>
        <v>944.6</v>
      </c>
      <c r="L1356" s="17">
        <f>($E1356-23)/30</f>
        <v>944.4666666666667</v>
      </c>
      <c r="M1356" s="17">
        <f>($E1356-29)/30</f>
        <v>944.26666666666665</v>
      </c>
    </row>
    <row r="1357" spans="1:13" x14ac:dyDescent="0.35">
      <c r="B1357" s="2">
        <v>30</v>
      </c>
      <c r="C1357" s="2">
        <f t="shared" ref="C1357:C1363" si="1474">D1357+B1357</f>
        <v>4087</v>
      </c>
      <c r="D1357" s="2">
        <f t="shared" ref="D1357:D1363" si="1475">C1347</f>
        <v>4057</v>
      </c>
      <c r="E1357" s="3">
        <f t="shared" ref="E1357:E1363" si="1476">D1357*$E$5</f>
        <v>28399</v>
      </c>
      <c r="F1357" s="17">
        <f t="shared" ref="F1357:F1363" si="1477">(E1357-1)/30</f>
        <v>946.6</v>
      </c>
      <c r="G1357" s="17">
        <f t="shared" ref="G1357:G1363" si="1478">($E1357-7)/30</f>
        <v>946.4</v>
      </c>
      <c r="H1357" s="17">
        <f t="shared" ref="H1357:H1363" si="1479">($E1357-11)/30</f>
        <v>946.26666666666665</v>
      </c>
      <c r="I1357" s="17">
        <f t="shared" ref="I1357:I1363" si="1480">($E1357-13)/30</f>
        <v>946.2</v>
      </c>
      <c r="J1357" s="17">
        <f t="shared" ref="J1357:J1363" si="1481">($E1357-17)/30</f>
        <v>946.06666666666672</v>
      </c>
      <c r="K1357" s="17">
        <f t="shared" ref="K1357:K1363" si="1482">($E1357-19)/30</f>
        <v>946</v>
      </c>
      <c r="L1357" s="17">
        <f t="shared" ref="L1357:L1363" si="1483">($E1357-23)/30</f>
        <v>945.86666666666667</v>
      </c>
      <c r="M1357" s="17">
        <f t="shared" ref="M1357:M1363" si="1484">($E1357-29)/30</f>
        <v>945.66666666666663</v>
      </c>
    </row>
    <row r="1358" spans="1:13" x14ac:dyDescent="0.35">
      <c r="B1358" s="2">
        <v>30</v>
      </c>
      <c r="C1358" s="2">
        <f t="shared" si="1474"/>
        <v>4091</v>
      </c>
      <c r="D1358" s="2">
        <f t="shared" si="1475"/>
        <v>4061</v>
      </c>
      <c r="E1358" s="3">
        <f t="shared" si="1476"/>
        <v>28427</v>
      </c>
      <c r="F1358" s="17">
        <f t="shared" si="1477"/>
        <v>947.5333333333333</v>
      </c>
      <c r="G1358" s="17">
        <f t="shared" si="1478"/>
        <v>947.33333333333337</v>
      </c>
      <c r="H1358" s="17">
        <f t="shared" si="1479"/>
        <v>947.2</v>
      </c>
      <c r="I1358" s="17">
        <f t="shared" si="1480"/>
        <v>947.13333333333333</v>
      </c>
      <c r="J1358" s="17">
        <f t="shared" si="1481"/>
        <v>947</v>
      </c>
      <c r="K1358" s="17">
        <f t="shared" si="1482"/>
        <v>946.93333333333328</v>
      </c>
      <c r="L1358" s="17">
        <f t="shared" si="1483"/>
        <v>946.8</v>
      </c>
      <c r="M1358" s="17">
        <f t="shared" si="1484"/>
        <v>946.6</v>
      </c>
    </row>
    <row r="1359" spans="1:13" x14ac:dyDescent="0.35">
      <c r="B1359" s="2">
        <v>30</v>
      </c>
      <c r="C1359" s="2">
        <f t="shared" si="1474"/>
        <v>4093</v>
      </c>
      <c r="D1359" s="2">
        <f t="shared" si="1475"/>
        <v>4063</v>
      </c>
      <c r="E1359" s="3">
        <f t="shared" si="1476"/>
        <v>28441</v>
      </c>
      <c r="F1359" s="17">
        <f t="shared" si="1477"/>
        <v>948</v>
      </c>
      <c r="G1359" s="17">
        <f t="shared" si="1478"/>
        <v>947.8</v>
      </c>
      <c r="H1359" s="17">
        <f t="shared" si="1479"/>
        <v>947.66666666666663</v>
      </c>
      <c r="I1359" s="17">
        <f t="shared" si="1480"/>
        <v>947.6</v>
      </c>
      <c r="J1359" s="17">
        <f t="shared" si="1481"/>
        <v>947.4666666666667</v>
      </c>
      <c r="K1359" s="17">
        <f t="shared" si="1482"/>
        <v>947.4</v>
      </c>
      <c r="L1359" s="17">
        <f t="shared" si="1483"/>
        <v>947.26666666666665</v>
      </c>
      <c r="M1359" s="17">
        <f t="shared" si="1484"/>
        <v>947.06666666666672</v>
      </c>
    </row>
    <row r="1360" spans="1:13" x14ac:dyDescent="0.35">
      <c r="B1360" s="2">
        <v>30</v>
      </c>
      <c r="C1360" s="2">
        <f t="shared" si="1474"/>
        <v>4097</v>
      </c>
      <c r="D1360" s="2">
        <f t="shared" si="1475"/>
        <v>4067</v>
      </c>
      <c r="E1360" s="3">
        <f t="shared" si="1476"/>
        <v>28469</v>
      </c>
      <c r="F1360" s="17">
        <f t="shared" si="1477"/>
        <v>948.93333333333328</v>
      </c>
      <c r="G1360" s="17">
        <f t="shared" si="1478"/>
        <v>948.73333333333335</v>
      </c>
      <c r="H1360" s="17">
        <f t="shared" si="1479"/>
        <v>948.6</v>
      </c>
      <c r="I1360" s="17">
        <f t="shared" si="1480"/>
        <v>948.5333333333333</v>
      </c>
      <c r="J1360" s="17">
        <f t="shared" si="1481"/>
        <v>948.4</v>
      </c>
      <c r="K1360" s="17">
        <f t="shared" si="1482"/>
        <v>948.33333333333337</v>
      </c>
      <c r="L1360" s="17">
        <f t="shared" si="1483"/>
        <v>948.2</v>
      </c>
      <c r="M1360" s="17">
        <f t="shared" si="1484"/>
        <v>948</v>
      </c>
    </row>
    <row r="1361" spans="2:13" x14ac:dyDescent="0.35">
      <c r="B1361" s="2">
        <v>30</v>
      </c>
      <c r="C1361" s="2">
        <f t="shared" si="1474"/>
        <v>4099</v>
      </c>
      <c r="D1361" s="2">
        <f t="shared" si="1475"/>
        <v>4069</v>
      </c>
      <c r="E1361" s="3">
        <f t="shared" si="1476"/>
        <v>28483</v>
      </c>
      <c r="F1361" s="17">
        <f t="shared" si="1477"/>
        <v>949.4</v>
      </c>
      <c r="G1361" s="17">
        <f t="shared" si="1478"/>
        <v>949.2</v>
      </c>
      <c r="H1361" s="17">
        <f t="shared" si="1479"/>
        <v>949.06666666666672</v>
      </c>
      <c r="I1361" s="17">
        <f t="shared" si="1480"/>
        <v>949</v>
      </c>
      <c r="J1361" s="17">
        <f t="shared" si="1481"/>
        <v>948.86666666666667</v>
      </c>
      <c r="K1361" s="17">
        <f t="shared" si="1482"/>
        <v>948.8</v>
      </c>
      <c r="L1361" s="17">
        <f t="shared" si="1483"/>
        <v>948.66666666666663</v>
      </c>
      <c r="M1361" s="17">
        <f t="shared" si="1484"/>
        <v>948.4666666666667</v>
      </c>
    </row>
    <row r="1362" spans="2:13" x14ac:dyDescent="0.35">
      <c r="B1362" s="2">
        <v>30</v>
      </c>
      <c r="C1362" s="2">
        <f t="shared" si="1474"/>
        <v>4103</v>
      </c>
      <c r="D1362" s="2">
        <f t="shared" si="1475"/>
        <v>4073</v>
      </c>
      <c r="E1362" s="3">
        <f t="shared" si="1476"/>
        <v>28511</v>
      </c>
      <c r="F1362" s="17">
        <f t="shared" si="1477"/>
        <v>950.33333333333337</v>
      </c>
      <c r="G1362" s="17">
        <f t="shared" si="1478"/>
        <v>950.13333333333333</v>
      </c>
      <c r="H1362" s="17">
        <f t="shared" si="1479"/>
        <v>950</v>
      </c>
      <c r="I1362" s="17">
        <f t="shared" si="1480"/>
        <v>949.93333333333328</v>
      </c>
      <c r="J1362" s="17">
        <f t="shared" si="1481"/>
        <v>949.8</v>
      </c>
      <c r="K1362" s="17">
        <f t="shared" si="1482"/>
        <v>949.73333333333335</v>
      </c>
      <c r="L1362" s="17">
        <f t="shared" si="1483"/>
        <v>949.6</v>
      </c>
      <c r="M1362" s="17">
        <f t="shared" si="1484"/>
        <v>949.4</v>
      </c>
    </row>
    <row r="1363" spans="2:13" x14ac:dyDescent="0.35">
      <c r="B1363" s="2">
        <v>30</v>
      </c>
      <c r="C1363" s="2">
        <f t="shared" si="1474"/>
        <v>4109</v>
      </c>
      <c r="D1363" s="2">
        <f t="shared" si="1475"/>
        <v>4079</v>
      </c>
      <c r="E1363" s="3">
        <f t="shared" si="1476"/>
        <v>28553</v>
      </c>
      <c r="F1363" s="17">
        <f t="shared" si="1477"/>
        <v>951.73333333333335</v>
      </c>
      <c r="G1363" s="17">
        <f t="shared" si="1478"/>
        <v>951.5333333333333</v>
      </c>
      <c r="H1363" s="17">
        <f t="shared" si="1479"/>
        <v>951.4</v>
      </c>
      <c r="I1363" s="17">
        <f t="shared" si="1480"/>
        <v>951.33333333333337</v>
      </c>
      <c r="J1363" s="17">
        <f t="shared" si="1481"/>
        <v>951.2</v>
      </c>
      <c r="K1363" s="17">
        <f t="shared" si="1482"/>
        <v>951.13333333333333</v>
      </c>
      <c r="L1363" s="17">
        <f t="shared" si="1483"/>
        <v>951</v>
      </c>
      <c r="M1363" s="17">
        <f t="shared" si="1484"/>
        <v>950.8</v>
      </c>
    </row>
  </sheetData>
  <conditionalFormatting sqref="F7:M13 G16:M23 G26:M33">
    <cfRule type="expression" dxfId="432" priority="275">
      <formula>MOD(F7,1)=0</formula>
    </cfRule>
  </conditionalFormatting>
  <conditionalFormatting sqref="F16:F23">
    <cfRule type="expression" dxfId="431" priority="274">
      <formula>MOD(F16,1)=0</formula>
    </cfRule>
  </conditionalFormatting>
  <conditionalFormatting sqref="F26:F33">
    <cfRule type="expression" dxfId="430" priority="273">
      <formula>MOD(F26,1)=0</formula>
    </cfRule>
  </conditionalFormatting>
  <conditionalFormatting sqref="E4">
    <cfRule type="expression" dxfId="429" priority="271">
      <formula>$E$4="NOT PRIME"</formula>
    </cfRule>
    <cfRule type="expression" dxfId="428" priority="272">
      <formula>$E$4="PRIME"</formula>
    </cfRule>
  </conditionalFormatting>
  <conditionalFormatting sqref="G6:M6">
    <cfRule type="expression" dxfId="427" priority="267">
      <formula>MOD(G6,1)=0</formula>
    </cfRule>
  </conditionalFormatting>
  <conditionalFormatting sqref="F6">
    <cfRule type="expression" dxfId="426" priority="270">
      <formula>MOD(F6,1)=0</formula>
    </cfRule>
  </conditionalFormatting>
  <conditionalFormatting sqref="F6">
    <cfRule type="expression" dxfId="425" priority="269">
      <formula>MOD(F6,1)=0</formula>
    </cfRule>
  </conditionalFormatting>
  <conditionalFormatting sqref="G6:M6">
    <cfRule type="expression" dxfId="424" priority="268">
      <formula>MOD(G6,1)=0</formula>
    </cfRule>
  </conditionalFormatting>
  <conditionalFormatting sqref="G36:M43">
    <cfRule type="expression" dxfId="423" priority="266">
      <formula>MOD(G36,1)=0</formula>
    </cfRule>
  </conditionalFormatting>
  <conditionalFormatting sqref="F36:F43">
    <cfRule type="expression" dxfId="422" priority="265">
      <formula>MOD(F36,1)=0</formula>
    </cfRule>
  </conditionalFormatting>
  <conditionalFormatting sqref="G46:M53">
    <cfRule type="expression" dxfId="421" priority="264">
      <formula>MOD(G46,1)=0</formula>
    </cfRule>
  </conditionalFormatting>
  <conditionalFormatting sqref="F46:F53">
    <cfRule type="expression" dxfId="420" priority="263">
      <formula>MOD(F46,1)=0</formula>
    </cfRule>
  </conditionalFormatting>
  <conditionalFormatting sqref="G56:M63">
    <cfRule type="expression" dxfId="419" priority="262">
      <formula>MOD(G56,1)=0</formula>
    </cfRule>
  </conditionalFormatting>
  <conditionalFormatting sqref="F56:F63">
    <cfRule type="expression" dxfId="418" priority="261">
      <formula>MOD(F56,1)=0</formula>
    </cfRule>
  </conditionalFormatting>
  <conditionalFormatting sqref="G66:M73">
    <cfRule type="expression" dxfId="417" priority="260">
      <formula>MOD(G66,1)=0</formula>
    </cfRule>
  </conditionalFormatting>
  <conditionalFormatting sqref="F66:F73">
    <cfRule type="expression" dxfId="416" priority="259">
      <formula>MOD(F66,1)=0</formula>
    </cfRule>
  </conditionalFormatting>
  <conditionalFormatting sqref="G76:M83">
    <cfRule type="expression" dxfId="415" priority="258">
      <formula>MOD(G76,1)=0</formula>
    </cfRule>
  </conditionalFormatting>
  <conditionalFormatting sqref="F76:F83">
    <cfRule type="expression" dxfId="414" priority="257">
      <formula>MOD(F76,1)=0</formula>
    </cfRule>
  </conditionalFormatting>
  <conditionalFormatting sqref="G86:M93">
    <cfRule type="expression" dxfId="413" priority="256">
      <formula>MOD(G86,1)=0</formula>
    </cfRule>
  </conditionalFormatting>
  <conditionalFormatting sqref="F86:F93">
    <cfRule type="expression" dxfId="412" priority="255">
      <formula>MOD(F86,1)=0</formula>
    </cfRule>
  </conditionalFormatting>
  <conditionalFormatting sqref="G96:M103">
    <cfRule type="expression" dxfId="411" priority="254">
      <formula>MOD(G96,1)=0</formula>
    </cfRule>
  </conditionalFormatting>
  <conditionalFormatting sqref="F96:F103">
    <cfRule type="expression" dxfId="410" priority="253">
      <formula>MOD(F96,1)=0</formula>
    </cfRule>
  </conditionalFormatting>
  <conditionalFormatting sqref="G106:M113">
    <cfRule type="expression" dxfId="409" priority="252">
      <formula>MOD(G106,1)=0</formula>
    </cfRule>
  </conditionalFormatting>
  <conditionalFormatting sqref="F106:F113">
    <cfRule type="expression" dxfId="408" priority="251">
      <formula>MOD(F106,1)=0</formula>
    </cfRule>
  </conditionalFormatting>
  <conditionalFormatting sqref="G116:M123">
    <cfRule type="expression" dxfId="407" priority="250">
      <formula>MOD(G116,1)=0</formula>
    </cfRule>
  </conditionalFormatting>
  <conditionalFormatting sqref="F116:F123">
    <cfRule type="expression" dxfId="406" priority="249">
      <formula>MOD(F116,1)=0</formula>
    </cfRule>
  </conditionalFormatting>
  <conditionalFormatting sqref="G126:M133">
    <cfRule type="expression" dxfId="405" priority="248">
      <formula>MOD(G126,1)=0</formula>
    </cfRule>
  </conditionalFormatting>
  <conditionalFormatting sqref="F126:F133">
    <cfRule type="expression" dxfId="404" priority="247">
      <formula>MOD(F126,1)=0</formula>
    </cfRule>
  </conditionalFormatting>
  <conditionalFormatting sqref="G136:M143">
    <cfRule type="expression" dxfId="403" priority="246">
      <formula>MOD(G136,1)=0</formula>
    </cfRule>
  </conditionalFormatting>
  <conditionalFormatting sqref="F136:F143">
    <cfRule type="expression" dxfId="402" priority="245">
      <formula>MOD(F136,1)=0</formula>
    </cfRule>
  </conditionalFormatting>
  <conditionalFormatting sqref="G146:M153">
    <cfRule type="expression" dxfId="401" priority="244">
      <formula>MOD(G146,1)=0</formula>
    </cfRule>
  </conditionalFormatting>
  <conditionalFormatting sqref="F146:F153">
    <cfRule type="expression" dxfId="400" priority="243">
      <formula>MOD(F146,1)=0</formula>
    </cfRule>
  </conditionalFormatting>
  <conditionalFormatting sqref="G156:M163">
    <cfRule type="expression" dxfId="399" priority="242">
      <formula>MOD(G156,1)=0</formula>
    </cfRule>
  </conditionalFormatting>
  <conditionalFormatting sqref="F156:F163">
    <cfRule type="expression" dxfId="398" priority="241">
      <formula>MOD(F156,1)=0</formula>
    </cfRule>
  </conditionalFormatting>
  <conditionalFormatting sqref="G166:M173">
    <cfRule type="expression" dxfId="397" priority="240">
      <formula>MOD(G166,1)=0</formula>
    </cfRule>
  </conditionalFormatting>
  <conditionalFormatting sqref="F166:F173">
    <cfRule type="expression" dxfId="396" priority="239">
      <formula>MOD(F166,1)=0</formula>
    </cfRule>
  </conditionalFormatting>
  <conditionalFormatting sqref="G176:M183">
    <cfRule type="expression" dxfId="395" priority="238">
      <formula>MOD(G176,1)=0</formula>
    </cfRule>
  </conditionalFormatting>
  <conditionalFormatting sqref="F176:F183">
    <cfRule type="expression" dxfId="394" priority="237">
      <formula>MOD(F176,1)=0</formula>
    </cfRule>
  </conditionalFormatting>
  <conditionalFormatting sqref="G186:M193">
    <cfRule type="expression" dxfId="393" priority="236">
      <formula>MOD(G186,1)=0</formula>
    </cfRule>
  </conditionalFormatting>
  <conditionalFormatting sqref="F186:F193">
    <cfRule type="expression" dxfId="392" priority="235">
      <formula>MOD(F186,1)=0</formula>
    </cfRule>
  </conditionalFormatting>
  <conditionalFormatting sqref="G196:M203">
    <cfRule type="expression" dxfId="391" priority="234">
      <formula>MOD(G196,1)=0</formula>
    </cfRule>
  </conditionalFormatting>
  <conditionalFormatting sqref="F196:F203">
    <cfRule type="expression" dxfId="390" priority="233">
      <formula>MOD(F196,1)=0</formula>
    </cfRule>
  </conditionalFormatting>
  <conditionalFormatting sqref="G206:M213">
    <cfRule type="expression" dxfId="389" priority="232">
      <formula>MOD(G206,1)=0</formula>
    </cfRule>
  </conditionalFormatting>
  <conditionalFormatting sqref="F206:F213">
    <cfRule type="expression" dxfId="388" priority="231">
      <formula>MOD(F206,1)=0</formula>
    </cfRule>
  </conditionalFormatting>
  <conditionalFormatting sqref="G216:M223">
    <cfRule type="expression" dxfId="387" priority="230">
      <formula>MOD(G216,1)=0</formula>
    </cfRule>
  </conditionalFormatting>
  <conditionalFormatting sqref="F216:F223">
    <cfRule type="expression" dxfId="386" priority="229">
      <formula>MOD(F216,1)=0</formula>
    </cfRule>
  </conditionalFormatting>
  <conditionalFormatting sqref="G226:M233">
    <cfRule type="expression" dxfId="385" priority="228">
      <formula>MOD(G226,1)=0</formula>
    </cfRule>
  </conditionalFormatting>
  <conditionalFormatting sqref="F226:F233">
    <cfRule type="expression" dxfId="384" priority="227">
      <formula>MOD(F226,1)=0</formula>
    </cfRule>
  </conditionalFormatting>
  <conditionalFormatting sqref="G236:M243">
    <cfRule type="expression" dxfId="383" priority="226">
      <formula>MOD(G236,1)=0</formula>
    </cfRule>
  </conditionalFormatting>
  <conditionalFormatting sqref="F236:F243">
    <cfRule type="expression" dxfId="382" priority="225">
      <formula>MOD(F236,1)=0</formula>
    </cfRule>
  </conditionalFormatting>
  <conditionalFormatting sqref="G246:M253">
    <cfRule type="expression" dxfId="381" priority="224">
      <formula>MOD(G246,1)=0</formula>
    </cfRule>
  </conditionalFormatting>
  <conditionalFormatting sqref="F246:F253">
    <cfRule type="expression" dxfId="380" priority="223">
      <formula>MOD(F246,1)=0</formula>
    </cfRule>
  </conditionalFormatting>
  <conditionalFormatting sqref="G256:M263">
    <cfRule type="expression" dxfId="379" priority="222">
      <formula>MOD(G256,1)=0</formula>
    </cfRule>
  </conditionalFormatting>
  <conditionalFormatting sqref="F256:F263">
    <cfRule type="expression" dxfId="378" priority="221">
      <formula>MOD(F256,1)=0</formula>
    </cfRule>
  </conditionalFormatting>
  <conditionalFormatting sqref="G266:M273">
    <cfRule type="expression" dxfId="377" priority="220">
      <formula>MOD(G266,1)=0</formula>
    </cfRule>
  </conditionalFormatting>
  <conditionalFormatting sqref="F266:F273">
    <cfRule type="expression" dxfId="376" priority="219">
      <formula>MOD(F266,1)=0</formula>
    </cfRule>
  </conditionalFormatting>
  <conditionalFormatting sqref="G276:M283">
    <cfRule type="expression" dxfId="375" priority="218">
      <formula>MOD(G276,1)=0</formula>
    </cfRule>
  </conditionalFormatting>
  <conditionalFormatting sqref="F276:F283">
    <cfRule type="expression" dxfId="374" priority="217">
      <formula>MOD(F276,1)=0</formula>
    </cfRule>
  </conditionalFormatting>
  <conditionalFormatting sqref="G286:M293">
    <cfRule type="expression" dxfId="373" priority="216">
      <formula>MOD(G286,1)=0</formula>
    </cfRule>
  </conditionalFormatting>
  <conditionalFormatting sqref="F286:F293">
    <cfRule type="expression" dxfId="372" priority="215">
      <formula>MOD(F286,1)=0</formula>
    </cfRule>
  </conditionalFormatting>
  <conditionalFormatting sqref="G296:M303">
    <cfRule type="expression" dxfId="371" priority="214">
      <formula>MOD(G296,1)=0</formula>
    </cfRule>
  </conditionalFormatting>
  <conditionalFormatting sqref="F296:F303">
    <cfRule type="expression" dxfId="370" priority="213">
      <formula>MOD(F296,1)=0</formula>
    </cfRule>
  </conditionalFormatting>
  <conditionalFormatting sqref="G306:M313">
    <cfRule type="expression" dxfId="369" priority="212">
      <formula>MOD(G306,1)=0</formula>
    </cfRule>
  </conditionalFormatting>
  <conditionalFormatting sqref="F306:F313">
    <cfRule type="expression" dxfId="368" priority="211">
      <formula>MOD(F306,1)=0</formula>
    </cfRule>
  </conditionalFormatting>
  <conditionalFormatting sqref="G316:M323">
    <cfRule type="expression" dxfId="367" priority="210">
      <formula>MOD(G316,1)=0</formula>
    </cfRule>
  </conditionalFormatting>
  <conditionalFormatting sqref="F316:F323">
    <cfRule type="expression" dxfId="366" priority="209">
      <formula>MOD(F316,1)=0</formula>
    </cfRule>
  </conditionalFormatting>
  <conditionalFormatting sqref="G326:M333">
    <cfRule type="expression" dxfId="365" priority="208">
      <formula>MOD(G326,1)=0</formula>
    </cfRule>
  </conditionalFormatting>
  <conditionalFormatting sqref="F326:F333">
    <cfRule type="expression" dxfId="364" priority="207">
      <formula>MOD(F326,1)=0</formula>
    </cfRule>
  </conditionalFormatting>
  <conditionalFormatting sqref="G336:M343">
    <cfRule type="expression" dxfId="363" priority="206">
      <formula>MOD(G336,1)=0</formula>
    </cfRule>
  </conditionalFormatting>
  <conditionalFormatting sqref="F336:F343">
    <cfRule type="expression" dxfId="362" priority="205">
      <formula>MOD(F336,1)=0</formula>
    </cfRule>
  </conditionalFormatting>
  <conditionalFormatting sqref="G346:M353">
    <cfRule type="expression" dxfId="361" priority="204">
      <formula>MOD(G346,1)=0</formula>
    </cfRule>
  </conditionalFormatting>
  <conditionalFormatting sqref="F346:F353">
    <cfRule type="expression" dxfId="360" priority="203">
      <formula>MOD(F346,1)=0</formula>
    </cfRule>
  </conditionalFormatting>
  <conditionalFormatting sqref="G356:M363">
    <cfRule type="expression" dxfId="359" priority="202">
      <formula>MOD(G356,1)=0</formula>
    </cfRule>
  </conditionalFormatting>
  <conditionalFormatting sqref="F356:F363">
    <cfRule type="expression" dxfId="358" priority="201">
      <formula>MOD(F356,1)=0</formula>
    </cfRule>
  </conditionalFormatting>
  <conditionalFormatting sqref="G366:M373">
    <cfRule type="expression" dxfId="357" priority="200">
      <formula>MOD(G366,1)=0</formula>
    </cfRule>
  </conditionalFormatting>
  <conditionalFormatting sqref="F366:F373">
    <cfRule type="expression" dxfId="356" priority="199">
      <formula>MOD(F366,1)=0</formula>
    </cfRule>
  </conditionalFormatting>
  <conditionalFormatting sqref="G376:M383">
    <cfRule type="expression" dxfId="355" priority="198">
      <formula>MOD(G376,1)=0</formula>
    </cfRule>
  </conditionalFormatting>
  <conditionalFormatting sqref="F376:F383">
    <cfRule type="expression" dxfId="354" priority="197">
      <formula>MOD(F376,1)=0</formula>
    </cfRule>
  </conditionalFormatting>
  <conditionalFormatting sqref="G386:M393">
    <cfRule type="expression" dxfId="353" priority="196">
      <formula>MOD(G386,1)=0</formula>
    </cfRule>
  </conditionalFormatting>
  <conditionalFormatting sqref="F386:F393">
    <cfRule type="expression" dxfId="352" priority="195">
      <formula>MOD(F386,1)=0</formula>
    </cfRule>
  </conditionalFormatting>
  <conditionalFormatting sqref="G396:M403">
    <cfRule type="expression" dxfId="351" priority="194">
      <formula>MOD(G396,1)=0</formula>
    </cfRule>
  </conditionalFormatting>
  <conditionalFormatting sqref="F396:F403">
    <cfRule type="expression" dxfId="350" priority="193">
      <formula>MOD(F396,1)=0</formula>
    </cfRule>
  </conditionalFormatting>
  <conditionalFormatting sqref="G406:M413">
    <cfRule type="expression" dxfId="349" priority="192">
      <formula>MOD(G406,1)=0</formula>
    </cfRule>
  </conditionalFormatting>
  <conditionalFormatting sqref="F406:F413">
    <cfRule type="expression" dxfId="348" priority="191">
      <formula>MOD(F406,1)=0</formula>
    </cfRule>
  </conditionalFormatting>
  <conditionalFormatting sqref="G416:M423">
    <cfRule type="expression" dxfId="347" priority="190">
      <formula>MOD(G416,1)=0</formula>
    </cfRule>
  </conditionalFormatting>
  <conditionalFormatting sqref="F416:F423">
    <cfRule type="expression" dxfId="346" priority="189">
      <formula>MOD(F416,1)=0</formula>
    </cfRule>
  </conditionalFormatting>
  <conditionalFormatting sqref="G426:M433">
    <cfRule type="expression" dxfId="345" priority="188">
      <formula>MOD(G426,1)=0</formula>
    </cfRule>
  </conditionalFormatting>
  <conditionalFormatting sqref="F426:F433">
    <cfRule type="expression" dxfId="344" priority="187">
      <formula>MOD(F426,1)=0</formula>
    </cfRule>
  </conditionalFormatting>
  <conditionalFormatting sqref="G436:M443">
    <cfRule type="expression" dxfId="343" priority="186">
      <formula>MOD(G436,1)=0</formula>
    </cfRule>
  </conditionalFormatting>
  <conditionalFormatting sqref="F436:F443">
    <cfRule type="expression" dxfId="342" priority="185">
      <formula>MOD(F436,1)=0</formula>
    </cfRule>
  </conditionalFormatting>
  <conditionalFormatting sqref="G446:M453">
    <cfRule type="expression" dxfId="341" priority="184">
      <formula>MOD(G446,1)=0</formula>
    </cfRule>
  </conditionalFormatting>
  <conditionalFormatting sqref="F446:F453">
    <cfRule type="expression" dxfId="340" priority="183">
      <formula>MOD(F446,1)=0</formula>
    </cfRule>
  </conditionalFormatting>
  <conditionalFormatting sqref="G456:M463">
    <cfRule type="expression" dxfId="339" priority="182">
      <formula>MOD(G456,1)=0</formula>
    </cfRule>
  </conditionalFormatting>
  <conditionalFormatting sqref="F456:F463">
    <cfRule type="expression" dxfId="338" priority="181">
      <formula>MOD(F456,1)=0</formula>
    </cfRule>
  </conditionalFormatting>
  <conditionalFormatting sqref="G466:M473">
    <cfRule type="expression" dxfId="337" priority="180">
      <formula>MOD(G466,1)=0</formula>
    </cfRule>
  </conditionalFormatting>
  <conditionalFormatting sqref="F466:F473">
    <cfRule type="expression" dxfId="336" priority="179">
      <formula>MOD(F466,1)=0</formula>
    </cfRule>
  </conditionalFormatting>
  <conditionalFormatting sqref="G476:M483">
    <cfRule type="expression" dxfId="335" priority="178">
      <formula>MOD(G476,1)=0</formula>
    </cfRule>
  </conditionalFormatting>
  <conditionalFormatting sqref="F476:F483">
    <cfRule type="expression" dxfId="334" priority="177">
      <formula>MOD(F476,1)=0</formula>
    </cfRule>
  </conditionalFormatting>
  <conditionalFormatting sqref="G486:M493">
    <cfRule type="expression" dxfId="333" priority="176">
      <formula>MOD(G486,1)=0</formula>
    </cfRule>
  </conditionalFormatting>
  <conditionalFormatting sqref="F486:F493">
    <cfRule type="expression" dxfId="332" priority="175">
      <formula>MOD(F486,1)=0</formula>
    </cfRule>
  </conditionalFormatting>
  <conditionalFormatting sqref="G496:M503">
    <cfRule type="expression" dxfId="331" priority="174">
      <formula>MOD(G496,1)=0</formula>
    </cfRule>
  </conditionalFormatting>
  <conditionalFormatting sqref="F496:F503">
    <cfRule type="expression" dxfId="330" priority="173">
      <formula>MOD(F496,1)=0</formula>
    </cfRule>
  </conditionalFormatting>
  <conditionalFormatting sqref="G506:M513">
    <cfRule type="expression" dxfId="329" priority="172">
      <formula>MOD(G506,1)=0</formula>
    </cfRule>
  </conditionalFormatting>
  <conditionalFormatting sqref="F506:F513">
    <cfRule type="expression" dxfId="328" priority="171">
      <formula>MOD(F506,1)=0</formula>
    </cfRule>
  </conditionalFormatting>
  <conditionalFormatting sqref="G516:M523">
    <cfRule type="expression" dxfId="327" priority="170">
      <formula>MOD(G516,1)=0</formula>
    </cfRule>
  </conditionalFormatting>
  <conditionalFormatting sqref="F516:F523">
    <cfRule type="expression" dxfId="326" priority="169">
      <formula>MOD(F516,1)=0</formula>
    </cfRule>
  </conditionalFormatting>
  <conditionalFormatting sqref="G526:M533">
    <cfRule type="expression" dxfId="325" priority="168">
      <formula>MOD(G526,1)=0</formula>
    </cfRule>
  </conditionalFormatting>
  <conditionalFormatting sqref="F526:F533">
    <cfRule type="expression" dxfId="324" priority="167">
      <formula>MOD(F526,1)=0</formula>
    </cfRule>
  </conditionalFormatting>
  <conditionalFormatting sqref="G536:M543">
    <cfRule type="expression" dxfId="323" priority="166">
      <formula>MOD(G536,1)=0</formula>
    </cfRule>
  </conditionalFormatting>
  <conditionalFormatting sqref="F536:F543">
    <cfRule type="expression" dxfId="322" priority="165">
      <formula>MOD(F536,1)=0</formula>
    </cfRule>
  </conditionalFormatting>
  <conditionalFormatting sqref="G546:M553">
    <cfRule type="expression" dxfId="321" priority="164">
      <formula>MOD(G546,1)=0</formula>
    </cfRule>
  </conditionalFormatting>
  <conditionalFormatting sqref="F546:F553">
    <cfRule type="expression" dxfId="320" priority="163">
      <formula>MOD(F546,1)=0</formula>
    </cfRule>
  </conditionalFormatting>
  <conditionalFormatting sqref="G556:M563">
    <cfRule type="expression" dxfId="319" priority="162">
      <formula>MOD(G556,1)=0</formula>
    </cfRule>
  </conditionalFormatting>
  <conditionalFormatting sqref="F556:F563">
    <cfRule type="expression" dxfId="318" priority="161">
      <formula>MOD(F556,1)=0</formula>
    </cfRule>
  </conditionalFormatting>
  <conditionalFormatting sqref="G566:M573">
    <cfRule type="expression" dxfId="317" priority="160">
      <formula>MOD(G566,1)=0</formula>
    </cfRule>
  </conditionalFormatting>
  <conditionalFormatting sqref="F566:F573">
    <cfRule type="expression" dxfId="316" priority="159">
      <formula>MOD(F566,1)=0</formula>
    </cfRule>
  </conditionalFormatting>
  <conditionalFormatting sqref="G576:M583">
    <cfRule type="expression" dxfId="315" priority="158">
      <formula>MOD(G576,1)=0</formula>
    </cfRule>
  </conditionalFormatting>
  <conditionalFormatting sqref="F576:F583">
    <cfRule type="expression" dxfId="314" priority="157">
      <formula>MOD(F576,1)=0</formula>
    </cfRule>
  </conditionalFormatting>
  <conditionalFormatting sqref="G586:M593">
    <cfRule type="expression" dxfId="313" priority="156">
      <formula>MOD(G586,1)=0</formula>
    </cfRule>
  </conditionalFormatting>
  <conditionalFormatting sqref="F586:F593">
    <cfRule type="expression" dxfId="312" priority="155">
      <formula>MOD(F586,1)=0</formula>
    </cfRule>
  </conditionalFormatting>
  <conditionalFormatting sqref="G596:M603">
    <cfRule type="expression" dxfId="311" priority="154">
      <formula>MOD(G596,1)=0</formula>
    </cfRule>
  </conditionalFormatting>
  <conditionalFormatting sqref="F596:F603">
    <cfRule type="expression" dxfId="310" priority="153">
      <formula>MOD(F596,1)=0</formula>
    </cfRule>
  </conditionalFormatting>
  <conditionalFormatting sqref="G606:M613">
    <cfRule type="expression" dxfId="309" priority="152">
      <formula>MOD(G606,1)=0</formula>
    </cfRule>
  </conditionalFormatting>
  <conditionalFormatting sqref="F606:F613">
    <cfRule type="expression" dxfId="308" priority="151">
      <formula>MOD(F606,1)=0</formula>
    </cfRule>
  </conditionalFormatting>
  <conditionalFormatting sqref="G616:M623">
    <cfRule type="expression" dxfId="307" priority="150">
      <formula>MOD(G616,1)=0</formula>
    </cfRule>
  </conditionalFormatting>
  <conditionalFormatting sqref="F616:F623">
    <cfRule type="expression" dxfId="306" priority="149">
      <formula>MOD(F616,1)=0</formula>
    </cfRule>
  </conditionalFormatting>
  <conditionalFormatting sqref="G626:M633">
    <cfRule type="expression" dxfId="305" priority="148">
      <formula>MOD(G626,1)=0</formula>
    </cfRule>
  </conditionalFormatting>
  <conditionalFormatting sqref="F626:F633">
    <cfRule type="expression" dxfId="304" priority="147">
      <formula>MOD(F626,1)=0</formula>
    </cfRule>
  </conditionalFormatting>
  <conditionalFormatting sqref="G636:M643">
    <cfRule type="expression" dxfId="303" priority="146">
      <formula>MOD(G636,1)=0</formula>
    </cfRule>
  </conditionalFormatting>
  <conditionalFormatting sqref="F636:F643">
    <cfRule type="expression" dxfId="302" priority="145">
      <formula>MOD(F636,1)=0</formula>
    </cfRule>
  </conditionalFormatting>
  <conditionalFormatting sqref="G646:M653">
    <cfRule type="expression" dxfId="301" priority="144">
      <formula>MOD(G646,1)=0</formula>
    </cfRule>
  </conditionalFormatting>
  <conditionalFormatting sqref="F646:F653">
    <cfRule type="expression" dxfId="300" priority="143">
      <formula>MOD(F646,1)=0</formula>
    </cfRule>
  </conditionalFormatting>
  <conditionalFormatting sqref="G656:M663">
    <cfRule type="expression" dxfId="299" priority="142">
      <formula>MOD(G656,1)=0</formula>
    </cfRule>
  </conditionalFormatting>
  <conditionalFormatting sqref="F656:F663">
    <cfRule type="expression" dxfId="298" priority="141">
      <formula>MOD(F656,1)=0</formula>
    </cfRule>
  </conditionalFormatting>
  <conditionalFormatting sqref="G666:M673">
    <cfRule type="expression" dxfId="297" priority="140">
      <formula>MOD(G666,1)=0</formula>
    </cfRule>
  </conditionalFormatting>
  <conditionalFormatting sqref="F666:F673">
    <cfRule type="expression" dxfId="296" priority="139">
      <formula>MOD(F666,1)=0</formula>
    </cfRule>
  </conditionalFormatting>
  <conditionalFormatting sqref="G676:M683">
    <cfRule type="expression" dxfId="295" priority="138">
      <formula>MOD(G676,1)=0</formula>
    </cfRule>
  </conditionalFormatting>
  <conditionalFormatting sqref="F676:F683">
    <cfRule type="expression" dxfId="294" priority="137">
      <formula>MOD(F676,1)=0</formula>
    </cfRule>
  </conditionalFormatting>
  <conditionalFormatting sqref="G686:M693">
    <cfRule type="expression" dxfId="293" priority="136">
      <formula>MOD(G686,1)=0</formula>
    </cfRule>
  </conditionalFormatting>
  <conditionalFormatting sqref="F686:F693">
    <cfRule type="expression" dxfId="292" priority="135">
      <formula>MOD(F686,1)=0</formula>
    </cfRule>
  </conditionalFormatting>
  <conditionalFormatting sqref="G696:M703">
    <cfRule type="expression" dxfId="291" priority="134">
      <formula>MOD(G696,1)=0</formula>
    </cfRule>
  </conditionalFormatting>
  <conditionalFormatting sqref="F696:F703">
    <cfRule type="expression" dxfId="290" priority="133">
      <formula>MOD(F696,1)=0</formula>
    </cfRule>
  </conditionalFormatting>
  <conditionalFormatting sqref="G706:M713">
    <cfRule type="expression" dxfId="289" priority="132">
      <formula>MOD(G706,1)=0</formula>
    </cfRule>
  </conditionalFormatting>
  <conditionalFormatting sqref="F706:F713">
    <cfRule type="expression" dxfId="288" priority="131">
      <formula>MOD(F706,1)=0</formula>
    </cfRule>
  </conditionalFormatting>
  <conditionalFormatting sqref="F1356:F1363">
    <cfRule type="expression" dxfId="287" priority="1">
      <formula>MOD(F1356,1)=0</formula>
    </cfRule>
  </conditionalFormatting>
  <conditionalFormatting sqref="G716:M723">
    <cfRule type="expression" dxfId="286" priority="130">
      <formula>MOD(G716,1)=0</formula>
    </cfRule>
  </conditionalFormatting>
  <conditionalFormatting sqref="F716:F723">
    <cfRule type="expression" dxfId="285" priority="129">
      <formula>MOD(F716,1)=0</formula>
    </cfRule>
  </conditionalFormatting>
  <conditionalFormatting sqref="G726:M733">
    <cfRule type="expression" dxfId="284" priority="128">
      <formula>MOD(G726,1)=0</formula>
    </cfRule>
  </conditionalFormatting>
  <conditionalFormatting sqref="F726:F733">
    <cfRule type="expression" dxfId="283" priority="127">
      <formula>MOD(F726,1)=0</formula>
    </cfRule>
  </conditionalFormatting>
  <conditionalFormatting sqref="G736:M743">
    <cfRule type="expression" dxfId="282" priority="126">
      <formula>MOD(G736,1)=0</formula>
    </cfRule>
  </conditionalFormatting>
  <conditionalFormatting sqref="F736:F743">
    <cfRule type="expression" dxfId="281" priority="125">
      <formula>MOD(F736,1)=0</formula>
    </cfRule>
  </conditionalFormatting>
  <conditionalFormatting sqref="G746:M753">
    <cfRule type="expression" dxfId="280" priority="124">
      <formula>MOD(G746,1)=0</formula>
    </cfRule>
  </conditionalFormatting>
  <conditionalFormatting sqref="F746:F753">
    <cfRule type="expression" dxfId="279" priority="123">
      <formula>MOD(F746,1)=0</formula>
    </cfRule>
  </conditionalFormatting>
  <conditionalFormatting sqref="G756:M763">
    <cfRule type="expression" dxfId="278" priority="122">
      <formula>MOD(G756,1)=0</formula>
    </cfRule>
  </conditionalFormatting>
  <conditionalFormatting sqref="F756:F763">
    <cfRule type="expression" dxfId="277" priority="121">
      <formula>MOD(F756,1)=0</formula>
    </cfRule>
  </conditionalFormatting>
  <conditionalFormatting sqref="G766:M773">
    <cfRule type="expression" dxfId="276" priority="120">
      <formula>MOD(G766,1)=0</formula>
    </cfRule>
  </conditionalFormatting>
  <conditionalFormatting sqref="F766:F773">
    <cfRule type="expression" dxfId="275" priority="119">
      <formula>MOD(F766,1)=0</formula>
    </cfRule>
  </conditionalFormatting>
  <conditionalFormatting sqref="G776:M783">
    <cfRule type="expression" dxfId="274" priority="118">
      <formula>MOD(G776,1)=0</formula>
    </cfRule>
  </conditionalFormatting>
  <conditionalFormatting sqref="F776:F783">
    <cfRule type="expression" dxfId="273" priority="117">
      <formula>MOD(F776,1)=0</formula>
    </cfRule>
  </conditionalFormatting>
  <conditionalFormatting sqref="G786:M793">
    <cfRule type="expression" dxfId="272" priority="116">
      <formula>MOD(G786,1)=0</formula>
    </cfRule>
  </conditionalFormatting>
  <conditionalFormatting sqref="F786:F793">
    <cfRule type="expression" dxfId="271" priority="115">
      <formula>MOD(F786,1)=0</formula>
    </cfRule>
  </conditionalFormatting>
  <conditionalFormatting sqref="G796:M803">
    <cfRule type="expression" dxfId="270" priority="114">
      <formula>MOD(G796,1)=0</formula>
    </cfRule>
  </conditionalFormatting>
  <conditionalFormatting sqref="F796:F803">
    <cfRule type="expression" dxfId="269" priority="113">
      <formula>MOD(F796,1)=0</formula>
    </cfRule>
  </conditionalFormatting>
  <conditionalFormatting sqref="G806:M813">
    <cfRule type="expression" dxfId="268" priority="112">
      <formula>MOD(G806,1)=0</formula>
    </cfRule>
  </conditionalFormatting>
  <conditionalFormatting sqref="F806:F813">
    <cfRule type="expression" dxfId="267" priority="111">
      <formula>MOD(F806,1)=0</formula>
    </cfRule>
  </conditionalFormatting>
  <conditionalFormatting sqref="G816:M823">
    <cfRule type="expression" dxfId="266" priority="110">
      <formula>MOD(G816,1)=0</formula>
    </cfRule>
  </conditionalFormatting>
  <conditionalFormatting sqref="F816:F823">
    <cfRule type="expression" dxfId="265" priority="109">
      <formula>MOD(F816,1)=0</formula>
    </cfRule>
  </conditionalFormatting>
  <conditionalFormatting sqref="G826:M833">
    <cfRule type="expression" dxfId="264" priority="108">
      <formula>MOD(G826,1)=0</formula>
    </cfRule>
  </conditionalFormatting>
  <conditionalFormatting sqref="F826:F833">
    <cfRule type="expression" dxfId="263" priority="107">
      <formula>MOD(F826,1)=0</formula>
    </cfRule>
  </conditionalFormatting>
  <conditionalFormatting sqref="G836:M843">
    <cfRule type="expression" dxfId="262" priority="106">
      <formula>MOD(G836,1)=0</formula>
    </cfRule>
  </conditionalFormatting>
  <conditionalFormatting sqref="F836:F843">
    <cfRule type="expression" dxfId="261" priority="105">
      <formula>MOD(F836,1)=0</formula>
    </cfRule>
  </conditionalFormatting>
  <conditionalFormatting sqref="G846:M853">
    <cfRule type="expression" dxfId="260" priority="104">
      <formula>MOD(G846,1)=0</formula>
    </cfRule>
  </conditionalFormatting>
  <conditionalFormatting sqref="F846:F853">
    <cfRule type="expression" dxfId="259" priority="103">
      <formula>MOD(F846,1)=0</formula>
    </cfRule>
  </conditionalFormatting>
  <conditionalFormatting sqref="G856:M863">
    <cfRule type="expression" dxfId="258" priority="102">
      <formula>MOD(G856,1)=0</formula>
    </cfRule>
  </conditionalFormatting>
  <conditionalFormatting sqref="F856:F863">
    <cfRule type="expression" dxfId="257" priority="101">
      <formula>MOD(F856,1)=0</formula>
    </cfRule>
  </conditionalFormatting>
  <conditionalFormatting sqref="G866:M873">
    <cfRule type="expression" dxfId="256" priority="100">
      <formula>MOD(G866,1)=0</formula>
    </cfRule>
  </conditionalFormatting>
  <conditionalFormatting sqref="F866:F873">
    <cfRule type="expression" dxfId="255" priority="99">
      <formula>MOD(F866,1)=0</formula>
    </cfRule>
  </conditionalFormatting>
  <conditionalFormatting sqref="G876:M883">
    <cfRule type="expression" dxfId="254" priority="98">
      <formula>MOD(G876,1)=0</formula>
    </cfRule>
  </conditionalFormatting>
  <conditionalFormatting sqref="F876:F883">
    <cfRule type="expression" dxfId="253" priority="97">
      <formula>MOD(F876,1)=0</formula>
    </cfRule>
  </conditionalFormatting>
  <conditionalFormatting sqref="G886:M893">
    <cfRule type="expression" dxfId="252" priority="96">
      <formula>MOD(G886,1)=0</formula>
    </cfRule>
  </conditionalFormatting>
  <conditionalFormatting sqref="F886:F893">
    <cfRule type="expression" dxfId="251" priority="95">
      <formula>MOD(F886,1)=0</formula>
    </cfRule>
  </conditionalFormatting>
  <conditionalFormatting sqref="G896:M903">
    <cfRule type="expression" dxfId="250" priority="94">
      <formula>MOD(G896,1)=0</formula>
    </cfRule>
  </conditionalFormatting>
  <conditionalFormatting sqref="F896:F903">
    <cfRule type="expression" dxfId="249" priority="93">
      <formula>MOD(F896,1)=0</formula>
    </cfRule>
  </conditionalFormatting>
  <conditionalFormatting sqref="G906:M913">
    <cfRule type="expression" dxfId="248" priority="92">
      <formula>MOD(G906,1)=0</formula>
    </cfRule>
  </conditionalFormatting>
  <conditionalFormatting sqref="F906:F913">
    <cfRule type="expression" dxfId="247" priority="91">
      <formula>MOD(F906,1)=0</formula>
    </cfRule>
  </conditionalFormatting>
  <conditionalFormatting sqref="G916:M923">
    <cfRule type="expression" dxfId="246" priority="90">
      <formula>MOD(G916,1)=0</formula>
    </cfRule>
  </conditionalFormatting>
  <conditionalFormatting sqref="F916:F923">
    <cfRule type="expression" dxfId="245" priority="89">
      <formula>MOD(F916,1)=0</formula>
    </cfRule>
  </conditionalFormatting>
  <conditionalFormatting sqref="G926:M933">
    <cfRule type="expression" dxfId="244" priority="88">
      <formula>MOD(G926,1)=0</formula>
    </cfRule>
  </conditionalFormatting>
  <conditionalFormatting sqref="F926:F933">
    <cfRule type="expression" dxfId="243" priority="87">
      <formula>MOD(F926,1)=0</formula>
    </cfRule>
  </conditionalFormatting>
  <conditionalFormatting sqref="G936:M943">
    <cfRule type="expression" dxfId="242" priority="86">
      <formula>MOD(G936,1)=0</formula>
    </cfRule>
  </conditionalFormatting>
  <conditionalFormatting sqref="F936:F943">
    <cfRule type="expression" dxfId="241" priority="85">
      <formula>MOD(F936,1)=0</formula>
    </cfRule>
  </conditionalFormatting>
  <conditionalFormatting sqref="G946:M953">
    <cfRule type="expression" dxfId="240" priority="84">
      <formula>MOD(G946,1)=0</formula>
    </cfRule>
  </conditionalFormatting>
  <conditionalFormatting sqref="F946:F953">
    <cfRule type="expression" dxfId="239" priority="83">
      <formula>MOD(F946,1)=0</formula>
    </cfRule>
  </conditionalFormatting>
  <conditionalFormatting sqref="G956:M963">
    <cfRule type="expression" dxfId="238" priority="82">
      <formula>MOD(G956,1)=0</formula>
    </cfRule>
  </conditionalFormatting>
  <conditionalFormatting sqref="F956:F963">
    <cfRule type="expression" dxfId="237" priority="81">
      <formula>MOD(F956,1)=0</formula>
    </cfRule>
  </conditionalFormatting>
  <conditionalFormatting sqref="G966:M973">
    <cfRule type="expression" dxfId="236" priority="80">
      <formula>MOD(G966,1)=0</formula>
    </cfRule>
  </conditionalFormatting>
  <conditionalFormatting sqref="F966:F973">
    <cfRule type="expression" dxfId="235" priority="79">
      <formula>MOD(F966,1)=0</formula>
    </cfRule>
  </conditionalFormatting>
  <conditionalFormatting sqref="G976:M983">
    <cfRule type="expression" dxfId="234" priority="78">
      <formula>MOD(G976,1)=0</formula>
    </cfRule>
  </conditionalFormatting>
  <conditionalFormatting sqref="F976:F983">
    <cfRule type="expression" dxfId="233" priority="77">
      <formula>MOD(F976,1)=0</formula>
    </cfRule>
  </conditionalFormatting>
  <conditionalFormatting sqref="G986:M993">
    <cfRule type="expression" dxfId="232" priority="76">
      <formula>MOD(G986,1)=0</formula>
    </cfRule>
  </conditionalFormatting>
  <conditionalFormatting sqref="F986:F993">
    <cfRule type="expression" dxfId="231" priority="75">
      <formula>MOD(F986,1)=0</formula>
    </cfRule>
  </conditionalFormatting>
  <conditionalFormatting sqref="G996:M1003">
    <cfRule type="expression" dxfId="230" priority="74">
      <formula>MOD(G996,1)=0</formula>
    </cfRule>
  </conditionalFormatting>
  <conditionalFormatting sqref="F996:F1003">
    <cfRule type="expression" dxfId="229" priority="73">
      <formula>MOD(F996,1)=0</formula>
    </cfRule>
  </conditionalFormatting>
  <conditionalFormatting sqref="G1006:M1013">
    <cfRule type="expression" dxfId="228" priority="72">
      <formula>MOD(G1006,1)=0</formula>
    </cfRule>
  </conditionalFormatting>
  <conditionalFormatting sqref="F1006:F1013">
    <cfRule type="expression" dxfId="227" priority="71">
      <formula>MOD(F1006,1)=0</formula>
    </cfRule>
  </conditionalFormatting>
  <conditionalFormatting sqref="G1016:M1023">
    <cfRule type="expression" dxfId="226" priority="70">
      <formula>MOD(G1016,1)=0</formula>
    </cfRule>
  </conditionalFormatting>
  <conditionalFormatting sqref="F1016:F1023">
    <cfRule type="expression" dxfId="225" priority="69">
      <formula>MOD(F1016,1)=0</formula>
    </cfRule>
  </conditionalFormatting>
  <conditionalFormatting sqref="G1026:M1033">
    <cfRule type="expression" dxfId="224" priority="68">
      <formula>MOD(G1026,1)=0</formula>
    </cfRule>
  </conditionalFormatting>
  <conditionalFormatting sqref="F1026:F1033">
    <cfRule type="expression" dxfId="223" priority="67">
      <formula>MOD(F1026,1)=0</formula>
    </cfRule>
  </conditionalFormatting>
  <conditionalFormatting sqref="G1036:M1043">
    <cfRule type="expression" dxfId="222" priority="66">
      <formula>MOD(G1036,1)=0</formula>
    </cfRule>
  </conditionalFormatting>
  <conditionalFormatting sqref="F1036:F1043">
    <cfRule type="expression" dxfId="221" priority="65">
      <formula>MOD(F1036,1)=0</formula>
    </cfRule>
  </conditionalFormatting>
  <conditionalFormatting sqref="G1046:M1053">
    <cfRule type="expression" dxfId="220" priority="64">
      <formula>MOD(G1046,1)=0</formula>
    </cfRule>
  </conditionalFormatting>
  <conditionalFormatting sqref="F1046:F1053">
    <cfRule type="expression" dxfId="219" priority="63">
      <formula>MOD(F1046,1)=0</formula>
    </cfRule>
  </conditionalFormatting>
  <conditionalFormatting sqref="G1056:M1063">
    <cfRule type="expression" dxfId="218" priority="62">
      <formula>MOD(G1056,1)=0</formula>
    </cfRule>
  </conditionalFormatting>
  <conditionalFormatting sqref="F1056:F1063">
    <cfRule type="expression" dxfId="217" priority="61">
      <formula>MOD(F1056,1)=0</formula>
    </cfRule>
  </conditionalFormatting>
  <conditionalFormatting sqref="G1066:M1073">
    <cfRule type="expression" dxfId="216" priority="60">
      <formula>MOD(G1066,1)=0</formula>
    </cfRule>
  </conditionalFormatting>
  <conditionalFormatting sqref="F1066:F1073">
    <cfRule type="expression" dxfId="215" priority="59">
      <formula>MOD(F1066,1)=0</formula>
    </cfRule>
  </conditionalFormatting>
  <conditionalFormatting sqref="G1076:M1083">
    <cfRule type="expression" dxfId="214" priority="58">
      <formula>MOD(G1076,1)=0</formula>
    </cfRule>
  </conditionalFormatting>
  <conditionalFormatting sqref="F1076:F1083">
    <cfRule type="expression" dxfId="213" priority="57">
      <formula>MOD(F1076,1)=0</formula>
    </cfRule>
  </conditionalFormatting>
  <conditionalFormatting sqref="G1086:M1093">
    <cfRule type="expression" dxfId="212" priority="56">
      <formula>MOD(G1086,1)=0</formula>
    </cfRule>
  </conditionalFormatting>
  <conditionalFormatting sqref="F1086:F1093">
    <cfRule type="expression" dxfId="211" priority="55">
      <formula>MOD(F1086,1)=0</formula>
    </cfRule>
  </conditionalFormatting>
  <conditionalFormatting sqref="G1096:M1103">
    <cfRule type="expression" dxfId="210" priority="54">
      <formula>MOD(G1096,1)=0</formula>
    </cfRule>
  </conditionalFormatting>
  <conditionalFormatting sqref="F1096:F1103">
    <cfRule type="expression" dxfId="209" priority="53">
      <formula>MOD(F1096,1)=0</formula>
    </cfRule>
  </conditionalFormatting>
  <conditionalFormatting sqref="G1106:M1113">
    <cfRule type="expression" dxfId="208" priority="52">
      <formula>MOD(G1106,1)=0</formula>
    </cfRule>
  </conditionalFormatting>
  <conditionalFormatting sqref="F1106:F1113">
    <cfRule type="expression" dxfId="207" priority="51">
      <formula>MOD(F1106,1)=0</formula>
    </cfRule>
  </conditionalFormatting>
  <conditionalFormatting sqref="G1116:M1123">
    <cfRule type="expression" dxfId="206" priority="50">
      <formula>MOD(G1116,1)=0</formula>
    </cfRule>
  </conditionalFormatting>
  <conditionalFormatting sqref="F1116:F1123">
    <cfRule type="expression" dxfId="205" priority="49">
      <formula>MOD(F1116,1)=0</formula>
    </cfRule>
  </conditionalFormatting>
  <conditionalFormatting sqref="G1126:M1133">
    <cfRule type="expression" dxfId="204" priority="48">
      <formula>MOD(G1126,1)=0</formula>
    </cfRule>
  </conditionalFormatting>
  <conditionalFormatting sqref="F1126:F1133">
    <cfRule type="expression" dxfId="203" priority="47">
      <formula>MOD(F1126,1)=0</formula>
    </cfRule>
  </conditionalFormatting>
  <conditionalFormatting sqref="G1136:M1143">
    <cfRule type="expression" dxfId="202" priority="46">
      <formula>MOD(G1136,1)=0</formula>
    </cfRule>
  </conditionalFormatting>
  <conditionalFormatting sqref="F1136:F1143">
    <cfRule type="expression" dxfId="201" priority="45">
      <formula>MOD(F1136,1)=0</formula>
    </cfRule>
  </conditionalFormatting>
  <conditionalFormatting sqref="G1146:M1153">
    <cfRule type="expression" dxfId="200" priority="44">
      <formula>MOD(G1146,1)=0</formula>
    </cfRule>
  </conditionalFormatting>
  <conditionalFormatting sqref="F1146:F1153">
    <cfRule type="expression" dxfId="199" priority="43">
      <formula>MOD(F1146,1)=0</formula>
    </cfRule>
  </conditionalFormatting>
  <conditionalFormatting sqref="G1156:M1163">
    <cfRule type="expression" dxfId="198" priority="42">
      <formula>MOD(G1156,1)=0</formula>
    </cfRule>
  </conditionalFormatting>
  <conditionalFormatting sqref="F1156:F1163">
    <cfRule type="expression" dxfId="197" priority="41">
      <formula>MOD(F1156,1)=0</formula>
    </cfRule>
  </conditionalFormatting>
  <conditionalFormatting sqref="G1166:M1173">
    <cfRule type="expression" dxfId="196" priority="40">
      <formula>MOD(G1166,1)=0</formula>
    </cfRule>
  </conditionalFormatting>
  <conditionalFormatting sqref="F1166:F1173">
    <cfRule type="expression" dxfId="195" priority="39">
      <formula>MOD(F1166,1)=0</formula>
    </cfRule>
  </conditionalFormatting>
  <conditionalFormatting sqref="G1176:M1183">
    <cfRule type="expression" dxfId="194" priority="38">
      <formula>MOD(G1176,1)=0</formula>
    </cfRule>
  </conditionalFormatting>
  <conditionalFormatting sqref="F1176:F1183">
    <cfRule type="expression" dxfId="193" priority="37">
      <formula>MOD(F1176,1)=0</formula>
    </cfRule>
  </conditionalFormatting>
  <conditionalFormatting sqref="G1186:M1193">
    <cfRule type="expression" dxfId="192" priority="36">
      <formula>MOD(G1186,1)=0</formula>
    </cfRule>
  </conditionalFormatting>
  <conditionalFormatting sqref="F1186:F1193">
    <cfRule type="expression" dxfId="191" priority="35">
      <formula>MOD(F1186,1)=0</formula>
    </cfRule>
  </conditionalFormatting>
  <conditionalFormatting sqref="G1196:M1203">
    <cfRule type="expression" dxfId="190" priority="34">
      <formula>MOD(G1196,1)=0</formula>
    </cfRule>
  </conditionalFormatting>
  <conditionalFormatting sqref="F1196:F1203">
    <cfRule type="expression" dxfId="189" priority="33">
      <formula>MOD(F1196,1)=0</formula>
    </cfRule>
  </conditionalFormatting>
  <conditionalFormatting sqref="G1206:M1213">
    <cfRule type="expression" dxfId="188" priority="32">
      <formula>MOD(G1206,1)=0</formula>
    </cfRule>
  </conditionalFormatting>
  <conditionalFormatting sqref="F1206:F1213">
    <cfRule type="expression" dxfId="187" priority="31">
      <formula>MOD(F1206,1)=0</formula>
    </cfRule>
  </conditionalFormatting>
  <conditionalFormatting sqref="G1216:M1223">
    <cfRule type="expression" dxfId="186" priority="30">
      <formula>MOD(G1216,1)=0</formula>
    </cfRule>
  </conditionalFormatting>
  <conditionalFormatting sqref="F1216:F1223">
    <cfRule type="expression" dxfId="185" priority="29">
      <formula>MOD(F1216,1)=0</formula>
    </cfRule>
  </conditionalFormatting>
  <conditionalFormatting sqref="G1226:M1233">
    <cfRule type="expression" dxfId="184" priority="28">
      <formula>MOD(G1226,1)=0</formula>
    </cfRule>
  </conditionalFormatting>
  <conditionalFormatting sqref="F1226:F1233">
    <cfRule type="expression" dxfId="183" priority="27">
      <formula>MOD(F1226,1)=0</formula>
    </cfRule>
  </conditionalFormatting>
  <conditionalFormatting sqref="G1236:M1243">
    <cfRule type="expression" dxfId="182" priority="26">
      <formula>MOD(G1236,1)=0</formula>
    </cfRule>
  </conditionalFormatting>
  <conditionalFormatting sqref="F1236:F1243">
    <cfRule type="expression" dxfId="181" priority="25">
      <formula>MOD(F1236,1)=0</formula>
    </cfRule>
  </conditionalFormatting>
  <conditionalFormatting sqref="G1246:M1253">
    <cfRule type="expression" dxfId="180" priority="24">
      <formula>MOD(G1246,1)=0</formula>
    </cfRule>
  </conditionalFormatting>
  <conditionalFormatting sqref="F1246:F1253">
    <cfRule type="expression" dxfId="179" priority="23">
      <formula>MOD(F1246,1)=0</formula>
    </cfRule>
  </conditionalFormatting>
  <conditionalFormatting sqref="G1256:M1263">
    <cfRule type="expression" dxfId="178" priority="22">
      <formula>MOD(G1256,1)=0</formula>
    </cfRule>
  </conditionalFormatting>
  <conditionalFormatting sqref="F1256:F1263">
    <cfRule type="expression" dxfId="177" priority="21">
      <formula>MOD(F1256,1)=0</formula>
    </cfRule>
  </conditionalFormatting>
  <conditionalFormatting sqref="G1266:M1273">
    <cfRule type="expression" dxfId="176" priority="20">
      <formula>MOD(G1266,1)=0</formula>
    </cfRule>
  </conditionalFormatting>
  <conditionalFormatting sqref="F1266:F1273">
    <cfRule type="expression" dxfId="175" priority="19">
      <formula>MOD(F1266,1)=0</formula>
    </cfRule>
  </conditionalFormatting>
  <conditionalFormatting sqref="G1276:M1283">
    <cfRule type="expression" dxfId="174" priority="18">
      <formula>MOD(G1276,1)=0</formula>
    </cfRule>
  </conditionalFormatting>
  <conditionalFormatting sqref="F1276:F1283">
    <cfRule type="expression" dxfId="173" priority="17">
      <formula>MOD(F1276,1)=0</formula>
    </cfRule>
  </conditionalFormatting>
  <conditionalFormatting sqref="G1286:M1293">
    <cfRule type="expression" dxfId="172" priority="16">
      <formula>MOD(G1286,1)=0</formula>
    </cfRule>
  </conditionalFormatting>
  <conditionalFormatting sqref="F1286:F1293">
    <cfRule type="expression" dxfId="171" priority="15">
      <formula>MOD(F1286,1)=0</formula>
    </cfRule>
  </conditionalFormatting>
  <conditionalFormatting sqref="G1296:M1303">
    <cfRule type="expression" dxfId="170" priority="14">
      <formula>MOD(G1296,1)=0</formula>
    </cfRule>
  </conditionalFormatting>
  <conditionalFormatting sqref="F1296:F1303">
    <cfRule type="expression" dxfId="169" priority="13">
      <formula>MOD(F1296,1)=0</formula>
    </cfRule>
  </conditionalFormatting>
  <conditionalFormatting sqref="G1306:M1313">
    <cfRule type="expression" dxfId="168" priority="12">
      <formula>MOD(G1306,1)=0</formula>
    </cfRule>
  </conditionalFormatting>
  <conditionalFormatting sqref="F1306:F1313">
    <cfRule type="expression" dxfId="167" priority="11">
      <formula>MOD(F1306,1)=0</formula>
    </cfRule>
  </conditionalFormatting>
  <conditionalFormatting sqref="G1316:M1323">
    <cfRule type="expression" dxfId="166" priority="10">
      <formula>MOD(G1316,1)=0</formula>
    </cfRule>
  </conditionalFormatting>
  <conditionalFormatting sqref="F1316:F1323">
    <cfRule type="expression" dxfId="165" priority="9">
      <formula>MOD(F1316,1)=0</formula>
    </cfRule>
  </conditionalFormatting>
  <conditionalFormatting sqref="G1326:M1333">
    <cfRule type="expression" dxfId="164" priority="8">
      <formula>MOD(G1326,1)=0</formula>
    </cfRule>
  </conditionalFormatting>
  <conditionalFormatting sqref="F1326:F1333">
    <cfRule type="expression" dxfId="163" priority="7">
      <formula>MOD(F1326,1)=0</formula>
    </cfRule>
  </conditionalFormatting>
  <conditionalFormatting sqref="G1336:M1343">
    <cfRule type="expression" dxfId="162" priority="6">
      <formula>MOD(G1336,1)=0</formula>
    </cfRule>
  </conditionalFormatting>
  <conditionalFormatting sqref="F1336:F1343">
    <cfRule type="expression" dxfId="161" priority="5">
      <formula>MOD(F1336,1)=0</formula>
    </cfRule>
  </conditionalFormatting>
  <conditionalFormatting sqref="G1346:M1353">
    <cfRule type="expression" dxfId="160" priority="4">
      <formula>MOD(G1346,1)=0</formula>
    </cfRule>
  </conditionalFormatting>
  <conditionalFormatting sqref="F1346:F1353">
    <cfRule type="expression" dxfId="159" priority="3">
      <formula>MOD(F1346,1)=0</formula>
    </cfRule>
  </conditionalFormatting>
  <conditionalFormatting sqref="G1356:M1363">
    <cfRule type="expression" dxfId="158" priority="2">
      <formula>MOD(G1356,1)=0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B3D7-3AAF-4CD8-82E1-68391A42105D}">
  <dimension ref="A1:AQ135"/>
  <sheetViews>
    <sheetView showGridLines="0" tabSelected="1" topLeftCell="J1" zoomScale="70" zoomScaleNormal="70" workbookViewId="0">
      <selection activeCell="AM6" sqref="AM6:AQ34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16384" width="9.21875" style="23"/>
  </cols>
  <sheetData>
    <row r="1" spans="1:43" x14ac:dyDescent="0.3">
      <c r="H1" s="26" t="s">
        <v>4</v>
      </c>
    </row>
    <row r="2" spans="1:43" x14ac:dyDescent="0.3">
      <c r="D2" s="24">
        <f>AM2</f>
        <v>29</v>
      </c>
      <c r="AM2" s="24">
        <v>29</v>
      </c>
    </row>
    <row r="4" spans="1:43" ht="19.2" thickBot="1" x14ac:dyDescent="0.35"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</row>
    <row r="5" spans="1:43" ht="19.2" thickTop="1" x14ac:dyDescent="0.3">
      <c r="B5" s="38"/>
      <c r="C5" s="39">
        <v>0</v>
      </c>
      <c r="D5" s="23">
        <f>C5*$D$2</f>
        <v>0</v>
      </c>
      <c r="F5" s="27"/>
      <c r="G5" s="28"/>
      <c r="H5" s="29"/>
      <c r="I5" s="29"/>
      <c r="J5" s="29"/>
      <c r="K5" s="29"/>
      <c r="L5" s="29"/>
      <c r="M5" s="28"/>
      <c r="N5" s="29"/>
      <c r="O5" s="29"/>
      <c r="P5" s="29"/>
      <c r="Q5" s="28"/>
      <c r="R5" s="29"/>
      <c r="S5" s="28"/>
      <c r="T5" s="29"/>
      <c r="U5" s="46"/>
      <c r="V5" s="29"/>
      <c r="W5" s="28"/>
      <c r="X5" s="29"/>
      <c r="Y5" s="28"/>
      <c r="Z5" s="29"/>
      <c r="AA5" s="29"/>
      <c r="AB5" s="29"/>
      <c r="AC5" s="28"/>
      <c r="AD5" s="29"/>
      <c r="AE5" s="29"/>
      <c r="AF5" s="29"/>
      <c r="AG5" s="29"/>
      <c r="AH5" s="29"/>
      <c r="AI5" s="30"/>
      <c r="AK5" s="77">
        <f>SUM(G5:AI5)</f>
        <v>0</v>
      </c>
    </row>
    <row r="6" spans="1:43" x14ac:dyDescent="0.3">
      <c r="A6" s="23">
        <v>1</v>
      </c>
      <c r="B6" s="40" t="s">
        <v>11</v>
      </c>
      <c r="C6" s="41">
        <v>1</v>
      </c>
      <c r="D6" s="23">
        <f t="shared" ref="D6:D34" si="0">C6*$D$2</f>
        <v>29</v>
      </c>
      <c r="F6" s="31"/>
      <c r="G6" s="32">
        <f t="shared" ref="G6:V20" si="1">IF((MOD(($D6-G$4),30)=0),(($D6-G$4)/30),0)</f>
        <v>0</v>
      </c>
      <c r="H6" s="45">
        <f t="shared" si="1"/>
        <v>0</v>
      </c>
      <c r="I6" s="45">
        <f t="shared" si="1"/>
        <v>0</v>
      </c>
      <c r="J6" s="45">
        <f t="shared" si="1"/>
        <v>0</v>
      </c>
      <c r="K6" s="45">
        <f t="shared" si="1"/>
        <v>0</v>
      </c>
      <c r="L6" s="45">
        <f t="shared" si="1"/>
        <v>0</v>
      </c>
      <c r="M6" s="32">
        <f t="shared" si="1"/>
        <v>0</v>
      </c>
      <c r="N6" s="45">
        <f t="shared" si="1"/>
        <v>0</v>
      </c>
      <c r="O6" s="45">
        <f t="shared" si="1"/>
        <v>0</v>
      </c>
      <c r="P6" s="45">
        <f t="shared" si="1"/>
        <v>0</v>
      </c>
      <c r="Q6" s="32">
        <f t="shared" si="1"/>
        <v>0</v>
      </c>
      <c r="R6" s="45">
        <f t="shared" si="1"/>
        <v>0</v>
      </c>
      <c r="S6" s="32">
        <f>IF((MOD(($D6-S$4),30)=0),(($D6-S$4)/30),0)</f>
        <v>0</v>
      </c>
      <c r="T6" s="45">
        <f t="shared" ref="T6:AH17" si="2">IF((MOD(($D6-T$4),30)=0),(($D6-T$4)/30),0)</f>
        <v>0</v>
      </c>
      <c r="U6" s="45">
        <f t="shared" si="2"/>
        <v>0</v>
      </c>
      <c r="V6" s="45">
        <f t="shared" si="2"/>
        <v>0</v>
      </c>
      <c r="W6" s="32">
        <f t="shared" si="2"/>
        <v>0</v>
      </c>
      <c r="X6" s="45">
        <f t="shared" si="2"/>
        <v>0</v>
      </c>
      <c r="Y6" s="32">
        <f t="shared" si="2"/>
        <v>0</v>
      </c>
      <c r="Z6" s="45">
        <f t="shared" si="2"/>
        <v>0</v>
      </c>
      <c r="AA6" s="45">
        <f t="shared" si="2"/>
        <v>0</v>
      </c>
      <c r="AB6" s="45">
        <f t="shared" si="2"/>
        <v>0</v>
      </c>
      <c r="AC6" s="32">
        <f t="shared" si="2"/>
        <v>0</v>
      </c>
      <c r="AD6" s="45">
        <f t="shared" si="2"/>
        <v>0</v>
      </c>
      <c r="AE6" s="45">
        <f t="shared" si="2"/>
        <v>0</v>
      </c>
      <c r="AF6" s="45">
        <f t="shared" si="2"/>
        <v>0</v>
      </c>
      <c r="AG6" s="45">
        <f t="shared" si="2"/>
        <v>0</v>
      </c>
      <c r="AH6" s="45">
        <f t="shared" si="2"/>
        <v>0</v>
      </c>
      <c r="AI6" s="33">
        <f t="shared" ref="N6:AI17" si="3">($D6-AI$4)/30</f>
        <v>0</v>
      </c>
      <c r="AK6" s="77">
        <f t="shared" ref="AK6:AK34" si="4">SUM(G6:AI6)</f>
        <v>0</v>
      </c>
      <c r="AM6" s="23">
        <f>C6</f>
        <v>1</v>
      </c>
      <c r="AN6" s="23">
        <f>D6</f>
        <v>29</v>
      </c>
      <c r="AO6" s="77">
        <f>AK6</f>
        <v>0</v>
      </c>
      <c r="AP6" s="23" t="str">
        <f>B6</f>
        <v>#P</v>
      </c>
      <c r="AQ6" s="23">
        <f>D2</f>
        <v>29</v>
      </c>
    </row>
    <row r="7" spans="1:43" x14ac:dyDescent="0.3">
      <c r="A7" s="23">
        <v>2</v>
      </c>
      <c r="B7" s="79" t="s">
        <v>17</v>
      </c>
      <c r="C7" s="41">
        <v>2</v>
      </c>
      <c r="D7" s="23">
        <f t="shared" si="0"/>
        <v>58</v>
      </c>
      <c r="F7" s="31"/>
      <c r="G7" s="32">
        <f t="shared" si="1"/>
        <v>0</v>
      </c>
      <c r="H7" s="45">
        <f t="shared" si="1"/>
        <v>0</v>
      </c>
      <c r="I7" s="45">
        <f t="shared" si="1"/>
        <v>0</v>
      </c>
      <c r="J7" s="45">
        <f t="shared" si="1"/>
        <v>0</v>
      </c>
      <c r="K7" s="45">
        <f t="shared" si="1"/>
        <v>0</v>
      </c>
      <c r="L7" s="45">
        <f t="shared" si="1"/>
        <v>0</v>
      </c>
      <c r="M7" s="32">
        <f t="shared" si="1"/>
        <v>0</v>
      </c>
      <c r="N7" s="45">
        <f t="shared" si="1"/>
        <v>0</v>
      </c>
      <c r="O7" s="45">
        <f t="shared" si="1"/>
        <v>0</v>
      </c>
      <c r="P7" s="45">
        <f t="shared" si="1"/>
        <v>0</v>
      </c>
      <c r="Q7" s="32">
        <f t="shared" si="1"/>
        <v>0</v>
      </c>
      <c r="R7" s="45">
        <f t="shared" si="1"/>
        <v>0</v>
      </c>
      <c r="S7" s="32">
        <f t="shared" si="1"/>
        <v>0</v>
      </c>
      <c r="T7" s="45">
        <f t="shared" si="2"/>
        <v>0</v>
      </c>
      <c r="U7" s="45">
        <f t="shared" si="2"/>
        <v>0</v>
      </c>
      <c r="V7" s="45">
        <f t="shared" si="2"/>
        <v>0</v>
      </c>
      <c r="W7" s="32">
        <f t="shared" si="2"/>
        <v>0</v>
      </c>
      <c r="X7" s="45">
        <f t="shared" si="2"/>
        <v>0</v>
      </c>
      <c r="Y7" s="32">
        <f t="shared" si="2"/>
        <v>0</v>
      </c>
      <c r="Z7" s="45">
        <f t="shared" si="2"/>
        <v>0</v>
      </c>
      <c r="AA7" s="45">
        <f t="shared" si="2"/>
        <v>0</v>
      </c>
      <c r="AB7" s="45">
        <f t="shared" si="2"/>
        <v>0</v>
      </c>
      <c r="AC7" s="32">
        <f t="shared" si="2"/>
        <v>0</v>
      </c>
      <c r="AD7" s="45">
        <f t="shared" si="2"/>
        <v>0</v>
      </c>
      <c r="AE7" s="45">
        <f t="shared" si="2"/>
        <v>0</v>
      </c>
      <c r="AF7" s="45">
        <f t="shared" si="2"/>
        <v>0</v>
      </c>
      <c r="AG7" s="45">
        <f t="shared" si="2"/>
        <v>0</v>
      </c>
      <c r="AH7" s="45">
        <f t="shared" si="2"/>
        <v>1</v>
      </c>
      <c r="AI7" s="33">
        <f t="shared" ref="AI7:AI34" si="5">($D7-AI$4)/30</f>
        <v>0.96666666666666667</v>
      </c>
      <c r="AK7" s="77">
        <f t="shared" si="4"/>
        <v>1.9666666666666668</v>
      </c>
      <c r="AM7" s="23">
        <f t="shared" ref="AM7:AM34" si="6">C7</f>
        <v>2</v>
      </c>
      <c r="AN7" s="23">
        <f t="shared" ref="AN7:AN34" si="7">D7</f>
        <v>58</v>
      </c>
      <c r="AO7" s="77">
        <f t="shared" ref="AO7:AO34" si="8">AK7</f>
        <v>1.9666666666666668</v>
      </c>
      <c r="AP7" s="23" t="str">
        <f t="shared" ref="AP7:AP34" si="9">B7</f>
        <v>#</v>
      </c>
      <c r="AQ7" s="23">
        <f>AQ6</f>
        <v>29</v>
      </c>
    </row>
    <row r="8" spans="1:43" x14ac:dyDescent="0.3">
      <c r="A8" s="23">
        <v>3</v>
      </c>
      <c r="B8" s="79" t="s">
        <v>17</v>
      </c>
      <c r="C8" s="41">
        <v>3</v>
      </c>
      <c r="D8" s="23">
        <f t="shared" si="0"/>
        <v>87</v>
      </c>
      <c r="F8" s="31"/>
      <c r="G8" s="32">
        <f t="shared" si="1"/>
        <v>0</v>
      </c>
      <c r="H8" s="45">
        <f t="shared" si="1"/>
        <v>0</v>
      </c>
      <c r="I8" s="45">
        <f t="shared" si="1"/>
        <v>0</v>
      </c>
      <c r="J8" s="45">
        <f t="shared" si="1"/>
        <v>0</v>
      </c>
      <c r="K8" s="45">
        <f t="shared" si="1"/>
        <v>0</v>
      </c>
      <c r="L8" s="45">
        <f t="shared" si="1"/>
        <v>0</v>
      </c>
      <c r="M8" s="32">
        <f t="shared" si="1"/>
        <v>0</v>
      </c>
      <c r="N8" s="45">
        <f t="shared" si="1"/>
        <v>0</v>
      </c>
      <c r="O8" s="45">
        <f t="shared" si="1"/>
        <v>0</v>
      </c>
      <c r="P8" s="45">
        <f t="shared" si="1"/>
        <v>0</v>
      </c>
      <c r="Q8" s="32">
        <f t="shared" si="1"/>
        <v>0</v>
      </c>
      <c r="R8" s="45">
        <f t="shared" si="1"/>
        <v>0</v>
      </c>
      <c r="S8" s="32">
        <f t="shared" si="1"/>
        <v>0</v>
      </c>
      <c r="T8" s="45">
        <f t="shared" si="2"/>
        <v>0</v>
      </c>
      <c r="U8" s="45">
        <f t="shared" si="2"/>
        <v>0</v>
      </c>
      <c r="V8" s="45">
        <f t="shared" si="2"/>
        <v>0</v>
      </c>
      <c r="W8" s="32">
        <f t="shared" si="2"/>
        <v>0</v>
      </c>
      <c r="X8" s="45">
        <f t="shared" si="2"/>
        <v>0</v>
      </c>
      <c r="Y8" s="32">
        <f t="shared" si="2"/>
        <v>0</v>
      </c>
      <c r="Z8" s="45">
        <f t="shared" si="2"/>
        <v>0</v>
      </c>
      <c r="AA8" s="45">
        <f t="shared" si="2"/>
        <v>0</v>
      </c>
      <c r="AB8" s="45">
        <f t="shared" si="2"/>
        <v>0</v>
      </c>
      <c r="AC8" s="32">
        <f t="shared" si="2"/>
        <v>0</v>
      </c>
      <c r="AD8" s="45">
        <f t="shared" si="2"/>
        <v>0</v>
      </c>
      <c r="AE8" s="45">
        <f t="shared" si="2"/>
        <v>0</v>
      </c>
      <c r="AF8" s="45">
        <f t="shared" si="2"/>
        <v>0</v>
      </c>
      <c r="AG8" s="45">
        <f t="shared" si="2"/>
        <v>2</v>
      </c>
      <c r="AH8" s="45">
        <f t="shared" si="2"/>
        <v>0</v>
      </c>
      <c r="AI8" s="33">
        <f t="shared" si="5"/>
        <v>1.9333333333333333</v>
      </c>
      <c r="AK8" s="77">
        <f t="shared" si="4"/>
        <v>3.9333333333333336</v>
      </c>
      <c r="AM8" s="23">
        <f t="shared" si="6"/>
        <v>3</v>
      </c>
      <c r="AN8" s="23">
        <f t="shared" si="7"/>
        <v>87</v>
      </c>
      <c r="AO8" s="77">
        <f t="shared" si="8"/>
        <v>3.9333333333333336</v>
      </c>
      <c r="AP8" s="23" t="str">
        <f t="shared" si="9"/>
        <v>#</v>
      </c>
      <c r="AQ8" s="23">
        <f t="shared" ref="AQ8:AQ34" si="10">AQ7</f>
        <v>29</v>
      </c>
    </row>
    <row r="9" spans="1:43" x14ac:dyDescent="0.3">
      <c r="B9" s="79" t="s">
        <v>17</v>
      </c>
      <c r="C9" s="41">
        <v>4</v>
      </c>
      <c r="D9" s="23">
        <f t="shared" si="0"/>
        <v>116</v>
      </c>
      <c r="F9" s="31"/>
      <c r="G9" s="32">
        <f t="shared" si="1"/>
        <v>0</v>
      </c>
      <c r="H9" s="45">
        <f t="shared" si="1"/>
        <v>0</v>
      </c>
      <c r="I9" s="45">
        <f t="shared" si="1"/>
        <v>0</v>
      </c>
      <c r="J9" s="45">
        <f t="shared" si="1"/>
        <v>0</v>
      </c>
      <c r="K9" s="45">
        <f t="shared" si="1"/>
        <v>0</v>
      </c>
      <c r="L9" s="45">
        <f t="shared" si="1"/>
        <v>0</v>
      </c>
      <c r="M9" s="32">
        <f t="shared" si="1"/>
        <v>0</v>
      </c>
      <c r="N9" s="45">
        <f t="shared" si="1"/>
        <v>0</v>
      </c>
      <c r="O9" s="45">
        <f t="shared" si="1"/>
        <v>0</v>
      </c>
      <c r="P9" s="45">
        <f t="shared" si="1"/>
        <v>0</v>
      </c>
      <c r="Q9" s="32">
        <f t="shared" si="1"/>
        <v>0</v>
      </c>
      <c r="R9" s="45">
        <f t="shared" si="1"/>
        <v>0</v>
      </c>
      <c r="S9" s="32">
        <f t="shared" si="1"/>
        <v>0</v>
      </c>
      <c r="T9" s="45">
        <f t="shared" si="2"/>
        <v>0</v>
      </c>
      <c r="U9" s="45">
        <f t="shared" si="2"/>
        <v>0</v>
      </c>
      <c r="V9" s="45">
        <f t="shared" si="2"/>
        <v>0</v>
      </c>
      <c r="W9" s="32">
        <f t="shared" si="2"/>
        <v>0</v>
      </c>
      <c r="X9" s="45">
        <f t="shared" si="2"/>
        <v>0</v>
      </c>
      <c r="Y9" s="32">
        <f t="shared" si="2"/>
        <v>0</v>
      </c>
      <c r="Z9" s="45">
        <f t="shared" si="2"/>
        <v>0</v>
      </c>
      <c r="AA9" s="45">
        <f t="shared" si="2"/>
        <v>0</v>
      </c>
      <c r="AB9" s="45">
        <f t="shared" si="2"/>
        <v>0</v>
      </c>
      <c r="AC9" s="32">
        <f t="shared" si="2"/>
        <v>0</v>
      </c>
      <c r="AD9" s="45">
        <f t="shared" si="2"/>
        <v>0</v>
      </c>
      <c r="AE9" s="45">
        <f t="shared" si="2"/>
        <v>0</v>
      </c>
      <c r="AF9" s="45">
        <f t="shared" si="2"/>
        <v>3</v>
      </c>
      <c r="AG9" s="45">
        <f t="shared" si="2"/>
        <v>0</v>
      </c>
      <c r="AH9" s="45">
        <f t="shared" si="2"/>
        <v>0</v>
      </c>
      <c r="AI9" s="33">
        <f t="shared" si="5"/>
        <v>2.9</v>
      </c>
      <c r="AK9" s="77">
        <f t="shared" si="4"/>
        <v>5.9</v>
      </c>
      <c r="AM9" s="23">
        <f t="shared" si="6"/>
        <v>4</v>
      </c>
      <c r="AN9" s="23">
        <f t="shared" si="7"/>
        <v>116</v>
      </c>
      <c r="AO9" s="77">
        <f t="shared" si="8"/>
        <v>5.9</v>
      </c>
      <c r="AP9" s="23" t="str">
        <f t="shared" si="9"/>
        <v>#</v>
      </c>
      <c r="AQ9" s="23">
        <f t="shared" si="10"/>
        <v>29</v>
      </c>
    </row>
    <row r="10" spans="1:43" x14ac:dyDescent="0.3">
      <c r="A10" s="23">
        <v>5</v>
      </c>
      <c r="B10" s="79" t="s">
        <v>17</v>
      </c>
      <c r="C10" s="41">
        <v>5</v>
      </c>
      <c r="D10" s="23">
        <f t="shared" si="0"/>
        <v>145</v>
      </c>
      <c r="F10" s="31"/>
      <c r="G10" s="32">
        <f t="shared" si="1"/>
        <v>0</v>
      </c>
      <c r="H10" s="45">
        <f t="shared" si="1"/>
        <v>0</v>
      </c>
      <c r="I10" s="45">
        <f t="shared" si="1"/>
        <v>0</v>
      </c>
      <c r="J10" s="45">
        <f t="shared" si="1"/>
        <v>0</v>
      </c>
      <c r="K10" s="45">
        <f t="shared" si="1"/>
        <v>0</v>
      </c>
      <c r="L10" s="45">
        <f t="shared" si="1"/>
        <v>0</v>
      </c>
      <c r="M10" s="32">
        <f t="shared" si="1"/>
        <v>0</v>
      </c>
      <c r="N10" s="45">
        <f t="shared" si="1"/>
        <v>0</v>
      </c>
      <c r="O10" s="45">
        <f t="shared" si="1"/>
        <v>0</v>
      </c>
      <c r="P10" s="45">
        <f t="shared" si="1"/>
        <v>0</v>
      </c>
      <c r="Q10" s="32">
        <f t="shared" si="1"/>
        <v>0</v>
      </c>
      <c r="R10" s="45">
        <f t="shared" si="1"/>
        <v>0</v>
      </c>
      <c r="S10" s="32">
        <f t="shared" si="1"/>
        <v>0</v>
      </c>
      <c r="T10" s="45">
        <f t="shared" si="2"/>
        <v>0</v>
      </c>
      <c r="U10" s="45">
        <f t="shared" si="2"/>
        <v>0</v>
      </c>
      <c r="V10" s="45">
        <f t="shared" si="2"/>
        <v>0</v>
      </c>
      <c r="W10" s="32">
        <f t="shared" si="2"/>
        <v>0</v>
      </c>
      <c r="X10" s="45">
        <f t="shared" si="2"/>
        <v>0</v>
      </c>
      <c r="Y10" s="32">
        <f t="shared" si="2"/>
        <v>0</v>
      </c>
      <c r="Z10" s="45">
        <f t="shared" si="2"/>
        <v>0</v>
      </c>
      <c r="AA10" s="45">
        <f t="shared" si="2"/>
        <v>0</v>
      </c>
      <c r="AB10" s="45">
        <f t="shared" si="2"/>
        <v>0</v>
      </c>
      <c r="AC10" s="32">
        <f t="shared" si="2"/>
        <v>0</v>
      </c>
      <c r="AD10" s="45">
        <f t="shared" si="2"/>
        <v>0</v>
      </c>
      <c r="AE10" s="45">
        <f t="shared" si="2"/>
        <v>4</v>
      </c>
      <c r="AF10" s="45">
        <f t="shared" si="2"/>
        <v>0</v>
      </c>
      <c r="AG10" s="45">
        <f t="shared" si="2"/>
        <v>0</v>
      </c>
      <c r="AH10" s="45">
        <f t="shared" si="2"/>
        <v>0</v>
      </c>
      <c r="AI10" s="33">
        <f t="shared" si="5"/>
        <v>3.8666666666666667</v>
      </c>
      <c r="AK10" s="77">
        <f t="shared" si="4"/>
        <v>7.8666666666666671</v>
      </c>
      <c r="AM10" s="23">
        <f t="shared" si="6"/>
        <v>5</v>
      </c>
      <c r="AN10" s="23">
        <f t="shared" si="7"/>
        <v>145</v>
      </c>
      <c r="AO10" s="77">
        <f t="shared" si="8"/>
        <v>7.8666666666666671</v>
      </c>
      <c r="AP10" s="23" t="str">
        <f t="shared" si="9"/>
        <v>#</v>
      </c>
      <c r="AQ10" s="23">
        <f t="shared" si="10"/>
        <v>29</v>
      </c>
    </row>
    <row r="11" spans="1:43" x14ac:dyDescent="0.3">
      <c r="B11" s="79" t="s">
        <v>17</v>
      </c>
      <c r="C11" s="41">
        <v>6</v>
      </c>
      <c r="D11" s="23">
        <f t="shared" si="0"/>
        <v>174</v>
      </c>
      <c r="F11" s="31"/>
      <c r="G11" s="32">
        <f t="shared" si="1"/>
        <v>0</v>
      </c>
      <c r="H11" s="45">
        <f t="shared" si="1"/>
        <v>0</v>
      </c>
      <c r="I11" s="45">
        <f t="shared" si="1"/>
        <v>0</v>
      </c>
      <c r="J11" s="45">
        <f t="shared" si="1"/>
        <v>0</v>
      </c>
      <c r="K11" s="45">
        <f t="shared" si="1"/>
        <v>0</v>
      </c>
      <c r="L11" s="45">
        <f t="shared" si="1"/>
        <v>0</v>
      </c>
      <c r="M11" s="32">
        <f t="shared" si="1"/>
        <v>0</v>
      </c>
      <c r="N11" s="45">
        <f t="shared" si="1"/>
        <v>0</v>
      </c>
      <c r="O11" s="45">
        <f t="shared" si="1"/>
        <v>0</v>
      </c>
      <c r="P11" s="45">
        <f t="shared" si="1"/>
        <v>0</v>
      </c>
      <c r="Q11" s="32">
        <f t="shared" si="1"/>
        <v>0</v>
      </c>
      <c r="R11" s="45">
        <f t="shared" si="1"/>
        <v>0</v>
      </c>
      <c r="S11" s="32">
        <f t="shared" si="1"/>
        <v>0</v>
      </c>
      <c r="T11" s="45">
        <f t="shared" si="2"/>
        <v>0</v>
      </c>
      <c r="U11" s="45">
        <f t="shared" si="2"/>
        <v>0</v>
      </c>
      <c r="V11" s="45">
        <f t="shared" si="2"/>
        <v>0</v>
      </c>
      <c r="W11" s="32">
        <f t="shared" si="2"/>
        <v>0</v>
      </c>
      <c r="X11" s="45">
        <f t="shared" si="2"/>
        <v>0</v>
      </c>
      <c r="Y11" s="32">
        <f t="shared" si="2"/>
        <v>0</v>
      </c>
      <c r="Z11" s="45">
        <f t="shared" si="2"/>
        <v>0</v>
      </c>
      <c r="AA11" s="45">
        <f t="shared" si="2"/>
        <v>0</v>
      </c>
      <c r="AB11" s="45">
        <f t="shared" si="2"/>
        <v>0</v>
      </c>
      <c r="AC11" s="32">
        <f t="shared" si="2"/>
        <v>0</v>
      </c>
      <c r="AD11" s="45">
        <f t="shared" si="2"/>
        <v>5</v>
      </c>
      <c r="AE11" s="45">
        <f t="shared" si="2"/>
        <v>0</v>
      </c>
      <c r="AF11" s="45">
        <f t="shared" si="2"/>
        <v>0</v>
      </c>
      <c r="AG11" s="45">
        <f t="shared" si="2"/>
        <v>0</v>
      </c>
      <c r="AH11" s="45">
        <f t="shared" si="2"/>
        <v>0</v>
      </c>
      <c r="AI11" s="33">
        <f t="shared" si="5"/>
        <v>4.833333333333333</v>
      </c>
      <c r="AK11" s="77">
        <f t="shared" si="4"/>
        <v>9.8333333333333321</v>
      </c>
      <c r="AM11" s="23">
        <f t="shared" si="6"/>
        <v>6</v>
      </c>
      <c r="AN11" s="23">
        <f t="shared" si="7"/>
        <v>174</v>
      </c>
      <c r="AO11" s="77">
        <f t="shared" si="8"/>
        <v>9.8333333333333321</v>
      </c>
      <c r="AP11" s="23" t="str">
        <f t="shared" si="9"/>
        <v>#</v>
      </c>
      <c r="AQ11" s="23">
        <f t="shared" si="10"/>
        <v>29</v>
      </c>
    </row>
    <row r="12" spans="1:43" x14ac:dyDescent="0.3">
      <c r="A12" s="23">
        <v>7</v>
      </c>
      <c r="B12" s="40" t="s">
        <v>11</v>
      </c>
      <c r="C12" s="41">
        <v>7</v>
      </c>
      <c r="D12" s="23">
        <f t="shared" si="0"/>
        <v>203</v>
      </c>
      <c r="F12" s="31"/>
      <c r="G12" s="32">
        <f t="shared" si="1"/>
        <v>0</v>
      </c>
      <c r="H12" s="45">
        <f t="shared" si="1"/>
        <v>0</v>
      </c>
      <c r="I12" s="45">
        <f t="shared" si="1"/>
        <v>0</v>
      </c>
      <c r="J12" s="45">
        <f t="shared" si="1"/>
        <v>0</v>
      </c>
      <c r="K12" s="45">
        <f t="shared" si="1"/>
        <v>0</v>
      </c>
      <c r="L12" s="45">
        <f t="shared" si="1"/>
        <v>0</v>
      </c>
      <c r="M12" s="32">
        <f t="shared" si="1"/>
        <v>0</v>
      </c>
      <c r="N12" s="45">
        <f t="shared" si="1"/>
        <v>0</v>
      </c>
      <c r="O12" s="45">
        <f t="shared" si="1"/>
        <v>0</v>
      </c>
      <c r="P12" s="45">
        <f t="shared" si="1"/>
        <v>0</v>
      </c>
      <c r="Q12" s="32">
        <f t="shared" si="1"/>
        <v>0</v>
      </c>
      <c r="R12" s="45">
        <f t="shared" si="1"/>
        <v>0</v>
      </c>
      <c r="S12" s="32">
        <f t="shared" si="1"/>
        <v>0</v>
      </c>
      <c r="T12" s="45">
        <f t="shared" si="2"/>
        <v>0</v>
      </c>
      <c r="U12" s="45">
        <f t="shared" si="2"/>
        <v>0</v>
      </c>
      <c r="V12" s="45">
        <f t="shared" si="2"/>
        <v>0</v>
      </c>
      <c r="W12" s="32">
        <f t="shared" si="2"/>
        <v>0</v>
      </c>
      <c r="X12" s="45">
        <f t="shared" si="2"/>
        <v>0</v>
      </c>
      <c r="Y12" s="32">
        <f t="shared" si="2"/>
        <v>0</v>
      </c>
      <c r="Z12" s="45">
        <f t="shared" si="2"/>
        <v>0</v>
      </c>
      <c r="AA12" s="45">
        <f t="shared" si="2"/>
        <v>0</v>
      </c>
      <c r="AB12" s="45">
        <f t="shared" si="2"/>
        <v>0</v>
      </c>
      <c r="AC12" s="32">
        <f t="shared" si="2"/>
        <v>6</v>
      </c>
      <c r="AD12" s="45">
        <f t="shared" si="2"/>
        <v>0</v>
      </c>
      <c r="AE12" s="45">
        <f t="shared" si="2"/>
        <v>0</v>
      </c>
      <c r="AF12" s="45">
        <f t="shared" si="2"/>
        <v>0</v>
      </c>
      <c r="AG12" s="45">
        <f t="shared" si="2"/>
        <v>0</v>
      </c>
      <c r="AH12" s="45">
        <f t="shared" si="2"/>
        <v>0</v>
      </c>
      <c r="AI12" s="33">
        <f t="shared" si="5"/>
        <v>5.8</v>
      </c>
      <c r="AK12" s="77">
        <f t="shared" si="4"/>
        <v>11.8</v>
      </c>
      <c r="AM12" s="23">
        <f t="shared" si="6"/>
        <v>7</v>
      </c>
      <c r="AN12" s="23">
        <f t="shared" si="7"/>
        <v>203</v>
      </c>
      <c r="AO12" s="77">
        <f t="shared" si="8"/>
        <v>11.8</v>
      </c>
      <c r="AP12" s="23" t="str">
        <f t="shared" si="9"/>
        <v>#P</v>
      </c>
      <c r="AQ12" s="23">
        <f t="shared" si="10"/>
        <v>29</v>
      </c>
    </row>
    <row r="13" spans="1:43" x14ac:dyDescent="0.3">
      <c r="B13" s="79" t="s">
        <v>17</v>
      </c>
      <c r="C13" s="41">
        <v>8</v>
      </c>
      <c r="D13" s="23">
        <f t="shared" si="0"/>
        <v>232</v>
      </c>
      <c r="F13" s="31"/>
      <c r="G13" s="32">
        <f t="shared" si="1"/>
        <v>0</v>
      </c>
      <c r="H13" s="45">
        <f t="shared" si="1"/>
        <v>0</v>
      </c>
      <c r="I13" s="45">
        <f t="shared" si="1"/>
        <v>0</v>
      </c>
      <c r="J13" s="45">
        <f t="shared" si="1"/>
        <v>0</v>
      </c>
      <c r="K13" s="45">
        <f t="shared" si="1"/>
        <v>0</v>
      </c>
      <c r="L13" s="45">
        <f t="shared" si="1"/>
        <v>0</v>
      </c>
      <c r="M13" s="32">
        <f t="shared" si="1"/>
        <v>0</v>
      </c>
      <c r="N13" s="45">
        <f t="shared" si="1"/>
        <v>0</v>
      </c>
      <c r="O13" s="45">
        <f t="shared" si="1"/>
        <v>0</v>
      </c>
      <c r="P13" s="45">
        <f t="shared" si="1"/>
        <v>0</v>
      </c>
      <c r="Q13" s="32">
        <f t="shared" si="1"/>
        <v>0</v>
      </c>
      <c r="R13" s="45">
        <f t="shared" si="1"/>
        <v>0</v>
      </c>
      <c r="S13" s="32">
        <f t="shared" si="1"/>
        <v>0</v>
      </c>
      <c r="T13" s="45">
        <f t="shared" si="2"/>
        <v>0</v>
      </c>
      <c r="U13" s="45">
        <f t="shared" si="2"/>
        <v>0</v>
      </c>
      <c r="V13" s="45">
        <f t="shared" si="2"/>
        <v>0</v>
      </c>
      <c r="W13" s="32">
        <f t="shared" si="2"/>
        <v>0</v>
      </c>
      <c r="X13" s="45">
        <f t="shared" si="2"/>
        <v>0</v>
      </c>
      <c r="Y13" s="32">
        <f t="shared" si="2"/>
        <v>0</v>
      </c>
      <c r="Z13" s="45">
        <f t="shared" si="2"/>
        <v>0</v>
      </c>
      <c r="AA13" s="45">
        <f t="shared" si="2"/>
        <v>0</v>
      </c>
      <c r="AB13" s="45">
        <f t="shared" si="2"/>
        <v>7</v>
      </c>
      <c r="AC13" s="32">
        <f t="shared" si="2"/>
        <v>0</v>
      </c>
      <c r="AD13" s="45">
        <f t="shared" si="2"/>
        <v>0</v>
      </c>
      <c r="AE13" s="45">
        <f t="shared" si="2"/>
        <v>0</v>
      </c>
      <c r="AF13" s="45">
        <f t="shared" si="2"/>
        <v>0</v>
      </c>
      <c r="AG13" s="45">
        <f t="shared" si="2"/>
        <v>0</v>
      </c>
      <c r="AH13" s="45">
        <f t="shared" si="2"/>
        <v>0</v>
      </c>
      <c r="AI13" s="33">
        <f t="shared" si="5"/>
        <v>6.7666666666666666</v>
      </c>
      <c r="AK13" s="77">
        <f t="shared" si="4"/>
        <v>13.766666666666666</v>
      </c>
      <c r="AM13" s="23">
        <f t="shared" si="6"/>
        <v>8</v>
      </c>
      <c r="AN13" s="23">
        <f t="shared" si="7"/>
        <v>232</v>
      </c>
      <c r="AO13" s="77">
        <f t="shared" si="8"/>
        <v>13.766666666666666</v>
      </c>
      <c r="AP13" s="23" t="str">
        <f t="shared" si="9"/>
        <v>#</v>
      </c>
      <c r="AQ13" s="23">
        <f t="shared" si="10"/>
        <v>29</v>
      </c>
    </row>
    <row r="14" spans="1:43" x14ac:dyDescent="0.3">
      <c r="B14" s="79" t="s">
        <v>17</v>
      </c>
      <c r="C14" s="41">
        <v>9</v>
      </c>
      <c r="D14" s="23">
        <f t="shared" si="0"/>
        <v>261</v>
      </c>
      <c r="F14" s="31"/>
      <c r="G14" s="32">
        <f t="shared" si="1"/>
        <v>0</v>
      </c>
      <c r="H14" s="45">
        <f t="shared" si="1"/>
        <v>0</v>
      </c>
      <c r="I14" s="45">
        <f t="shared" si="1"/>
        <v>0</v>
      </c>
      <c r="J14" s="45">
        <f t="shared" si="1"/>
        <v>0</v>
      </c>
      <c r="K14" s="45">
        <f t="shared" si="1"/>
        <v>0</v>
      </c>
      <c r="L14" s="45">
        <f t="shared" si="1"/>
        <v>0</v>
      </c>
      <c r="M14" s="32">
        <f t="shared" si="1"/>
        <v>0</v>
      </c>
      <c r="N14" s="45">
        <f t="shared" si="1"/>
        <v>0</v>
      </c>
      <c r="O14" s="45">
        <f t="shared" si="1"/>
        <v>0</v>
      </c>
      <c r="P14" s="45">
        <f t="shared" si="1"/>
        <v>0</v>
      </c>
      <c r="Q14" s="32">
        <f t="shared" si="1"/>
        <v>0</v>
      </c>
      <c r="R14" s="45">
        <f t="shared" si="1"/>
        <v>0</v>
      </c>
      <c r="S14" s="32">
        <f t="shared" si="1"/>
        <v>0</v>
      </c>
      <c r="T14" s="45">
        <f t="shared" si="2"/>
        <v>0</v>
      </c>
      <c r="U14" s="45">
        <f t="shared" si="2"/>
        <v>0</v>
      </c>
      <c r="V14" s="45">
        <f t="shared" si="2"/>
        <v>0</v>
      </c>
      <c r="W14" s="32">
        <f t="shared" si="2"/>
        <v>0</v>
      </c>
      <c r="X14" s="45">
        <f t="shared" si="2"/>
        <v>0</v>
      </c>
      <c r="Y14" s="32">
        <f t="shared" si="2"/>
        <v>0</v>
      </c>
      <c r="Z14" s="45">
        <f t="shared" si="2"/>
        <v>0</v>
      </c>
      <c r="AA14" s="45">
        <f t="shared" si="2"/>
        <v>8</v>
      </c>
      <c r="AB14" s="45">
        <f t="shared" si="2"/>
        <v>0</v>
      </c>
      <c r="AC14" s="32">
        <f t="shared" si="2"/>
        <v>0</v>
      </c>
      <c r="AD14" s="45">
        <f t="shared" si="2"/>
        <v>0</v>
      </c>
      <c r="AE14" s="45">
        <f t="shared" si="2"/>
        <v>0</v>
      </c>
      <c r="AF14" s="45">
        <f t="shared" si="2"/>
        <v>0</v>
      </c>
      <c r="AG14" s="45">
        <f t="shared" si="2"/>
        <v>0</v>
      </c>
      <c r="AH14" s="45">
        <f t="shared" si="2"/>
        <v>0</v>
      </c>
      <c r="AI14" s="33">
        <f t="shared" si="5"/>
        <v>7.7333333333333334</v>
      </c>
      <c r="AK14" s="77">
        <f t="shared" si="4"/>
        <v>15.733333333333334</v>
      </c>
      <c r="AM14" s="23">
        <f t="shared" si="6"/>
        <v>9</v>
      </c>
      <c r="AN14" s="23">
        <f t="shared" si="7"/>
        <v>261</v>
      </c>
      <c r="AO14" s="77">
        <f t="shared" si="8"/>
        <v>15.733333333333334</v>
      </c>
      <c r="AP14" s="23" t="str">
        <f t="shared" si="9"/>
        <v>#</v>
      </c>
      <c r="AQ14" s="23">
        <f t="shared" si="10"/>
        <v>29</v>
      </c>
    </row>
    <row r="15" spans="1:43" x14ac:dyDescent="0.3">
      <c r="B15" s="79" t="s">
        <v>17</v>
      </c>
      <c r="C15" s="41">
        <v>10</v>
      </c>
      <c r="D15" s="23">
        <f t="shared" si="0"/>
        <v>290</v>
      </c>
      <c r="F15" s="31"/>
      <c r="G15" s="32">
        <f t="shared" si="1"/>
        <v>0</v>
      </c>
      <c r="H15" s="45">
        <f t="shared" si="1"/>
        <v>0</v>
      </c>
      <c r="I15" s="45">
        <f t="shared" si="1"/>
        <v>0</v>
      </c>
      <c r="J15" s="45">
        <f t="shared" si="1"/>
        <v>0</v>
      </c>
      <c r="K15" s="45">
        <f t="shared" si="1"/>
        <v>0</v>
      </c>
      <c r="L15" s="45">
        <f t="shared" si="1"/>
        <v>0</v>
      </c>
      <c r="M15" s="32">
        <f t="shared" si="1"/>
        <v>0</v>
      </c>
      <c r="N15" s="45">
        <f t="shared" si="1"/>
        <v>0</v>
      </c>
      <c r="O15" s="45">
        <f t="shared" si="1"/>
        <v>0</v>
      </c>
      <c r="P15" s="45">
        <f t="shared" si="1"/>
        <v>0</v>
      </c>
      <c r="Q15" s="32">
        <f t="shared" si="1"/>
        <v>0</v>
      </c>
      <c r="R15" s="45">
        <f t="shared" si="1"/>
        <v>0</v>
      </c>
      <c r="S15" s="32">
        <f t="shared" si="1"/>
        <v>0</v>
      </c>
      <c r="T15" s="45">
        <f t="shared" si="2"/>
        <v>0</v>
      </c>
      <c r="U15" s="45">
        <f t="shared" si="2"/>
        <v>0</v>
      </c>
      <c r="V15" s="45">
        <f t="shared" si="2"/>
        <v>0</v>
      </c>
      <c r="W15" s="32">
        <f t="shared" si="2"/>
        <v>0</v>
      </c>
      <c r="X15" s="45">
        <f t="shared" si="2"/>
        <v>0</v>
      </c>
      <c r="Y15" s="32">
        <f t="shared" si="2"/>
        <v>0</v>
      </c>
      <c r="Z15" s="45">
        <f t="shared" si="2"/>
        <v>9</v>
      </c>
      <c r="AA15" s="45">
        <f t="shared" si="2"/>
        <v>0</v>
      </c>
      <c r="AB15" s="45">
        <f t="shared" si="2"/>
        <v>0</v>
      </c>
      <c r="AC15" s="32">
        <f t="shared" si="2"/>
        <v>0</v>
      </c>
      <c r="AD15" s="45">
        <f t="shared" si="2"/>
        <v>0</v>
      </c>
      <c r="AE15" s="45">
        <f t="shared" si="2"/>
        <v>0</v>
      </c>
      <c r="AF15" s="45">
        <f t="shared" si="2"/>
        <v>0</v>
      </c>
      <c r="AG15" s="45">
        <f t="shared" si="2"/>
        <v>0</v>
      </c>
      <c r="AH15" s="45">
        <f t="shared" si="2"/>
        <v>0</v>
      </c>
      <c r="AI15" s="33">
        <f t="shared" si="5"/>
        <v>8.6999999999999993</v>
      </c>
      <c r="AK15" s="77">
        <f t="shared" si="4"/>
        <v>17.7</v>
      </c>
      <c r="AM15" s="23">
        <f t="shared" si="6"/>
        <v>10</v>
      </c>
      <c r="AN15" s="23">
        <f t="shared" si="7"/>
        <v>290</v>
      </c>
      <c r="AO15" s="77">
        <f t="shared" si="8"/>
        <v>17.7</v>
      </c>
      <c r="AP15" s="23" t="str">
        <f t="shared" si="9"/>
        <v>#</v>
      </c>
      <c r="AQ15" s="23">
        <f t="shared" si="10"/>
        <v>29</v>
      </c>
    </row>
    <row r="16" spans="1:43" x14ac:dyDescent="0.3">
      <c r="A16" s="23">
        <v>11</v>
      </c>
      <c r="B16" s="40" t="s">
        <v>11</v>
      </c>
      <c r="C16" s="41">
        <v>11</v>
      </c>
      <c r="D16" s="23">
        <f t="shared" si="0"/>
        <v>319</v>
      </c>
      <c r="F16" s="31"/>
      <c r="G16" s="32">
        <f t="shared" si="1"/>
        <v>0</v>
      </c>
      <c r="H16" s="45">
        <f t="shared" si="1"/>
        <v>0</v>
      </c>
      <c r="I16" s="45">
        <f t="shared" si="1"/>
        <v>0</v>
      </c>
      <c r="J16" s="45">
        <f t="shared" si="1"/>
        <v>0</v>
      </c>
      <c r="K16" s="45">
        <f t="shared" si="1"/>
        <v>0</v>
      </c>
      <c r="L16" s="45">
        <f t="shared" si="1"/>
        <v>0</v>
      </c>
      <c r="M16" s="32">
        <f t="shared" si="1"/>
        <v>0</v>
      </c>
      <c r="N16" s="45">
        <f t="shared" si="1"/>
        <v>0</v>
      </c>
      <c r="O16" s="45">
        <f t="shared" si="1"/>
        <v>0</v>
      </c>
      <c r="P16" s="45">
        <f t="shared" si="1"/>
        <v>0</v>
      </c>
      <c r="Q16" s="32">
        <f t="shared" si="1"/>
        <v>0</v>
      </c>
      <c r="R16" s="45">
        <f t="shared" si="1"/>
        <v>0</v>
      </c>
      <c r="S16" s="32">
        <f t="shared" si="1"/>
        <v>0</v>
      </c>
      <c r="T16" s="45">
        <f t="shared" si="2"/>
        <v>0</v>
      </c>
      <c r="U16" s="45">
        <f t="shared" si="2"/>
        <v>0</v>
      </c>
      <c r="V16" s="45">
        <f t="shared" si="2"/>
        <v>0</v>
      </c>
      <c r="W16" s="32">
        <f t="shared" si="2"/>
        <v>0</v>
      </c>
      <c r="X16" s="45">
        <f t="shared" si="2"/>
        <v>0</v>
      </c>
      <c r="Y16" s="32">
        <f t="shared" si="2"/>
        <v>10</v>
      </c>
      <c r="Z16" s="45">
        <f t="shared" si="2"/>
        <v>0</v>
      </c>
      <c r="AA16" s="45">
        <f t="shared" si="2"/>
        <v>0</v>
      </c>
      <c r="AB16" s="45">
        <f t="shared" si="2"/>
        <v>0</v>
      </c>
      <c r="AC16" s="32">
        <f t="shared" si="2"/>
        <v>0</v>
      </c>
      <c r="AD16" s="45">
        <f t="shared" si="2"/>
        <v>0</v>
      </c>
      <c r="AE16" s="45">
        <f t="shared" si="2"/>
        <v>0</v>
      </c>
      <c r="AF16" s="45">
        <f t="shared" si="2"/>
        <v>0</v>
      </c>
      <c r="AG16" s="45">
        <f t="shared" si="2"/>
        <v>0</v>
      </c>
      <c r="AH16" s="45">
        <f t="shared" si="2"/>
        <v>0</v>
      </c>
      <c r="AI16" s="33">
        <f t="shared" si="5"/>
        <v>9.6666666666666661</v>
      </c>
      <c r="AK16" s="77">
        <f t="shared" si="4"/>
        <v>19.666666666666664</v>
      </c>
      <c r="AM16" s="23">
        <f t="shared" si="6"/>
        <v>11</v>
      </c>
      <c r="AN16" s="23">
        <f t="shared" si="7"/>
        <v>319</v>
      </c>
      <c r="AO16" s="77">
        <f t="shared" si="8"/>
        <v>19.666666666666664</v>
      </c>
      <c r="AP16" s="23" t="str">
        <f t="shared" si="9"/>
        <v>#P</v>
      </c>
      <c r="AQ16" s="23">
        <f t="shared" si="10"/>
        <v>29</v>
      </c>
    </row>
    <row r="17" spans="1:43" x14ac:dyDescent="0.3">
      <c r="B17" s="79" t="s">
        <v>17</v>
      </c>
      <c r="C17" s="41">
        <v>12</v>
      </c>
      <c r="D17" s="23">
        <f t="shared" si="0"/>
        <v>348</v>
      </c>
      <c r="F17" s="31"/>
      <c r="G17" s="32">
        <f t="shared" si="1"/>
        <v>0</v>
      </c>
      <c r="H17" s="45">
        <f t="shared" si="1"/>
        <v>0</v>
      </c>
      <c r="I17" s="45">
        <f t="shared" si="1"/>
        <v>0</v>
      </c>
      <c r="J17" s="45">
        <f t="shared" si="1"/>
        <v>0</v>
      </c>
      <c r="K17" s="45">
        <f t="shared" si="1"/>
        <v>0</v>
      </c>
      <c r="L17" s="45">
        <f t="shared" si="1"/>
        <v>0</v>
      </c>
      <c r="M17" s="32">
        <f t="shared" si="1"/>
        <v>0</v>
      </c>
      <c r="N17" s="45">
        <f t="shared" si="1"/>
        <v>0</v>
      </c>
      <c r="O17" s="45">
        <f t="shared" si="1"/>
        <v>0</v>
      </c>
      <c r="P17" s="45">
        <f t="shared" si="1"/>
        <v>0</v>
      </c>
      <c r="Q17" s="32">
        <f t="shared" si="1"/>
        <v>0</v>
      </c>
      <c r="R17" s="45">
        <f t="shared" si="1"/>
        <v>0</v>
      </c>
      <c r="S17" s="32">
        <f t="shared" si="1"/>
        <v>0</v>
      </c>
      <c r="T17" s="45">
        <f t="shared" si="2"/>
        <v>0</v>
      </c>
      <c r="U17" s="45">
        <f t="shared" si="2"/>
        <v>0</v>
      </c>
      <c r="V17" s="45">
        <f t="shared" si="2"/>
        <v>0</v>
      </c>
      <c r="W17" s="32">
        <f t="shared" si="2"/>
        <v>0</v>
      </c>
      <c r="X17" s="45">
        <f t="shared" si="2"/>
        <v>11</v>
      </c>
      <c r="Y17" s="32">
        <f t="shared" si="2"/>
        <v>0</v>
      </c>
      <c r="Z17" s="45">
        <f t="shared" si="2"/>
        <v>0</v>
      </c>
      <c r="AA17" s="45">
        <f t="shared" si="2"/>
        <v>0</v>
      </c>
      <c r="AB17" s="45">
        <f t="shared" si="2"/>
        <v>0</v>
      </c>
      <c r="AC17" s="32">
        <f t="shared" si="2"/>
        <v>0</v>
      </c>
      <c r="AD17" s="45">
        <f t="shared" si="2"/>
        <v>0</v>
      </c>
      <c r="AE17" s="45">
        <f t="shared" si="2"/>
        <v>0</v>
      </c>
      <c r="AF17" s="45">
        <f t="shared" si="2"/>
        <v>0</v>
      </c>
      <c r="AG17" s="45">
        <f t="shared" si="2"/>
        <v>0</v>
      </c>
      <c r="AH17" s="45">
        <f t="shared" si="2"/>
        <v>0</v>
      </c>
      <c r="AI17" s="33">
        <f t="shared" si="5"/>
        <v>10.633333333333333</v>
      </c>
      <c r="AK17" s="77">
        <f t="shared" si="4"/>
        <v>21.633333333333333</v>
      </c>
      <c r="AM17" s="23">
        <f t="shared" si="6"/>
        <v>12</v>
      </c>
      <c r="AN17" s="23">
        <f t="shared" si="7"/>
        <v>348</v>
      </c>
      <c r="AO17" s="77">
        <f t="shared" si="8"/>
        <v>21.633333333333333</v>
      </c>
      <c r="AP17" s="23" t="str">
        <f t="shared" si="9"/>
        <v>#</v>
      </c>
      <c r="AQ17" s="23">
        <f t="shared" si="10"/>
        <v>29</v>
      </c>
    </row>
    <row r="18" spans="1:43" x14ac:dyDescent="0.3">
      <c r="A18" s="23">
        <v>13</v>
      </c>
      <c r="B18" s="40" t="s">
        <v>11</v>
      </c>
      <c r="C18" s="41">
        <v>13</v>
      </c>
      <c r="D18" s="23">
        <f t="shared" si="0"/>
        <v>377</v>
      </c>
      <c r="F18" s="31"/>
      <c r="G18" s="32">
        <f t="shared" si="1"/>
        <v>0</v>
      </c>
      <c r="H18" s="45">
        <f t="shared" si="1"/>
        <v>0</v>
      </c>
      <c r="I18" s="45">
        <f t="shared" si="1"/>
        <v>0</v>
      </c>
      <c r="J18" s="45">
        <f t="shared" si="1"/>
        <v>0</v>
      </c>
      <c r="K18" s="45">
        <f t="shared" si="1"/>
        <v>0</v>
      </c>
      <c r="L18" s="45">
        <f t="shared" si="1"/>
        <v>0</v>
      </c>
      <c r="M18" s="32">
        <f t="shared" si="1"/>
        <v>0</v>
      </c>
      <c r="N18" s="45">
        <f t="shared" si="1"/>
        <v>0</v>
      </c>
      <c r="O18" s="45">
        <f t="shared" si="1"/>
        <v>0</v>
      </c>
      <c r="P18" s="45">
        <f t="shared" si="1"/>
        <v>0</v>
      </c>
      <c r="Q18" s="32">
        <f t="shared" si="1"/>
        <v>0</v>
      </c>
      <c r="R18" s="45">
        <f t="shared" si="1"/>
        <v>0</v>
      </c>
      <c r="S18" s="32">
        <f t="shared" si="1"/>
        <v>0</v>
      </c>
      <c r="T18" s="45">
        <f t="shared" si="1"/>
        <v>0</v>
      </c>
      <c r="U18" s="45">
        <f t="shared" si="1"/>
        <v>0</v>
      </c>
      <c r="V18" s="45">
        <f t="shared" si="1"/>
        <v>0</v>
      </c>
      <c r="W18" s="32">
        <f t="shared" ref="T18:AH34" si="11">IF((MOD(($D18-W$4),30)=0),(($D18-W$4)/30),0)</f>
        <v>12</v>
      </c>
      <c r="X18" s="45">
        <f t="shared" si="11"/>
        <v>0</v>
      </c>
      <c r="Y18" s="32">
        <f t="shared" si="11"/>
        <v>0</v>
      </c>
      <c r="Z18" s="45">
        <f t="shared" si="11"/>
        <v>0</v>
      </c>
      <c r="AA18" s="45">
        <f t="shared" si="11"/>
        <v>0</v>
      </c>
      <c r="AB18" s="45">
        <f t="shared" si="11"/>
        <v>0</v>
      </c>
      <c r="AC18" s="32">
        <f t="shared" si="11"/>
        <v>0</v>
      </c>
      <c r="AD18" s="45">
        <f t="shared" si="11"/>
        <v>0</v>
      </c>
      <c r="AE18" s="45">
        <f t="shared" si="11"/>
        <v>0</v>
      </c>
      <c r="AF18" s="45">
        <f t="shared" si="11"/>
        <v>0</v>
      </c>
      <c r="AG18" s="45">
        <f t="shared" si="11"/>
        <v>0</v>
      </c>
      <c r="AH18" s="45">
        <f t="shared" si="11"/>
        <v>0</v>
      </c>
      <c r="AI18" s="33">
        <f t="shared" si="5"/>
        <v>11.6</v>
      </c>
      <c r="AK18" s="77">
        <f t="shared" si="4"/>
        <v>23.6</v>
      </c>
      <c r="AM18" s="23">
        <f t="shared" si="6"/>
        <v>13</v>
      </c>
      <c r="AN18" s="23">
        <f t="shared" si="7"/>
        <v>377</v>
      </c>
      <c r="AO18" s="77">
        <f t="shared" si="8"/>
        <v>23.6</v>
      </c>
      <c r="AP18" s="23" t="str">
        <f t="shared" si="9"/>
        <v>#P</v>
      </c>
      <c r="AQ18" s="23">
        <f t="shared" si="10"/>
        <v>29</v>
      </c>
    </row>
    <row r="19" spans="1:43" x14ac:dyDescent="0.3">
      <c r="B19" s="79" t="s">
        <v>17</v>
      </c>
      <c r="C19" s="41">
        <v>14</v>
      </c>
      <c r="D19" s="23">
        <f t="shared" si="0"/>
        <v>406</v>
      </c>
      <c r="F19" s="31"/>
      <c r="G19" s="32">
        <f t="shared" si="1"/>
        <v>0</v>
      </c>
      <c r="H19" s="45">
        <f t="shared" si="1"/>
        <v>0</v>
      </c>
      <c r="I19" s="45">
        <f t="shared" si="1"/>
        <v>0</v>
      </c>
      <c r="J19" s="45">
        <f t="shared" si="1"/>
        <v>0</v>
      </c>
      <c r="K19" s="45">
        <f t="shared" si="1"/>
        <v>0</v>
      </c>
      <c r="L19" s="45">
        <f t="shared" si="1"/>
        <v>0</v>
      </c>
      <c r="M19" s="32">
        <f t="shared" si="1"/>
        <v>0</v>
      </c>
      <c r="N19" s="45">
        <f t="shared" si="1"/>
        <v>0</v>
      </c>
      <c r="O19" s="45">
        <f t="shared" si="1"/>
        <v>0</v>
      </c>
      <c r="P19" s="45">
        <f t="shared" si="1"/>
        <v>0</v>
      </c>
      <c r="Q19" s="32">
        <f t="shared" si="1"/>
        <v>0</v>
      </c>
      <c r="R19" s="45">
        <f t="shared" si="1"/>
        <v>0</v>
      </c>
      <c r="S19" s="32">
        <f t="shared" si="1"/>
        <v>0</v>
      </c>
      <c r="T19" s="45">
        <f t="shared" si="11"/>
        <v>0</v>
      </c>
      <c r="U19" s="45">
        <f t="shared" si="11"/>
        <v>0</v>
      </c>
      <c r="V19" s="45">
        <f t="shared" si="11"/>
        <v>13</v>
      </c>
      <c r="W19" s="32">
        <f t="shared" si="11"/>
        <v>0</v>
      </c>
      <c r="X19" s="45">
        <f t="shared" si="11"/>
        <v>0</v>
      </c>
      <c r="Y19" s="32">
        <f t="shared" si="11"/>
        <v>0</v>
      </c>
      <c r="Z19" s="45">
        <f t="shared" si="11"/>
        <v>0</v>
      </c>
      <c r="AA19" s="45">
        <f t="shared" si="11"/>
        <v>0</v>
      </c>
      <c r="AB19" s="45">
        <f t="shared" si="11"/>
        <v>0</v>
      </c>
      <c r="AC19" s="32">
        <f t="shared" si="11"/>
        <v>0</v>
      </c>
      <c r="AD19" s="45">
        <f t="shared" si="11"/>
        <v>0</v>
      </c>
      <c r="AE19" s="45">
        <f t="shared" si="11"/>
        <v>0</v>
      </c>
      <c r="AF19" s="45">
        <f t="shared" si="11"/>
        <v>0</v>
      </c>
      <c r="AG19" s="45">
        <f t="shared" si="11"/>
        <v>0</v>
      </c>
      <c r="AH19" s="45">
        <f t="shared" si="11"/>
        <v>0</v>
      </c>
      <c r="AI19" s="33">
        <f t="shared" si="5"/>
        <v>12.566666666666666</v>
      </c>
      <c r="AK19" s="77">
        <f t="shared" si="4"/>
        <v>25.566666666666666</v>
      </c>
      <c r="AM19" s="23">
        <f t="shared" si="6"/>
        <v>14</v>
      </c>
      <c r="AN19" s="23">
        <f t="shared" si="7"/>
        <v>406</v>
      </c>
      <c r="AO19" s="77">
        <f t="shared" si="8"/>
        <v>25.566666666666666</v>
      </c>
      <c r="AP19" s="23" t="str">
        <f t="shared" si="9"/>
        <v>#</v>
      </c>
      <c r="AQ19" s="23">
        <f t="shared" si="10"/>
        <v>29</v>
      </c>
    </row>
    <row r="20" spans="1:43" x14ac:dyDescent="0.3">
      <c r="B20" s="79" t="s">
        <v>17</v>
      </c>
      <c r="C20" s="41">
        <v>15</v>
      </c>
      <c r="D20" s="23">
        <f t="shared" si="0"/>
        <v>435</v>
      </c>
      <c r="F20" s="31"/>
      <c r="G20" s="32">
        <f t="shared" si="1"/>
        <v>0</v>
      </c>
      <c r="H20" s="45">
        <f t="shared" si="1"/>
        <v>0</v>
      </c>
      <c r="I20" s="45">
        <f t="shared" si="1"/>
        <v>0</v>
      </c>
      <c r="J20" s="45">
        <f t="shared" si="1"/>
        <v>0</v>
      </c>
      <c r="K20" s="45">
        <f t="shared" si="1"/>
        <v>0</v>
      </c>
      <c r="L20" s="45">
        <f t="shared" si="1"/>
        <v>0</v>
      </c>
      <c r="M20" s="32">
        <f t="shared" ref="G20:S34" si="12">IF((MOD(($D20-M$4),30)=0),(($D20-M$4)/30),0)</f>
        <v>0</v>
      </c>
      <c r="N20" s="45">
        <f t="shared" si="12"/>
        <v>0</v>
      </c>
      <c r="O20" s="45">
        <f t="shared" si="12"/>
        <v>0</v>
      </c>
      <c r="P20" s="45">
        <f t="shared" si="12"/>
        <v>0</v>
      </c>
      <c r="Q20" s="32">
        <f t="shared" si="12"/>
        <v>0</v>
      </c>
      <c r="R20" s="45">
        <f t="shared" si="12"/>
        <v>0</v>
      </c>
      <c r="S20" s="32">
        <f t="shared" si="12"/>
        <v>0</v>
      </c>
      <c r="T20" s="45">
        <f t="shared" si="11"/>
        <v>0</v>
      </c>
      <c r="U20" s="45">
        <f t="shared" si="11"/>
        <v>14</v>
      </c>
      <c r="V20" s="45">
        <f t="shared" si="11"/>
        <v>0</v>
      </c>
      <c r="W20" s="32">
        <f t="shared" si="11"/>
        <v>0</v>
      </c>
      <c r="X20" s="45">
        <f t="shared" si="11"/>
        <v>0</v>
      </c>
      <c r="Y20" s="32">
        <f t="shared" si="11"/>
        <v>0</v>
      </c>
      <c r="Z20" s="45">
        <f t="shared" si="11"/>
        <v>0</v>
      </c>
      <c r="AA20" s="45">
        <f t="shared" si="11"/>
        <v>0</v>
      </c>
      <c r="AB20" s="45">
        <f t="shared" si="11"/>
        <v>0</v>
      </c>
      <c r="AC20" s="32">
        <f t="shared" si="11"/>
        <v>0</v>
      </c>
      <c r="AD20" s="45">
        <f t="shared" si="11"/>
        <v>0</v>
      </c>
      <c r="AE20" s="45">
        <f t="shared" si="11"/>
        <v>0</v>
      </c>
      <c r="AF20" s="45">
        <f t="shared" si="11"/>
        <v>0</v>
      </c>
      <c r="AG20" s="45">
        <f t="shared" si="11"/>
        <v>0</v>
      </c>
      <c r="AH20" s="45">
        <f t="shared" si="11"/>
        <v>0</v>
      </c>
      <c r="AI20" s="33">
        <f t="shared" si="5"/>
        <v>13.533333333333333</v>
      </c>
      <c r="AK20" s="77">
        <f t="shared" si="4"/>
        <v>27.533333333333331</v>
      </c>
      <c r="AM20" s="23">
        <f t="shared" si="6"/>
        <v>15</v>
      </c>
      <c r="AN20" s="23">
        <f t="shared" si="7"/>
        <v>435</v>
      </c>
      <c r="AO20" s="77">
        <f t="shared" si="8"/>
        <v>27.533333333333331</v>
      </c>
      <c r="AP20" s="23" t="str">
        <f t="shared" si="9"/>
        <v>#</v>
      </c>
      <c r="AQ20" s="23">
        <f t="shared" si="10"/>
        <v>29</v>
      </c>
    </row>
    <row r="21" spans="1:43" x14ac:dyDescent="0.3">
      <c r="B21" s="79" t="s">
        <v>17</v>
      </c>
      <c r="C21" s="41">
        <v>16</v>
      </c>
      <c r="D21" s="23">
        <f t="shared" si="0"/>
        <v>464</v>
      </c>
      <c r="F21" s="31"/>
      <c r="G21" s="32">
        <f t="shared" si="12"/>
        <v>0</v>
      </c>
      <c r="H21" s="45">
        <f t="shared" si="12"/>
        <v>0</v>
      </c>
      <c r="I21" s="45">
        <f t="shared" si="12"/>
        <v>0</v>
      </c>
      <c r="J21" s="45">
        <f t="shared" si="12"/>
        <v>0</v>
      </c>
      <c r="K21" s="45">
        <f t="shared" si="12"/>
        <v>0</v>
      </c>
      <c r="L21" s="45">
        <f t="shared" si="12"/>
        <v>0</v>
      </c>
      <c r="M21" s="32">
        <f t="shared" si="12"/>
        <v>0</v>
      </c>
      <c r="N21" s="45">
        <f t="shared" si="12"/>
        <v>0</v>
      </c>
      <c r="O21" s="45">
        <f t="shared" si="12"/>
        <v>0</v>
      </c>
      <c r="P21" s="45">
        <f t="shared" si="12"/>
        <v>0</v>
      </c>
      <c r="Q21" s="32">
        <f t="shared" si="12"/>
        <v>0</v>
      </c>
      <c r="R21" s="45">
        <f t="shared" si="12"/>
        <v>0</v>
      </c>
      <c r="S21" s="32">
        <f t="shared" si="12"/>
        <v>0</v>
      </c>
      <c r="T21" s="45">
        <f t="shared" si="11"/>
        <v>15</v>
      </c>
      <c r="U21" s="45">
        <f t="shared" si="11"/>
        <v>0</v>
      </c>
      <c r="V21" s="45">
        <f t="shared" si="11"/>
        <v>0</v>
      </c>
      <c r="W21" s="32">
        <f t="shared" si="11"/>
        <v>0</v>
      </c>
      <c r="X21" s="45">
        <f t="shared" si="11"/>
        <v>0</v>
      </c>
      <c r="Y21" s="32">
        <f t="shared" si="11"/>
        <v>0</v>
      </c>
      <c r="Z21" s="45">
        <f t="shared" si="11"/>
        <v>0</v>
      </c>
      <c r="AA21" s="45">
        <f t="shared" si="11"/>
        <v>0</v>
      </c>
      <c r="AB21" s="45">
        <f t="shared" si="11"/>
        <v>0</v>
      </c>
      <c r="AC21" s="32">
        <f t="shared" si="11"/>
        <v>0</v>
      </c>
      <c r="AD21" s="45">
        <f t="shared" si="11"/>
        <v>0</v>
      </c>
      <c r="AE21" s="45">
        <f t="shared" si="11"/>
        <v>0</v>
      </c>
      <c r="AF21" s="45">
        <f t="shared" si="11"/>
        <v>0</v>
      </c>
      <c r="AG21" s="45">
        <f t="shared" si="11"/>
        <v>0</v>
      </c>
      <c r="AH21" s="45">
        <f t="shared" si="11"/>
        <v>0</v>
      </c>
      <c r="AI21" s="33">
        <f t="shared" si="5"/>
        <v>14.5</v>
      </c>
      <c r="AK21" s="77">
        <f t="shared" si="4"/>
        <v>29.5</v>
      </c>
      <c r="AM21" s="23">
        <f t="shared" si="6"/>
        <v>16</v>
      </c>
      <c r="AN21" s="23">
        <f t="shared" si="7"/>
        <v>464</v>
      </c>
      <c r="AO21" s="77">
        <f t="shared" si="8"/>
        <v>29.5</v>
      </c>
      <c r="AP21" s="23" t="str">
        <f t="shared" si="9"/>
        <v>#</v>
      </c>
      <c r="AQ21" s="23">
        <f t="shared" si="10"/>
        <v>29</v>
      </c>
    </row>
    <row r="22" spans="1:43" x14ac:dyDescent="0.3">
      <c r="A22" s="23">
        <v>17</v>
      </c>
      <c r="B22" s="40" t="s">
        <v>11</v>
      </c>
      <c r="C22" s="41">
        <v>17</v>
      </c>
      <c r="D22" s="23">
        <f t="shared" si="0"/>
        <v>493</v>
      </c>
      <c r="F22" s="31"/>
      <c r="G22" s="32">
        <f t="shared" si="12"/>
        <v>0</v>
      </c>
      <c r="H22" s="45">
        <f t="shared" si="12"/>
        <v>0</v>
      </c>
      <c r="I22" s="45">
        <f t="shared" si="12"/>
        <v>0</v>
      </c>
      <c r="J22" s="45">
        <f t="shared" si="12"/>
        <v>0</v>
      </c>
      <c r="K22" s="45">
        <f t="shared" si="12"/>
        <v>0</v>
      </c>
      <c r="L22" s="45">
        <f t="shared" si="12"/>
        <v>0</v>
      </c>
      <c r="M22" s="32">
        <f t="shared" si="12"/>
        <v>0</v>
      </c>
      <c r="N22" s="45">
        <f t="shared" si="12"/>
        <v>0</v>
      </c>
      <c r="O22" s="45">
        <f t="shared" si="12"/>
        <v>0</v>
      </c>
      <c r="P22" s="45">
        <f t="shared" si="12"/>
        <v>0</v>
      </c>
      <c r="Q22" s="32">
        <f t="shared" si="12"/>
        <v>0</v>
      </c>
      <c r="R22" s="45">
        <f t="shared" si="12"/>
        <v>0</v>
      </c>
      <c r="S22" s="32">
        <f t="shared" si="12"/>
        <v>16</v>
      </c>
      <c r="T22" s="45">
        <f t="shared" si="11"/>
        <v>0</v>
      </c>
      <c r="U22" s="45">
        <f t="shared" si="11"/>
        <v>0</v>
      </c>
      <c r="V22" s="45">
        <f t="shared" si="11"/>
        <v>0</v>
      </c>
      <c r="W22" s="32">
        <f t="shared" si="11"/>
        <v>0</v>
      </c>
      <c r="X22" s="45">
        <f t="shared" si="11"/>
        <v>0</v>
      </c>
      <c r="Y22" s="32">
        <f t="shared" si="11"/>
        <v>0</v>
      </c>
      <c r="Z22" s="45">
        <f t="shared" si="11"/>
        <v>0</v>
      </c>
      <c r="AA22" s="45">
        <f t="shared" si="11"/>
        <v>0</v>
      </c>
      <c r="AB22" s="45">
        <f t="shared" si="11"/>
        <v>0</v>
      </c>
      <c r="AC22" s="32">
        <f t="shared" si="11"/>
        <v>0</v>
      </c>
      <c r="AD22" s="45">
        <f t="shared" si="11"/>
        <v>0</v>
      </c>
      <c r="AE22" s="45">
        <f t="shared" si="11"/>
        <v>0</v>
      </c>
      <c r="AF22" s="45">
        <f t="shared" si="11"/>
        <v>0</v>
      </c>
      <c r="AG22" s="45">
        <f t="shared" si="11"/>
        <v>0</v>
      </c>
      <c r="AH22" s="45">
        <f t="shared" si="11"/>
        <v>0</v>
      </c>
      <c r="AI22" s="33">
        <f t="shared" si="5"/>
        <v>15.466666666666667</v>
      </c>
      <c r="AK22" s="77">
        <f t="shared" si="4"/>
        <v>31.466666666666669</v>
      </c>
      <c r="AM22" s="23">
        <f t="shared" si="6"/>
        <v>17</v>
      </c>
      <c r="AN22" s="23">
        <f t="shared" si="7"/>
        <v>493</v>
      </c>
      <c r="AO22" s="77">
        <f t="shared" si="8"/>
        <v>31.466666666666669</v>
      </c>
      <c r="AP22" s="23" t="str">
        <f t="shared" si="9"/>
        <v>#P</v>
      </c>
      <c r="AQ22" s="23">
        <f t="shared" si="10"/>
        <v>29</v>
      </c>
    </row>
    <row r="23" spans="1:43" x14ac:dyDescent="0.3">
      <c r="B23" s="79" t="s">
        <v>17</v>
      </c>
      <c r="C23" s="41">
        <v>18</v>
      </c>
      <c r="D23" s="23">
        <f t="shared" si="0"/>
        <v>522</v>
      </c>
      <c r="F23" s="31"/>
      <c r="G23" s="32">
        <f t="shared" si="12"/>
        <v>0</v>
      </c>
      <c r="H23" s="45">
        <f t="shared" si="12"/>
        <v>0</v>
      </c>
      <c r="I23" s="45">
        <f t="shared" si="12"/>
        <v>0</v>
      </c>
      <c r="J23" s="45">
        <f t="shared" si="12"/>
        <v>0</v>
      </c>
      <c r="K23" s="45">
        <f t="shared" si="12"/>
        <v>0</v>
      </c>
      <c r="L23" s="45">
        <f t="shared" si="12"/>
        <v>0</v>
      </c>
      <c r="M23" s="32">
        <f t="shared" si="12"/>
        <v>0</v>
      </c>
      <c r="N23" s="45">
        <f t="shared" si="12"/>
        <v>0</v>
      </c>
      <c r="O23" s="45">
        <f t="shared" si="12"/>
        <v>0</v>
      </c>
      <c r="P23" s="45">
        <f t="shared" si="12"/>
        <v>0</v>
      </c>
      <c r="Q23" s="32">
        <f t="shared" si="12"/>
        <v>0</v>
      </c>
      <c r="R23" s="45">
        <f t="shared" si="12"/>
        <v>17</v>
      </c>
      <c r="S23" s="32">
        <f t="shared" si="12"/>
        <v>0</v>
      </c>
      <c r="T23" s="45">
        <f t="shared" si="11"/>
        <v>0</v>
      </c>
      <c r="U23" s="45">
        <f t="shared" si="11"/>
        <v>0</v>
      </c>
      <c r="V23" s="45">
        <f t="shared" si="11"/>
        <v>0</v>
      </c>
      <c r="W23" s="32">
        <f t="shared" si="11"/>
        <v>0</v>
      </c>
      <c r="X23" s="45">
        <f t="shared" si="11"/>
        <v>0</v>
      </c>
      <c r="Y23" s="32">
        <f t="shared" si="11"/>
        <v>0</v>
      </c>
      <c r="Z23" s="45">
        <f t="shared" si="11"/>
        <v>0</v>
      </c>
      <c r="AA23" s="45">
        <f t="shared" si="11"/>
        <v>0</v>
      </c>
      <c r="AB23" s="45">
        <f t="shared" si="11"/>
        <v>0</v>
      </c>
      <c r="AC23" s="32">
        <f t="shared" si="11"/>
        <v>0</v>
      </c>
      <c r="AD23" s="45">
        <f t="shared" si="11"/>
        <v>0</v>
      </c>
      <c r="AE23" s="45">
        <f t="shared" si="11"/>
        <v>0</v>
      </c>
      <c r="AF23" s="45">
        <f t="shared" si="11"/>
        <v>0</v>
      </c>
      <c r="AG23" s="45">
        <f t="shared" si="11"/>
        <v>0</v>
      </c>
      <c r="AH23" s="45">
        <f t="shared" si="11"/>
        <v>0</v>
      </c>
      <c r="AI23" s="33">
        <f t="shared" si="5"/>
        <v>16.433333333333334</v>
      </c>
      <c r="AK23" s="77">
        <f t="shared" si="4"/>
        <v>33.433333333333337</v>
      </c>
      <c r="AM23" s="23">
        <f t="shared" si="6"/>
        <v>18</v>
      </c>
      <c r="AN23" s="23">
        <f t="shared" si="7"/>
        <v>522</v>
      </c>
      <c r="AO23" s="77">
        <f t="shared" si="8"/>
        <v>33.433333333333337</v>
      </c>
      <c r="AP23" s="23" t="str">
        <f t="shared" si="9"/>
        <v>#</v>
      </c>
      <c r="AQ23" s="23">
        <f t="shared" si="10"/>
        <v>29</v>
      </c>
    </row>
    <row r="24" spans="1:43" x14ac:dyDescent="0.3">
      <c r="A24" s="23">
        <v>19</v>
      </c>
      <c r="B24" s="40" t="s">
        <v>11</v>
      </c>
      <c r="C24" s="41">
        <v>19</v>
      </c>
      <c r="D24" s="23">
        <f t="shared" si="0"/>
        <v>551</v>
      </c>
      <c r="F24" s="31"/>
      <c r="G24" s="32">
        <f t="shared" si="12"/>
        <v>0</v>
      </c>
      <c r="H24" s="45">
        <f t="shared" si="12"/>
        <v>0</v>
      </c>
      <c r="I24" s="45">
        <f t="shared" si="12"/>
        <v>0</v>
      </c>
      <c r="J24" s="45">
        <f t="shared" si="12"/>
        <v>0</v>
      </c>
      <c r="K24" s="45">
        <f t="shared" si="12"/>
        <v>0</v>
      </c>
      <c r="L24" s="45">
        <f t="shared" si="12"/>
        <v>0</v>
      </c>
      <c r="M24" s="32">
        <f t="shared" si="12"/>
        <v>0</v>
      </c>
      <c r="N24" s="45">
        <f t="shared" si="12"/>
        <v>0</v>
      </c>
      <c r="O24" s="45">
        <f t="shared" si="12"/>
        <v>0</v>
      </c>
      <c r="P24" s="45">
        <f t="shared" si="12"/>
        <v>0</v>
      </c>
      <c r="Q24" s="32">
        <f t="shared" si="12"/>
        <v>18</v>
      </c>
      <c r="R24" s="45">
        <f t="shared" si="12"/>
        <v>0</v>
      </c>
      <c r="S24" s="32">
        <f t="shared" si="12"/>
        <v>0</v>
      </c>
      <c r="T24" s="45">
        <f t="shared" si="11"/>
        <v>0</v>
      </c>
      <c r="U24" s="45">
        <f t="shared" si="11"/>
        <v>0</v>
      </c>
      <c r="V24" s="45">
        <f t="shared" si="11"/>
        <v>0</v>
      </c>
      <c r="W24" s="32">
        <f t="shared" si="11"/>
        <v>0</v>
      </c>
      <c r="X24" s="45">
        <f t="shared" si="11"/>
        <v>0</v>
      </c>
      <c r="Y24" s="32">
        <f t="shared" si="11"/>
        <v>0</v>
      </c>
      <c r="Z24" s="45">
        <f t="shared" si="11"/>
        <v>0</v>
      </c>
      <c r="AA24" s="45">
        <f t="shared" si="11"/>
        <v>0</v>
      </c>
      <c r="AB24" s="45">
        <f t="shared" si="11"/>
        <v>0</v>
      </c>
      <c r="AC24" s="32">
        <f t="shared" si="11"/>
        <v>0</v>
      </c>
      <c r="AD24" s="45">
        <f t="shared" si="11"/>
        <v>0</v>
      </c>
      <c r="AE24" s="45">
        <f t="shared" si="11"/>
        <v>0</v>
      </c>
      <c r="AF24" s="45">
        <f t="shared" si="11"/>
        <v>0</v>
      </c>
      <c r="AG24" s="45">
        <f t="shared" si="11"/>
        <v>0</v>
      </c>
      <c r="AH24" s="45">
        <f t="shared" si="11"/>
        <v>0</v>
      </c>
      <c r="AI24" s="33">
        <f t="shared" si="5"/>
        <v>17.399999999999999</v>
      </c>
      <c r="AK24" s="77">
        <f t="shared" si="4"/>
        <v>35.4</v>
      </c>
      <c r="AM24" s="23">
        <f t="shared" si="6"/>
        <v>19</v>
      </c>
      <c r="AN24" s="23">
        <f t="shared" si="7"/>
        <v>551</v>
      </c>
      <c r="AO24" s="77">
        <f t="shared" si="8"/>
        <v>35.4</v>
      </c>
      <c r="AP24" s="23" t="str">
        <f t="shared" si="9"/>
        <v>#P</v>
      </c>
      <c r="AQ24" s="23">
        <f t="shared" si="10"/>
        <v>29</v>
      </c>
    </row>
    <row r="25" spans="1:43" x14ac:dyDescent="0.3">
      <c r="B25" s="79" t="s">
        <v>17</v>
      </c>
      <c r="C25" s="41">
        <v>20</v>
      </c>
      <c r="D25" s="23">
        <f t="shared" si="0"/>
        <v>580</v>
      </c>
      <c r="F25" s="31"/>
      <c r="G25" s="32">
        <f t="shared" si="12"/>
        <v>0</v>
      </c>
      <c r="H25" s="45">
        <f t="shared" si="12"/>
        <v>0</v>
      </c>
      <c r="I25" s="45">
        <f t="shared" si="12"/>
        <v>0</v>
      </c>
      <c r="J25" s="45">
        <f t="shared" si="12"/>
        <v>0</v>
      </c>
      <c r="K25" s="45">
        <f t="shared" si="12"/>
        <v>0</v>
      </c>
      <c r="L25" s="45">
        <f t="shared" si="12"/>
        <v>0</v>
      </c>
      <c r="M25" s="32">
        <f t="shared" si="12"/>
        <v>0</v>
      </c>
      <c r="N25" s="45">
        <f t="shared" si="12"/>
        <v>0</v>
      </c>
      <c r="O25" s="45">
        <f t="shared" si="12"/>
        <v>0</v>
      </c>
      <c r="P25" s="45">
        <f t="shared" si="12"/>
        <v>19</v>
      </c>
      <c r="Q25" s="32">
        <f t="shared" si="12"/>
        <v>0</v>
      </c>
      <c r="R25" s="45">
        <f t="shared" si="12"/>
        <v>0</v>
      </c>
      <c r="S25" s="32">
        <f t="shared" si="12"/>
        <v>0</v>
      </c>
      <c r="T25" s="45">
        <f t="shared" si="11"/>
        <v>0</v>
      </c>
      <c r="U25" s="45">
        <f t="shared" si="11"/>
        <v>0</v>
      </c>
      <c r="V25" s="45">
        <f t="shared" si="11"/>
        <v>0</v>
      </c>
      <c r="W25" s="32">
        <f t="shared" si="11"/>
        <v>0</v>
      </c>
      <c r="X25" s="45">
        <f t="shared" si="11"/>
        <v>0</v>
      </c>
      <c r="Y25" s="32">
        <f t="shared" si="11"/>
        <v>0</v>
      </c>
      <c r="Z25" s="45">
        <f t="shared" si="11"/>
        <v>0</v>
      </c>
      <c r="AA25" s="45">
        <f t="shared" si="11"/>
        <v>0</v>
      </c>
      <c r="AB25" s="45">
        <f t="shared" si="11"/>
        <v>0</v>
      </c>
      <c r="AC25" s="32">
        <f t="shared" si="11"/>
        <v>0</v>
      </c>
      <c r="AD25" s="45">
        <f t="shared" si="11"/>
        <v>0</v>
      </c>
      <c r="AE25" s="45">
        <f t="shared" si="11"/>
        <v>0</v>
      </c>
      <c r="AF25" s="45">
        <f t="shared" si="11"/>
        <v>0</v>
      </c>
      <c r="AG25" s="45">
        <f t="shared" si="11"/>
        <v>0</v>
      </c>
      <c r="AH25" s="45">
        <f t="shared" si="11"/>
        <v>0</v>
      </c>
      <c r="AI25" s="33">
        <f t="shared" si="5"/>
        <v>18.366666666666667</v>
      </c>
      <c r="AK25" s="77">
        <f t="shared" si="4"/>
        <v>37.366666666666667</v>
      </c>
      <c r="AM25" s="23">
        <f t="shared" si="6"/>
        <v>20</v>
      </c>
      <c r="AN25" s="23">
        <f t="shared" si="7"/>
        <v>580</v>
      </c>
      <c r="AO25" s="77">
        <f t="shared" si="8"/>
        <v>37.366666666666667</v>
      </c>
      <c r="AP25" s="23" t="str">
        <f t="shared" si="9"/>
        <v>#</v>
      </c>
      <c r="AQ25" s="23">
        <f t="shared" si="10"/>
        <v>29</v>
      </c>
    </row>
    <row r="26" spans="1:43" x14ac:dyDescent="0.3">
      <c r="B26" s="79" t="s">
        <v>17</v>
      </c>
      <c r="C26" s="41">
        <v>21</v>
      </c>
      <c r="D26" s="23">
        <f t="shared" si="0"/>
        <v>609</v>
      </c>
      <c r="F26" s="31"/>
      <c r="G26" s="32">
        <f t="shared" si="12"/>
        <v>0</v>
      </c>
      <c r="H26" s="45">
        <f t="shared" si="12"/>
        <v>0</v>
      </c>
      <c r="I26" s="45">
        <f t="shared" si="12"/>
        <v>0</v>
      </c>
      <c r="J26" s="45">
        <f t="shared" si="12"/>
        <v>0</v>
      </c>
      <c r="K26" s="45">
        <f t="shared" si="12"/>
        <v>0</v>
      </c>
      <c r="L26" s="45">
        <f t="shared" si="12"/>
        <v>0</v>
      </c>
      <c r="M26" s="32">
        <f t="shared" si="12"/>
        <v>0</v>
      </c>
      <c r="N26" s="45">
        <f t="shared" si="12"/>
        <v>0</v>
      </c>
      <c r="O26" s="45">
        <f t="shared" si="12"/>
        <v>20</v>
      </c>
      <c r="P26" s="45">
        <f t="shared" si="12"/>
        <v>0</v>
      </c>
      <c r="Q26" s="32">
        <f t="shared" si="12"/>
        <v>0</v>
      </c>
      <c r="R26" s="45">
        <f t="shared" si="12"/>
        <v>0</v>
      </c>
      <c r="S26" s="32">
        <f t="shared" si="12"/>
        <v>0</v>
      </c>
      <c r="T26" s="45">
        <f t="shared" si="11"/>
        <v>0</v>
      </c>
      <c r="U26" s="45">
        <f t="shared" si="11"/>
        <v>0</v>
      </c>
      <c r="V26" s="45">
        <f t="shared" si="11"/>
        <v>0</v>
      </c>
      <c r="W26" s="32">
        <f t="shared" si="11"/>
        <v>0</v>
      </c>
      <c r="X26" s="45">
        <f t="shared" si="11"/>
        <v>0</v>
      </c>
      <c r="Y26" s="32">
        <f t="shared" si="11"/>
        <v>0</v>
      </c>
      <c r="Z26" s="45">
        <f t="shared" si="11"/>
        <v>0</v>
      </c>
      <c r="AA26" s="45">
        <f t="shared" si="11"/>
        <v>0</v>
      </c>
      <c r="AB26" s="45">
        <f t="shared" si="11"/>
        <v>0</v>
      </c>
      <c r="AC26" s="32">
        <f t="shared" si="11"/>
        <v>0</v>
      </c>
      <c r="AD26" s="45">
        <f t="shared" si="11"/>
        <v>0</v>
      </c>
      <c r="AE26" s="45">
        <f t="shared" si="11"/>
        <v>0</v>
      </c>
      <c r="AF26" s="45">
        <f t="shared" si="11"/>
        <v>0</v>
      </c>
      <c r="AG26" s="45">
        <f t="shared" si="11"/>
        <v>0</v>
      </c>
      <c r="AH26" s="45">
        <f t="shared" si="11"/>
        <v>0</v>
      </c>
      <c r="AI26" s="33">
        <f t="shared" si="5"/>
        <v>19.333333333333332</v>
      </c>
      <c r="AK26" s="77">
        <f t="shared" si="4"/>
        <v>39.333333333333329</v>
      </c>
      <c r="AM26" s="23">
        <f t="shared" si="6"/>
        <v>21</v>
      </c>
      <c r="AN26" s="23">
        <f t="shared" si="7"/>
        <v>609</v>
      </c>
      <c r="AO26" s="77">
        <f t="shared" si="8"/>
        <v>39.333333333333329</v>
      </c>
      <c r="AP26" s="23" t="str">
        <f t="shared" si="9"/>
        <v>#</v>
      </c>
      <c r="AQ26" s="23">
        <f t="shared" si="10"/>
        <v>29</v>
      </c>
    </row>
    <row r="27" spans="1:43" x14ac:dyDescent="0.3">
      <c r="B27" s="79" t="s">
        <v>17</v>
      </c>
      <c r="C27" s="41">
        <v>22</v>
      </c>
      <c r="D27" s="23">
        <f t="shared" si="0"/>
        <v>638</v>
      </c>
      <c r="F27" s="31"/>
      <c r="G27" s="32">
        <f t="shared" si="12"/>
        <v>0</v>
      </c>
      <c r="H27" s="45">
        <f t="shared" si="12"/>
        <v>0</v>
      </c>
      <c r="I27" s="45">
        <f t="shared" si="12"/>
        <v>0</v>
      </c>
      <c r="J27" s="45">
        <f t="shared" si="12"/>
        <v>0</v>
      </c>
      <c r="K27" s="45">
        <f t="shared" si="12"/>
        <v>0</v>
      </c>
      <c r="L27" s="45">
        <f t="shared" si="12"/>
        <v>0</v>
      </c>
      <c r="M27" s="32">
        <f t="shared" si="12"/>
        <v>0</v>
      </c>
      <c r="N27" s="45">
        <f t="shared" si="12"/>
        <v>21</v>
      </c>
      <c r="O27" s="45">
        <f t="shared" si="12"/>
        <v>0</v>
      </c>
      <c r="P27" s="45">
        <f t="shared" si="12"/>
        <v>0</v>
      </c>
      <c r="Q27" s="32">
        <f t="shared" si="12"/>
        <v>0</v>
      </c>
      <c r="R27" s="45">
        <f t="shared" si="12"/>
        <v>0</v>
      </c>
      <c r="S27" s="32">
        <f t="shared" si="12"/>
        <v>0</v>
      </c>
      <c r="T27" s="45">
        <f t="shared" si="11"/>
        <v>0</v>
      </c>
      <c r="U27" s="45">
        <f t="shared" si="11"/>
        <v>0</v>
      </c>
      <c r="V27" s="45">
        <f t="shared" si="11"/>
        <v>0</v>
      </c>
      <c r="W27" s="32">
        <f t="shared" si="11"/>
        <v>0</v>
      </c>
      <c r="X27" s="45">
        <f t="shared" si="11"/>
        <v>0</v>
      </c>
      <c r="Y27" s="32">
        <f t="shared" si="11"/>
        <v>0</v>
      </c>
      <c r="Z27" s="45">
        <f t="shared" si="11"/>
        <v>0</v>
      </c>
      <c r="AA27" s="45">
        <f t="shared" si="11"/>
        <v>0</v>
      </c>
      <c r="AB27" s="45">
        <f t="shared" si="11"/>
        <v>0</v>
      </c>
      <c r="AC27" s="32">
        <f t="shared" si="11"/>
        <v>0</v>
      </c>
      <c r="AD27" s="45">
        <f t="shared" si="11"/>
        <v>0</v>
      </c>
      <c r="AE27" s="45">
        <f t="shared" si="11"/>
        <v>0</v>
      </c>
      <c r="AF27" s="45">
        <f t="shared" si="11"/>
        <v>0</v>
      </c>
      <c r="AG27" s="45">
        <f t="shared" si="11"/>
        <v>0</v>
      </c>
      <c r="AH27" s="45">
        <f t="shared" si="11"/>
        <v>0</v>
      </c>
      <c r="AI27" s="33">
        <f t="shared" si="5"/>
        <v>20.3</v>
      </c>
      <c r="AK27" s="77">
        <f t="shared" si="4"/>
        <v>41.3</v>
      </c>
      <c r="AM27" s="23">
        <f t="shared" si="6"/>
        <v>22</v>
      </c>
      <c r="AN27" s="23">
        <f t="shared" si="7"/>
        <v>638</v>
      </c>
      <c r="AO27" s="77">
        <f t="shared" si="8"/>
        <v>41.3</v>
      </c>
      <c r="AP27" s="23" t="str">
        <f t="shared" si="9"/>
        <v>#</v>
      </c>
      <c r="AQ27" s="23">
        <f t="shared" si="10"/>
        <v>29</v>
      </c>
    </row>
    <row r="28" spans="1:43" x14ac:dyDescent="0.3">
      <c r="A28" s="23">
        <v>23</v>
      </c>
      <c r="B28" s="40" t="s">
        <v>11</v>
      </c>
      <c r="C28" s="41">
        <v>23</v>
      </c>
      <c r="D28" s="23">
        <f t="shared" si="0"/>
        <v>667</v>
      </c>
      <c r="F28" s="31"/>
      <c r="G28" s="32">
        <f t="shared" si="12"/>
        <v>0</v>
      </c>
      <c r="H28" s="45">
        <f t="shared" si="12"/>
        <v>0</v>
      </c>
      <c r="I28" s="45">
        <f t="shared" si="12"/>
        <v>0</v>
      </c>
      <c r="J28" s="45">
        <f t="shared" si="12"/>
        <v>0</v>
      </c>
      <c r="K28" s="45">
        <f t="shared" si="12"/>
        <v>0</v>
      </c>
      <c r="L28" s="45">
        <f t="shared" si="12"/>
        <v>0</v>
      </c>
      <c r="M28" s="32">
        <f t="shared" si="12"/>
        <v>22</v>
      </c>
      <c r="N28" s="45">
        <f t="shared" si="12"/>
        <v>0</v>
      </c>
      <c r="O28" s="45">
        <f t="shared" si="12"/>
        <v>0</v>
      </c>
      <c r="P28" s="45">
        <f t="shared" si="12"/>
        <v>0</v>
      </c>
      <c r="Q28" s="32">
        <f t="shared" si="12"/>
        <v>0</v>
      </c>
      <c r="R28" s="45">
        <f t="shared" si="12"/>
        <v>0</v>
      </c>
      <c r="S28" s="32">
        <f t="shared" si="12"/>
        <v>0</v>
      </c>
      <c r="T28" s="45">
        <f t="shared" si="11"/>
        <v>0</v>
      </c>
      <c r="U28" s="45">
        <f t="shared" si="11"/>
        <v>0</v>
      </c>
      <c r="V28" s="45">
        <f t="shared" si="11"/>
        <v>0</v>
      </c>
      <c r="W28" s="32">
        <f t="shared" si="11"/>
        <v>0</v>
      </c>
      <c r="X28" s="45">
        <f t="shared" si="11"/>
        <v>0</v>
      </c>
      <c r="Y28" s="32">
        <f t="shared" si="11"/>
        <v>0</v>
      </c>
      <c r="Z28" s="45">
        <f t="shared" si="11"/>
        <v>0</v>
      </c>
      <c r="AA28" s="45">
        <f t="shared" si="11"/>
        <v>0</v>
      </c>
      <c r="AB28" s="45">
        <f t="shared" si="11"/>
        <v>0</v>
      </c>
      <c r="AC28" s="32">
        <f t="shared" si="11"/>
        <v>0</v>
      </c>
      <c r="AD28" s="45">
        <f t="shared" si="11"/>
        <v>0</v>
      </c>
      <c r="AE28" s="45">
        <f t="shared" si="11"/>
        <v>0</v>
      </c>
      <c r="AF28" s="45">
        <f t="shared" si="11"/>
        <v>0</v>
      </c>
      <c r="AG28" s="45">
        <f t="shared" si="11"/>
        <v>0</v>
      </c>
      <c r="AH28" s="45">
        <f t="shared" si="11"/>
        <v>0</v>
      </c>
      <c r="AI28" s="33">
        <f t="shared" si="5"/>
        <v>21.266666666666666</v>
      </c>
      <c r="AK28" s="77">
        <f t="shared" si="4"/>
        <v>43.266666666666666</v>
      </c>
      <c r="AM28" s="23">
        <f t="shared" si="6"/>
        <v>23</v>
      </c>
      <c r="AN28" s="23">
        <f t="shared" si="7"/>
        <v>667</v>
      </c>
      <c r="AO28" s="77">
        <f t="shared" si="8"/>
        <v>43.266666666666666</v>
      </c>
      <c r="AP28" s="23" t="str">
        <f t="shared" si="9"/>
        <v>#P</v>
      </c>
      <c r="AQ28" s="23">
        <f t="shared" si="10"/>
        <v>29</v>
      </c>
    </row>
    <row r="29" spans="1:43" x14ac:dyDescent="0.3">
      <c r="B29" s="79" t="s">
        <v>17</v>
      </c>
      <c r="C29" s="41">
        <v>24</v>
      </c>
      <c r="D29" s="23">
        <f t="shared" si="0"/>
        <v>696</v>
      </c>
      <c r="F29" s="31"/>
      <c r="G29" s="32">
        <f t="shared" si="12"/>
        <v>0</v>
      </c>
      <c r="H29" s="45">
        <f t="shared" si="12"/>
        <v>0</v>
      </c>
      <c r="I29" s="45">
        <f t="shared" si="12"/>
        <v>0</v>
      </c>
      <c r="J29" s="45">
        <f t="shared" si="12"/>
        <v>0</v>
      </c>
      <c r="K29" s="45">
        <f t="shared" si="12"/>
        <v>0</v>
      </c>
      <c r="L29" s="45">
        <f t="shared" si="12"/>
        <v>23</v>
      </c>
      <c r="M29" s="32">
        <f t="shared" si="12"/>
        <v>0</v>
      </c>
      <c r="N29" s="45">
        <f t="shared" si="12"/>
        <v>0</v>
      </c>
      <c r="O29" s="45">
        <f t="shared" si="12"/>
        <v>0</v>
      </c>
      <c r="P29" s="45">
        <f t="shared" si="12"/>
        <v>0</v>
      </c>
      <c r="Q29" s="32">
        <f t="shared" si="12"/>
        <v>0</v>
      </c>
      <c r="R29" s="45">
        <f t="shared" si="12"/>
        <v>0</v>
      </c>
      <c r="S29" s="32">
        <f t="shared" si="12"/>
        <v>0</v>
      </c>
      <c r="T29" s="45">
        <f t="shared" si="11"/>
        <v>0</v>
      </c>
      <c r="U29" s="45">
        <f t="shared" si="11"/>
        <v>0</v>
      </c>
      <c r="V29" s="45">
        <f t="shared" si="11"/>
        <v>0</v>
      </c>
      <c r="W29" s="32">
        <f t="shared" si="11"/>
        <v>0</v>
      </c>
      <c r="X29" s="45">
        <f t="shared" si="11"/>
        <v>0</v>
      </c>
      <c r="Y29" s="32">
        <f t="shared" si="11"/>
        <v>0</v>
      </c>
      <c r="Z29" s="45">
        <f t="shared" si="11"/>
        <v>0</v>
      </c>
      <c r="AA29" s="45">
        <f t="shared" si="11"/>
        <v>0</v>
      </c>
      <c r="AB29" s="45">
        <f t="shared" si="11"/>
        <v>0</v>
      </c>
      <c r="AC29" s="32">
        <f t="shared" si="11"/>
        <v>0</v>
      </c>
      <c r="AD29" s="45">
        <f t="shared" si="11"/>
        <v>0</v>
      </c>
      <c r="AE29" s="45">
        <f t="shared" si="11"/>
        <v>0</v>
      </c>
      <c r="AF29" s="45">
        <f t="shared" si="11"/>
        <v>0</v>
      </c>
      <c r="AG29" s="45">
        <f t="shared" si="11"/>
        <v>0</v>
      </c>
      <c r="AH29" s="45">
        <f t="shared" si="11"/>
        <v>0</v>
      </c>
      <c r="AI29" s="33">
        <f t="shared" si="5"/>
        <v>22.233333333333334</v>
      </c>
      <c r="AK29" s="77">
        <f t="shared" si="4"/>
        <v>45.233333333333334</v>
      </c>
      <c r="AM29" s="23">
        <f t="shared" si="6"/>
        <v>24</v>
      </c>
      <c r="AN29" s="23">
        <f t="shared" si="7"/>
        <v>696</v>
      </c>
      <c r="AO29" s="77">
        <f t="shared" si="8"/>
        <v>45.233333333333334</v>
      </c>
      <c r="AP29" s="23" t="str">
        <f t="shared" si="9"/>
        <v>#</v>
      </c>
      <c r="AQ29" s="23">
        <f t="shared" si="10"/>
        <v>29</v>
      </c>
    </row>
    <row r="30" spans="1:43" x14ac:dyDescent="0.3">
      <c r="B30" s="79" t="s">
        <v>17</v>
      </c>
      <c r="C30" s="41">
        <v>25</v>
      </c>
      <c r="D30" s="23">
        <f t="shared" si="0"/>
        <v>725</v>
      </c>
      <c r="F30" s="31"/>
      <c r="G30" s="32">
        <f t="shared" si="12"/>
        <v>0</v>
      </c>
      <c r="H30" s="45">
        <f t="shared" si="12"/>
        <v>0</v>
      </c>
      <c r="I30" s="45">
        <f t="shared" si="12"/>
        <v>0</v>
      </c>
      <c r="J30" s="45">
        <f t="shared" si="12"/>
        <v>0</v>
      </c>
      <c r="K30" s="45">
        <f t="shared" si="12"/>
        <v>24</v>
      </c>
      <c r="L30" s="45">
        <f t="shared" si="12"/>
        <v>0</v>
      </c>
      <c r="M30" s="32">
        <f t="shared" si="12"/>
        <v>0</v>
      </c>
      <c r="N30" s="45">
        <f t="shared" si="12"/>
        <v>0</v>
      </c>
      <c r="O30" s="45">
        <f t="shared" si="12"/>
        <v>0</v>
      </c>
      <c r="P30" s="45">
        <f t="shared" si="12"/>
        <v>0</v>
      </c>
      <c r="Q30" s="32">
        <f t="shared" si="12"/>
        <v>0</v>
      </c>
      <c r="R30" s="45">
        <f t="shared" si="12"/>
        <v>0</v>
      </c>
      <c r="S30" s="32">
        <f t="shared" si="12"/>
        <v>0</v>
      </c>
      <c r="T30" s="45">
        <f t="shared" si="11"/>
        <v>0</v>
      </c>
      <c r="U30" s="45">
        <f t="shared" si="11"/>
        <v>0</v>
      </c>
      <c r="V30" s="45">
        <f t="shared" si="11"/>
        <v>0</v>
      </c>
      <c r="W30" s="32">
        <f t="shared" si="11"/>
        <v>0</v>
      </c>
      <c r="X30" s="45">
        <f t="shared" si="11"/>
        <v>0</v>
      </c>
      <c r="Y30" s="32">
        <f t="shared" si="11"/>
        <v>0</v>
      </c>
      <c r="Z30" s="45">
        <f t="shared" si="11"/>
        <v>0</v>
      </c>
      <c r="AA30" s="45">
        <f t="shared" si="11"/>
        <v>0</v>
      </c>
      <c r="AB30" s="45">
        <f t="shared" si="11"/>
        <v>0</v>
      </c>
      <c r="AC30" s="32">
        <f t="shared" si="11"/>
        <v>0</v>
      </c>
      <c r="AD30" s="45">
        <f t="shared" si="11"/>
        <v>0</v>
      </c>
      <c r="AE30" s="45">
        <f t="shared" si="11"/>
        <v>0</v>
      </c>
      <c r="AF30" s="45">
        <f t="shared" si="11"/>
        <v>0</v>
      </c>
      <c r="AG30" s="45">
        <f t="shared" si="11"/>
        <v>0</v>
      </c>
      <c r="AH30" s="45">
        <f t="shared" si="11"/>
        <v>0</v>
      </c>
      <c r="AI30" s="33">
        <f t="shared" si="5"/>
        <v>23.2</v>
      </c>
      <c r="AK30" s="77">
        <f t="shared" si="4"/>
        <v>47.2</v>
      </c>
      <c r="AM30" s="23">
        <f t="shared" si="6"/>
        <v>25</v>
      </c>
      <c r="AN30" s="23">
        <f t="shared" si="7"/>
        <v>725</v>
      </c>
      <c r="AO30" s="77">
        <f t="shared" si="8"/>
        <v>47.2</v>
      </c>
      <c r="AP30" s="23" t="str">
        <f t="shared" si="9"/>
        <v>#</v>
      </c>
      <c r="AQ30" s="23">
        <f t="shared" si="10"/>
        <v>29</v>
      </c>
    </row>
    <row r="31" spans="1:43" x14ac:dyDescent="0.3">
      <c r="B31" s="79" t="s">
        <v>17</v>
      </c>
      <c r="C31" s="41">
        <v>26</v>
      </c>
      <c r="D31" s="23">
        <f t="shared" si="0"/>
        <v>754</v>
      </c>
      <c r="F31" s="31"/>
      <c r="G31" s="32">
        <f t="shared" si="12"/>
        <v>0</v>
      </c>
      <c r="H31" s="45">
        <f t="shared" si="12"/>
        <v>0</v>
      </c>
      <c r="I31" s="45">
        <f t="shared" si="12"/>
        <v>0</v>
      </c>
      <c r="J31" s="45">
        <f t="shared" si="12"/>
        <v>25</v>
      </c>
      <c r="K31" s="45">
        <f t="shared" si="12"/>
        <v>0</v>
      </c>
      <c r="L31" s="45">
        <f t="shared" si="12"/>
        <v>0</v>
      </c>
      <c r="M31" s="32">
        <f t="shared" si="12"/>
        <v>0</v>
      </c>
      <c r="N31" s="45">
        <f t="shared" si="12"/>
        <v>0</v>
      </c>
      <c r="O31" s="45">
        <f t="shared" si="12"/>
        <v>0</v>
      </c>
      <c r="P31" s="45">
        <f t="shared" si="12"/>
        <v>0</v>
      </c>
      <c r="Q31" s="32">
        <f t="shared" si="12"/>
        <v>0</v>
      </c>
      <c r="R31" s="45">
        <f t="shared" si="12"/>
        <v>0</v>
      </c>
      <c r="S31" s="32">
        <f t="shared" si="12"/>
        <v>0</v>
      </c>
      <c r="T31" s="45">
        <f t="shared" si="11"/>
        <v>0</v>
      </c>
      <c r="U31" s="45">
        <f t="shared" si="11"/>
        <v>0</v>
      </c>
      <c r="V31" s="45">
        <f t="shared" si="11"/>
        <v>0</v>
      </c>
      <c r="W31" s="32">
        <f t="shared" si="11"/>
        <v>0</v>
      </c>
      <c r="X31" s="45">
        <f t="shared" si="11"/>
        <v>0</v>
      </c>
      <c r="Y31" s="32">
        <f t="shared" si="11"/>
        <v>0</v>
      </c>
      <c r="Z31" s="45">
        <f t="shared" si="11"/>
        <v>0</v>
      </c>
      <c r="AA31" s="45">
        <f t="shared" si="11"/>
        <v>0</v>
      </c>
      <c r="AB31" s="45">
        <f t="shared" si="11"/>
        <v>0</v>
      </c>
      <c r="AC31" s="32">
        <f t="shared" si="11"/>
        <v>0</v>
      </c>
      <c r="AD31" s="45">
        <f t="shared" si="11"/>
        <v>0</v>
      </c>
      <c r="AE31" s="45">
        <f t="shared" si="11"/>
        <v>0</v>
      </c>
      <c r="AF31" s="45">
        <f t="shared" si="11"/>
        <v>0</v>
      </c>
      <c r="AG31" s="45">
        <f t="shared" si="11"/>
        <v>0</v>
      </c>
      <c r="AH31" s="45">
        <f t="shared" si="11"/>
        <v>0</v>
      </c>
      <c r="AI31" s="33">
        <f t="shared" si="5"/>
        <v>24.166666666666668</v>
      </c>
      <c r="AK31" s="77">
        <f t="shared" si="4"/>
        <v>49.166666666666671</v>
      </c>
      <c r="AM31" s="23">
        <f t="shared" si="6"/>
        <v>26</v>
      </c>
      <c r="AN31" s="23">
        <f t="shared" si="7"/>
        <v>754</v>
      </c>
      <c r="AO31" s="77">
        <f t="shared" si="8"/>
        <v>49.166666666666671</v>
      </c>
      <c r="AP31" s="23" t="str">
        <f t="shared" si="9"/>
        <v>#</v>
      </c>
      <c r="AQ31" s="23">
        <f t="shared" si="10"/>
        <v>29</v>
      </c>
    </row>
    <row r="32" spans="1:43" x14ac:dyDescent="0.3">
      <c r="B32" s="79" t="s">
        <v>17</v>
      </c>
      <c r="C32" s="41">
        <v>27</v>
      </c>
      <c r="D32" s="23">
        <f t="shared" si="0"/>
        <v>783</v>
      </c>
      <c r="F32" s="31"/>
      <c r="G32" s="32">
        <f t="shared" si="12"/>
        <v>0</v>
      </c>
      <c r="H32" s="45">
        <f t="shared" si="12"/>
        <v>0</v>
      </c>
      <c r="I32" s="45">
        <f t="shared" si="12"/>
        <v>26</v>
      </c>
      <c r="J32" s="45">
        <f t="shared" si="12"/>
        <v>0</v>
      </c>
      <c r="K32" s="45">
        <f t="shared" si="12"/>
        <v>0</v>
      </c>
      <c r="L32" s="45">
        <f t="shared" si="12"/>
        <v>0</v>
      </c>
      <c r="M32" s="32">
        <f t="shared" si="12"/>
        <v>0</v>
      </c>
      <c r="N32" s="45">
        <f t="shared" si="12"/>
        <v>0</v>
      </c>
      <c r="O32" s="45">
        <f t="shared" si="12"/>
        <v>0</v>
      </c>
      <c r="P32" s="45">
        <f t="shared" si="12"/>
        <v>0</v>
      </c>
      <c r="Q32" s="32">
        <f t="shared" si="12"/>
        <v>0</v>
      </c>
      <c r="R32" s="45">
        <f t="shared" si="12"/>
        <v>0</v>
      </c>
      <c r="S32" s="32">
        <f t="shared" si="12"/>
        <v>0</v>
      </c>
      <c r="T32" s="45">
        <f t="shared" si="11"/>
        <v>0</v>
      </c>
      <c r="U32" s="45">
        <f t="shared" si="11"/>
        <v>0</v>
      </c>
      <c r="V32" s="45">
        <f t="shared" si="11"/>
        <v>0</v>
      </c>
      <c r="W32" s="32">
        <f t="shared" si="11"/>
        <v>0</v>
      </c>
      <c r="X32" s="45">
        <f t="shared" si="11"/>
        <v>0</v>
      </c>
      <c r="Y32" s="32">
        <f t="shared" si="11"/>
        <v>0</v>
      </c>
      <c r="Z32" s="45">
        <f t="shared" si="11"/>
        <v>0</v>
      </c>
      <c r="AA32" s="45">
        <f t="shared" si="11"/>
        <v>0</v>
      </c>
      <c r="AB32" s="45">
        <f t="shared" si="11"/>
        <v>0</v>
      </c>
      <c r="AC32" s="32">
        <f t="shared" si="11"/>
        <v>0</v>
      </c>
      <c r="AD32" s="45">
        <f t="shared" si="11"/>
        <v>0</v>
      </c>
      <c r="AE32" s="45">
        <f t="shared" si="11"/>
        <v>0</v>
      </c>
      <c r="AF32" s="45">
        <f t="shared" si="11"/>
        <v>0</v>
      </c>
      <c r="AG32" s="45">
        <f t="shared" si="11"/>
        <v>0</v>
      </c>
      <c r="AH32" s="45">
        <f t="shared" si="11"/>
        <v>0</v>
      </c>
      <c r="AI32" s="33">
        <f t="shared" si="5"/>
        <v>25.133333333333333</v>
      </c>
      <c r="AK32" s="77">
        <f t="shared" si="4"/>
        <v>51.133333333333333</v>
      </c>
      <c r="AM32" s="23">
        <f t="shared" si="6"/>
        <v>27</v>
      </c>
      <c r="AN32" s="23">
        <f t="shared" si="7"/>
        <v>783</v>
      </c>
      <c r="AO32" s="77">
        <f t="shared" si="8"/>
        <v>51.133333333333333</v>
      </c>
      <c r="AP32" s="23" t="str">
        <f t="shared" si="9"/>
        <v>#</v>
      </c>
      <c r="AQ32" s="23">
        <f t="shared" si="10"/>
        <v>29</v>
      </c>
    </row>
    <row r="33" spans="1:43" x14ac:dyDescent="0.3">
      <c r="B33" s="79" t="s">
        <v>17</v>
      </c>
      <c r="C33" s="41">
        <v>28</v>
      </c>
      <c r="D33" s="23">
        <f t="shared" si="0"/>
        <v>812</v>
      </c>
      <c r="F33" s="31"/>
      <c r="G33" s="32">
        <f t="shared" si="12"/>
        <v>0</v>
      </c>
      <c r="H33" s="45">
        <f t="shared" si="12"/>
        <v>27</v>
      </c>
      <c r="I33" s="45">
        <f t="shared" si="12"/>
        <v>0</v>
      </c>
      <c r="J33" s="45">
        <f t="shared" si="12"/>
        <v>0</v>
      </c>
      <c r="K33" s="45">
        <f t="shared" si="12"/>
        <v>0</v>
      </c>
      <c r="L33" s="45">
        <f t="shared" si="12"/>
        <v>0</v>
      </c>
      <c r="M33" s="32">
        <f t="shared" si="12"/>
        <v>0</v>
      </c>
      <c r="N33" s="45">
        <f t="shared" si="12"/>
        <v>0</v>
      </c>
      <c r="O33" s="45">
        <f t="shared" si="12"/>
        <v>0</v>
      </c>
      <c r="P33" s="45">
        <f t="shared" si="12"/>
        <v>0</v>
      </c>
      <c r="Q33" s="32">
        <f t="shared" si="12"/>
        <v>0</v>
      </c>
      <c r="R33" s="45">
        <f t="shared" si="12"/>
        <v>0</v>
      </c>
      <c r="S33" s="32">
        <f t="shared" si="12"/>
        <v>0</v>
      </c>
      <c r="T33" s="45">
        <f t="shared" si="11"/>
        <v>0</v>
      </c>
      <c r="U33" s="45">
        <f t="shared" si="11"/>
        <v>0</v>
      </c>
      <c r="V33" s="45">
        <f t="shared" si="11"/>
        <v>0</v>
      </c>
      <c r="W33" s="32">
        <f t="shared" si="11"/>
        <v>0</v>
      </c>
      <c r="X33" s="45">
        <f t="shared" si="11"/>
        <v>0</v>
      </c>
      <c r="Y33" s="32">
        <f t="shared" si="11"/>
        <v>0</v>
      </c>
      <c r="Z33" s="45">
        <f t="shared" si="11"/>
        <v>0</v>
      </c>
      <c r="AA33" s="45">
        <f t="shared" si="11"/>
        <v>0</v>
      </c>
      <c r="AB33" s="45">
        <f t="shared" si="11"/>
        <v>0</v>
      </c>
      <c r="AC33" s="32">
        <f t="shared" si="11"/>
        <v>0</v>
      </c>
      <c r="AD33" s="45">
        <f t="shared" si="11"/>
        <v>0</v>
      </c>
      <c r="AE33" s="45">
        <f t="shared" si="11"/>
        <v>0</v>
      </c>
      <c r="AF33" s="45">
        <f t="shared" si="11"/>
        <v>0</v>
      </c>
      <c r="AG33" s="45">
        <f t="shared" si="11"/>
        <v>0</v>
      </c>
      <c r="AH33" s="45">
        <f t="shared" si="11"/>
        <v>0</v>
      </c>
      <c r="AI33" s="33">
        <f t="shared" si="5"/>
        <v>26.1</v>
      </c>
      <c r="AK33" s="77">
        <f t="shared" si="4"/>
        <v>53.1</v>
      </c>
      <c r="AM33" s="23">
        <f t="shared" si="6"/>
        <v>28</v>
      </c>
      <c r="AN33" s="23">
        <f t="shared" si="7"/>
        <v>812</v>
      </c>
      <c r="AO33" s="77">
        <f t="shared" si="8"/>
        <v>53.1</v>
      </c>
      <c r="AP33" s="23" t="str">
        <f t="shared" si="9"/>
        <v>#</v>
      </c>
      <c r="AQ33" s="23">
        <f t="shared" si="10"/>
        <v>29</v>
      </c>
    </row>
    <row r="34" spans="1:43" ht="19.2" thickBot="1" x14ac:dyDescent="0.35">
      <c r="A34" s="23">
        <v>29</v>
      </c>
      <c r="B34" s="42" t="s">
        <v>11</v>
      </c>
      <c r="C34" s="43">
        <v>29</v>
      </c>
      <c r="D34" s="23">
        <f t="shared" si="0"/>
        <v>841</v>
      </c>
      <c r="F34" s="34"/>
      <c r="G34" s="35">
        <f t="shared" si="12"/>
        <v>28</v>
      </c>
      <c r="H34" s="47">
        <f t="shared" si="12"/>
        <v>0</v>
      </c>
      <c r="I34" s="47">
        <f t="shared" si="12"/>
        <v>0</v>
      </c>
      <c r="J34" s="47">
        <f t="shared" si="12"/>
        <v>0</v>
      </c>
      <c r="K34" s="47">
        <f t="shared" si="12"/>
        <v>0</v>
      </c>
      <c r="L34" s="47">
        <f t="shared" si="12"/>
        <v>0</v>
      </c>
      <c r="M34" s="35">
        <f t="shared" si="12"/>
        <v>0</v>
      </c>
      <c r="N34" s="47">
        <f t="shared" si="12"/>
        <v>0</v>
      </c>
      <c r="O34" s="47">
        <f t="shared" si="12"/>
        <v>0</v>
      </c>
      <c r="P34" s="47">
        <f t="shared" si="12"/>
        <v>0</v>
      </c>
      <c r="Q34" s="35">
        <f t="shared" si="12"/>
        <v>0</v>
      </c>
      <c r="R34" s="47">
        <f t="shared" si="12"/>
        <v>0</v>
      </c>
      <c r="S34" s="35">
        <f t="shared" si="12"/>
        <v>0</v>
      </c>
      <c r="T34" s="47">
        <f t="shared" si="11"/>
        <v>0</v>
      </c>
      <c r="U34" s="47">
        <f t="shared" si="11"/>
        <v>0</v>
      </c>
      <c r="V34" s="47">
        <f t="shared" si="11"/>
        <v>0</v>
      </c>
      <c r="W34" s="35">
        <f t="shared" si="11"/>
        <v>0</v>
      </c>
      <c r="X34" s="47">
        <f t="shared" si="11"/>
        <v>0</v>
      </c>
      <c r="Y34" s="35">
        <f t="shared" si="11"/>
        <v>0</v>
      </c>
      <c r="Z34" s="47">
        <f t="shared" si="11"/>
        <v>0</v>
      </c>
      <c r="AA34" s="47">
        <f t="shared" si="11"/>
        <v>0</v>
      </c>
      <c r="AB34" s="47">
        <f t="shared" si="11"/>
        <v>0</v>
      </c>
      <c r="AC34" s="35">
        <f t="shared" si="11"/>
        <v>0</v>
      </c>
      <c r="AD34" s="47">
        <f t="shared" si="11"/>
        <v>0</v>
      </c>
      <c r="AE34" s="47">
        <f t="shared" si="11"/>
        <v>0</v>
      </c>
      <c r="AF34" s="47">
        <f t="shared" si="11"/>
        <v>0</v>
      </c>
      <c r="AG34" s="47">
        <f t="shared" si="11"/>
        <v>0</v>
      </c>
      <c r="AH34" s="47">
        <f t="shared" si="11"/>
        <v>0</v>
      </c>
      <c r="AI34" s="36">
        <f t="shared" si="5"/>
        <v>27.066666666666666</v>
      </c>
      <c r="AK34" s="77">
        <f t="shared" si="4"/>
        <v>55.066666666666663</v>
      </c>
      <c r="AM34" s="23">
        <f t="shared" si="6"/>
        <v>29</v>
      </c>
      <c r="AN34" s="23">
        <f t="shared" si="7"/>
        <v>841</v>
      </c>
      <c r="AO34" s="77">
        <f t="shared" si="8"/>
        <v>55.066666666666663</v>
      </c>
      <c r="AP34" s="23" t="str">
        <f t="shared" si="9"/>
        <v>#P</v>
      </c>
      <c r="AQ34" s="23">
        <f t="shared" si="10"/>
        <v>29</v>
      </c>
    </row>
    <row r="37" spans="1:43" x14ac:dyDescent="0.3">
      <c r="D37" s="37">
        <f>D2</f>
        <v>29</v>
      </c>
    </row>
    <row r="39" spans="1:43" ht="19.2" thickBot="1" x14ac:dyDescent="0.35">
      <c r="F39" s="23">
        <v>0</v>
      </c>
      <c r="G39" s="24">
        <v>1</v>
      </c>
      <c r="H39" s="23">
        <v>2</v>
      </c>
      <c r="I39" s="23">
        <v>3</v>
      </c>
      <c r="J39" s="23">
        <v>4</v>
      </c>
      <c r="K39" s="23">
        <v>5</v>
      </c>
      <c r="L39" s="23">
        <v>6</v>
      </c>
      <c r="M39" s="24">
        <v>7</v>
      </c>
      <c r="N39" s="23">
        <v>8</v>
      </c>
      <c r="O39" s="23">
        <v>9</v>
      </c>
      <c r="P39" s="23">
        <v>10</v>
      </c>
      <c r="Q39" s="24">
        <v>11</v>
      </c>
      <c r="R39" s="23">
        <v>12</v>
      </c>
      <c r="S39" s="24">
        <v>13</v>
      </c>
      <c r="T39" s="23">
        <v>14</v>
      </c>
      <c r="U39" s="23">
        <v>15</v>
      </c>
      <c r="V39" s="23">
        <v>16</v>
      </c>
      <c r="W39" s="24">
        <v>17</v>
      </c>
      <c r="X39" s="23">
        <v>18</v>
      </c>
      <c r="Y39" s="24">
        <v>19</v>
      </c>
      <c r="Z39" s="23">
        <v>20</v>
      </c>
      <c r="AA39" s="23">
        <v>21</v>
      </c>
      <c r="AB39" s="23">
        <v>22</v>
      </c>
      <c r="AC39" s="24">
        <v>23</v>
      </c>
      <c r="AD39" s="23">
        <v>24</v>
      </c>
      <c r="AE39" s="23">
        <v>25</v>
      </c>
      <c r="AF39" s="23">
        <v>26</v>
      </c>
      <c r="AG39" s="23">
        <v>27</v>
      </c>
      <c r="AH39" s="23">
        <v>28</v>
      </c>
      <c r="AI39" s="24">
        <v>29</v>
      </c>
    </row>
    <row r="40" spans="1:43" ht="19.2" thickTop="1" x14ac:dyDescent="0.3">
      <c r="B40" s="38"/>
      <c r="C40" s="39">
        <v>30</v>
      </c>
      <c r="D40" s="23">
        <f>C40*$D$2</f>
        <v>870</v>
      </c>
      <c r="F40" s="27"/>
      <c r="G40" s="28"/>
      <c r="H40" s="29"/>
      <c r="I40" s="29"/>
      <c r="J40" s="29"/>
      <c r="K40" s="29"/>
      <c r="L40" s="29"/>
      <c r="M40" s="28"/>
      <c r="N40" s="29"/>
      <c r="O40" s="29"/>
      <c r="P40" s="29"/>
      <c r="Q40" s="28"/>
      <c r="R40" s="29"/>
      <c r="S40" s="28"/>
      <c r="T40" s="29"/>
      <c r="U40" s="46"/>
      <c r="V40" s="29"/>
      <c r="W40" s="28"/>
      <c r="X40" s="29"/>
      <c r="Y40" s="28"/>
      <c r="Z40" s="29"/>
      <c r="AA40" s="29"/>
      <c r="AB40" s="29"/>
      <c r="AC40" s="28"/>
      <c r="AD40" s="29"/>
      <c r="AE40" s="29"/>
      <c r="AF40" s="29"/>
      <c r="AG40" s="29"/>
      <c r="AH40" s="29"/>
      <c r="AI40" s="30"/>
    </row>
    <row r="41" spans="1:43" x14ac:dyDescent="0.3">
      <c r="A41" s="23">
        <v>31</v>
      </c>
      <c r="B41" s="40" t="s">
        <v>3</v>
      </c>
      <c r="C41" s="41">
        <v>31</v>
      </c>
      <c r="D41" s="23">
        <f t="shared" ref="D41:D69" si="13">C41*$D$2</f>
        <v>899</v>
      </c>
      <c r="F41" s="31"/>
      <c r="G41" s="32">
        <f>($D41-G$4)/30</f>
        <v>29.933333333333334</v>
      </c>
      <c r="H41" s="45">
        <f t="shared" ref="H41:L41" si="14">($D41-H$4)/30</f>
        <v>29.9</v>
      </c>
      <c r="I41" s="45">
        <f t="shared" si="14"/>
        <v>29.866666666666667</v>
      </c>
      <c r="J41" s="45">
        <f t="shared" si="14"/>
        <v>29.833333333333332</v>
      </c>
      <c r="K41" s="45">
        <f t="shared" si="14"/>
        <v>29.8</v>
      </c>
      <c r="L41" s="45">
        <f t="shared" si="14"/>
        <v>29.766666666666666</v>
      </c>
      <c r="M41" s="32">
        <f>($D41-M$4)/30</f>
        <v>29.733333333333334</v>
      </c>
      <c r="N41" s="45">
        <f t="shared" ref="N41:AI52" si="15">($D41-N$4)/30</f>
        <v>29.7</v>
      </c>
      <c r="O41" s="45">
        <f t="shared" si="15"/>
        <v>29.666666666666668</v>
      </c>
      <c r="P41" s="45">
        <f t="shared" si="15"/>
        <v>29.633333333333333</v>
      </c>
      <c r="Q41" s="32">
        <f t="shared" si="15"/>
        <v>29.6</v>
      </c>
      <c r="R41" s="45">
        <f t="shared" si="15"/>
        <v>29.566666666666666</v>
      </c>
      <c r="S41" s="32">
        <f t="shared" si="15"/>
        <v>29.533333333333335</v>
      </c>
      <c r="T41" s="45">
        <f t="shared" si="15"/>
        <v>29.5</v>
      </c>
      <c r="U41" s="45">
        <f t="shared" si="15"/>
        <v>29.466666666666665</v>
      </c>
      <c r="V41" s="45">
        <f t="shared" si="15"/>
        <v>29.433333333333334</v>
      </c>
      <c r="W41" s="32">
        <f t="shared" si="15"/>
        <v>29.4</v>
      </c>
      <c r="X41" s="45">
        <f t="shared" si="15"/>
        <v>29.366666666666667</v>
      </c>
      <c r="Y41" s="32">
        <f t="shared" si="15"/>
        <v>29.333333333333332</v>
      </c>
      <c r="Z41" s="45">
        <f t="shared" si="15"/>
        <v>29.3</v>
      </c>
      <c r="AA41" s="45">
        <f t="shared" si="15"/>
        <v>29.266666666666666</v>
      </c>
      <c r="AB41" s="45">
        <f t="shared" si="15"/>
        <v>29.233333333333334</v>
      </c>
      <c r="AC41" s="32">
        <f t="shared" si="15"/>
        <v>29.2</v>
      </c>
      <c r="AD41" s="45">
        <f t="shared" si="15"/>
        <v>29.166666666666668</v>
      </c>
      <c r="AE41" s="45">
        <f t="shared" si="15"/>
        <v>29.133333333333333</v>
      </c>
      <c r="AF41" s="45">
        <f t="shared" si="15"/>
        <v>29.1</v>
      </c>
      <c r="AG41" s="45">
        <f t="shared" si="15"/>
        <v>29.066666666666666</v>
      </c>
      <c r="AH41" s="45">
        <f t="shared" si="15"/>
        <v>29.033333333333335</v>
      </c>
      <c r="AI41" s="33">
        <f t="shared" si="15"/>
        <v>29</v>
      </c>
    </row>
    <row r="42" spans="1:43" x14ac:dyDescent="0.3">
      <c r="B42" s="40"/>
      <c r="C42" s="41">
        <v>32</v>
      </c>
      <c r="D42" s="23">
        <f t="shared" si="13"/>
        <v>928</v>
      </c>
      <c r="F42" s="31"/>
      <c r="G42" s="32">
        <f t="shared" ref="G42:V63" si="16">($D42-G$4)/30</f>
        <v>30.9</v>
      </c>
      <c r="H42" s="45">
        <f t="shared" si="16"/>
        <v>30.866666666666667</v>
      </c>
      <c r="I42" s="45">
        <f t="shared" si="16"/>
        <v>30.833333333333332</v>
      </c>
      <c r="J42" s="45">
        <f t="shared" si="16"/>
        <v>30.8</v>
      </c>
      <c r="K42" s="45">
        <f t="shared" si="16"/>
        <v>30.766666666666666</v>
      </c>
      <c r="L42" s="45">
        <f t="shared" si="16"/>
        <v>30.733333333333334</v>
      </c>
      <c r="M42" s="32">
        <f t="shared" si="16"/>
        <v>30.7</v>
      </c>
      <c r="N42" s="45">
        <f t="shared" si="16"/>
        <v>30.666666666666668</v>
      </c>
      <c r="O42" s="45">
        <f t="shared" si="16"/>
        <v>30.633333333333333</v>
      </c>
      <c r="P42" s="45">
        <f t="shared" si="16"/>
        <v>30.6</v>
      </c>
      <c r="Q42" s="32">
        <f t="shared" si="16"/>
        <v>30.566666666666666</v>
      </c>
      <c r="R42" s="45">
        <f t="shared" si="16"/>
        <v>30.533333333333335</v>
      </c>
      <c r="S42" s="32">
        <f t="shared" si="16"/>
        <v>30.5</v>
      </c>
      <c r="T42" s="45">
        <f t="shared" si="16"/>
        <v>30.466666666666665</v>
      </c>
      <c r="U42" s="45">
        <f t="shared" si="16"/>
        <v>30.433333333333334</v>
      </c>
      <c r="V42" s="45">
        <f t="shared" si="16"/>
        <v>30.4</v>
      </c>
      <c r="W42" s="32">
        <f t="shared" si="15"/>
        <v>30.366666666666667</v>
      </c>
      <c r="X42" s="45">
        <f t="shared" si="15"/>
        <v>30.333333333333332</v>
      </c>
      <c r="Y42" s="32">
        <f t="shared" si="15"/>
        <v>30.3</v>
      </c>
      <c r="Z42" s="45">
        <f t="shared" si="15"/>
        <v>30.266666666666666</v>
      </c>
      <c r="AA42" s="45">
        <f t="shared" si="15"/>
        <v>30.233333333333334</v>
      </c>
      <c r="AB42" s="45">
        <f t="shared" si="15"/>
        <v>30.2</v>
      </c>
      <c r="AC42" s="32">
        <f t="shared" si="15"/>
        <v>30.166666666666668</v>
      </c>
      <c r="AD42" s="45">
        <f t="shared" si="15"/>
        <v>30.133333333333333</v>
      </c>
      <c r="AE42" s="45">
        <f t="shared" si="15"/>
        <v>30.1</v>
      </c>
      <c r="AF42" s="45">
        <f t="shared" si="15"/>
        <v>30.066666666666666</v>
      </c>
      <c r="AG42" s="45">
        <f t="shared" si="15"/>
        <v>30.033333333333335</v>
      </c>
      <c r="AH42" s="45">
        <f t="shared" si="15"/>
        <v>30</v>
      </c>
      <c r="AI42" s="33">
        <f t="shared" si="15"/>
        <v>29.966666666666665</v>
      </c>
    </row>
    <row r="43" spans="1:43" x14ac:dyDescent="0.3">
      <c r="B43" s="40"/>
      <c r="C43" s="41">
        <v>33</v>
      </c>
      <c r="D43" s="23">
        <f t="shared" si="13"/>
        <v>957</v>
      </c>
      <c r="F43" s="31"/>
      <c r="G43" s="32">
        <f t="shared" si="16"/>
        <v>31.866666666666667</v>
      </c>
      <c r="H43" s="45">
        <f t="shared" si="16"/>
        <v>31.833333333333332</v>
      </c>
      <c r="I43" s="45">
        <f t="shared" si="16"/>
        <v>31.8</v>
      </c>
      <c r="J43" s="45">
        <f t="shared" si="16"/>
        <v>31.766666666666666</v>
      </c>
      <c r="K43" s="45">
        <f t="shared" si="16"/>
        <v>31.733333333333334</v>
      </c>
      <c r="L43" s="45">
        <f t="shared" si="16"/>
        <v>31.7</v>
      </c>
      <c r="M43" s="32">
        <f t="shared" si="16"/>
        <v>31.666666666666668</v>
      </c>
      <c r="N43" s="45">
        <f t="shared" si="15"/>
        <v>31.633333333333333</v>
      </c>
      <c r="O43" s="45">
        <f t="shared" si="15"/>
        <v>31.6</v>
      </c>
      <c r="P43" s="45">
        <f t="shared" si="15"/>
        <v>31.566666666666666</v>
      </c>
      <c r="Q43" s="32">
        <f t="shared" si="15"/>
        <v>31.533333333333335</v>
      </c>
      <c r="R43" s="45">
        <f t="shared" si="15"/>
        <v>31.5</v>
      </c>
      <c r="S43" s="32">
        <f t="shared" si="15"/>
        <v>31.466666666666665</v>
      </c>
      <c r="T43" s="45">
        <f t="shared" si="15"/>
        <v>31.433333333333334</v>
      </c>
      <c r="U43" s="45">
        <f t="shared" si="15"/>
        <v>31.4</v>
      </c>
      <c r="V43" s="45">
        <f t="shared" si="15"/>
        <v>31.366666666666667</v>
      </c>
      <c r="W43" s="32">
        <f t="shared" si="15"/>
        <v>31.333333333333332</v>
      </c>
      <c r="X43" s="45">
        <f t="shared" si="15"/>
        <v>31.3</v>
      </c>
      <c r="Y43" s="32">
        <f t="shared" si="15"/>
        <v>31.266666666666666</v>
      </c>
      <c r="Z43" s="45">
        <f t="shared" si="15"/>
        <v>31.233333333333334</v>
      </c>
      <c r="AA43" s="45">
        <f t="shared" si="15"/>
        <v>31.2</v>
      </c>
      <c r="AB43" s="45">
        <f t="shared" si="15"/>
        <v>31.166666666666668</v>
      </c>
      <c r="AC43" s="32">
        <f t="shared" si="15"/>
        <v>31.133333333333333</v>
      </c>
      <c r="AD43" s="45">
        <f t="shared" si="15"/>
        <v>31.1</v>
      </c>
      <c r="AE43" s="45">
        <f t="shared" si="15"/>
        <v>31.066666666666666</v>
      </c>
      <c r="AF43" s="45">
        <f t="shared" si="15"/>
        <v>31.033333333333335</v>
      </c>
      <c r="AG43" s="45">
        <f t="shared" si="15"/>
        <v>31</v>
      </c>
      <c r="AH43" s="45">
        <f t="shared" si="15"/>
        <v>30.966666666666665</v>
      </c>
      <c r="AI43" s="33">
        <f t="shared" si="15"/>
        <v>30.933333333333334</v>
      </c>
    </row>
    <row r="44" spans="1:43" x14ac:dyDescent="0.3">
      <c r="B44" s="40"/>
      <c r="C44" s="41">
        <v>34</v>
      </c>
      <c r="D44" s="23">
        <f t="shared" si="13"/>
        <v>986</v>
      </c>
      <c r="F44" s="31"/>
      <c r="G44" s="32">
        <f t="shared" si="16"/>
        <v>32.833333333333336</v>
      </c>
      <c r="H44" s="45">
        <f t="shared" si="16"/>
        <v>32.799999999999997</v>
      </c>
      <c r="I44" s="45">
        <f t="shared" si="16"/>
        <v>32.766666666666666</v>
      </c>
      <c r="J44" s="45">
        <f t="shared" si="16"/>
        <v>32.733333333333334</v>
      </c>
      <c r="K44" s="45">
        <f t="shared" si="16"/>
        <v>32.700000000000003</v>
      </c>
      <c r="L44" s="45">
        <f t="shared" si="16"/>
        <v>32.666666666666664</v>
      </c>
      <c r="M44" s="32">
        <f t="shared" si="16"/>
        <v>32.633333333333333</v>
      </c>
      <c r="N44" s="45">
        <f t="shared" si="15"/>
        <v>32.6</v>
      </c>
      <c r="O44" s="45">
        <f t="shared" si="15"/>
        <v>32.56666666666667</v>
      </c>
      <c r="P44" s="45">
        <f t="shared" si="15"/>
        <v>32.533333333333331</v>
      </c>
      <c r="Q44" s="32">
        <f t="shared" si="15"/>
        <v>32.5</v>
      </c>
      <c r="R44" s="45">
        <f t="shared" si="15"/>
        <v>32.466666666666669</v>
      </c>
      <c r="S44" s="32">
        <f t="shared" si="15"/>
        <v>32.43333333333333</v>
      </c>
      <c r="T44" s="45">
        <f t="shared" si="15"/>
        <v>32.4</v>
      </c>
      <c r="U44" s="45">
        <f t="shared" si="15"/>
        <v>32.366666666666667</v>
      </c>
      <c r="V44" s="45">
        <f t="shared" si="15"/>
        <v>32.333333333333336</v>
      </c>
      <c r="W44" s="32">
        <f t="shared" si="15"/>
        <v>32.299999999999997</v>
      </c>
      <c r="X44" s="45">
        <f t="shared" si="15"/>
        <v>32.266666666666666</v>
      </c>
      <c r="Y44" s="32">
        <f t="shared" si="15"/>
        <v>32.233333333333334</v>
      </c>
      <c r="Z44" s="45">
        <f t="shared" si="15"/>
        <v>32.200000000000003</v>
      </c>
      <c r="AA44" s="45">
        <f t="shared" si="15"/>
        <v>32.166666666666664</v>
      </c>
      <c r="AB44" s="45">
        <f t="shared" si="15"/>
        <v>32.133333333333333</v>
      </c>
      <c r="AC44" s="32">
        <f t="shared" si="15"/>
        <v>32.1</v>
      </c>
      <c r="AD44" s="45">
        <f t="shared" si="15"/>
        <v>32.06666666666667</v>
      </c>
      <c r="AE44" s="45">
        <f t="shared" si="15"/>
        <v>32.033333333333331</v>
      </c>
      <c r="AF44" s="45">
        <f t="shared" si="15"/>
        <v>32</v>
      </c>
      <c r="AG44" s="45">
        <f t="shared" si="15"/>
        <v>31.966666666666665</v>
      </c>
      <c r="AH44" s="45">
        <f t="shared" si="15"/>
        <v>31.933333333333334</v>
      </c>
      <c r="AI44" s="33">
        <f t="shared" si="15"/>
        <v>31.9</v>
      </c>
    </row>
    <row r="45" spans="1:43" x14ac:dyDescent="0.3">
      <c r="B45" s="40"/>
      <c r="C45" s="41">
        <v>35</v>
      </c>
      <c r="D45" s="23">
        <f t="shared" si="13"/>
        <v>1015</v>
      </c>
      <c r="F45" s="31"/>
      <c r="G45" s="32">
        <f t="shared" si="16"/>
        <v>33.799999999999997</v>
      </c>
      <c r="H45" s="45">
        <f t="shared" si="16"/>
        <v>33.766666666666666</v>
      </c>
      <c r="I45" s="45">
        <f t="shared" si="16"/>
        <v>33.733333333333334</v>
      </c>
      <c r="J45" s="45">
        <f t="shared" si="16"/>
        <v>33.700000000000003</v>
      </c>
      <c r="K45" s="45">
        <f t="shared" si="16"/>
        <v>33.666666666666664</v>
      </c>
      <c r="L45" s="45">
        <f t="shared" si="16"/>
        <v>33.633333333333333</v>
      </c>
      <c r="M45" s="32">
        <f t="shared" si="16"/>
        <v>33.6</v>
      </c>
      <c r="N45" s="45">
        <f t="shared" si="15"/>
        <v>33.56666666666667</v>
      </c>
      <c r="O45" s="45">
        <f t="shared" si="15"/>
        <v>33.533333333333331</v>
      </c>
      <c r="P45" s="45">
        <f t="shared" si="15"/>
        <v>33.5</v>
      </c>
      <c r="Q45" s="32">
        <f t="shared" si="15"/>
        <v>33.466666666666669</v>
      </c>
      <c r="R45" s="45">
        <f t="shared" si="15"/>
        <v>33.43333333333333</v>
      </c>
      <c r="S45" s="32">
        <f t="shared" si="15"/>
        <v>33.4</v>
      </c>
      <c r="T45" s="45">
        <f t="shared" si="15"/>
        <v>33.366666666666667</v>
      </c>
      <c r="U45" s="45">
        <f t="shared" si="15"/>
        <v>33.333333333333336</v>
      </c>
      <c r="V45" s="45">
        <f t="shared" si="15"/>
        <v>33.299999999999997</v>
      </c>
      <c r="W45" s="32">
        <f t="shared" si="15"/>
        <v>33.266666666666666</v>
      </c>
      <c r="X45" s="45">
        <f t="shared" si="15"/>
        <v>33.233333333333334</v>
      </c>
      <c r="Y45" s="32">
        <f t="shared" si="15"/>
        <v>33.200000000000003</v>
      </c>
      <c r="Z45" s="45">
        <f t="shared" si="15"/>
        <v>33.166666666666664</v>
      </c>
      <c r="AA45" s="45">
        <f t="shared" si="15"/>
        <v>33.133333333333333</v>
      </c>
      <c r="AB45" s="45">
        <f t="shared" si="15"/>
        <v>33.1</v>
      </c>
      <c r="AC45" s="32">
        <f t="shared" si="15"/>
        <v>33.06666666666667</v>
      </c>
      <c r="AD45" s="45">
        <f t="shared" si="15"/>
        <v>33.033333333333331</v>
      </c>
      <c r="AE45" s="45">
        <f t="shared" si="15"/>
        <v>33</v>
      </c>
      <c r="AF45" s="45">
        <f t="shared" si="15"/>
        <v>32.966666666666669</v>
      </c>
      <c r="AG45" s="45">
        <f t="shared" si="15"/>
        <v>32.93333333333333</v>
      </c>
      <c r="AH45" s="45">
        <f t="shared" si="15"/>
        <v>32.9</v>
      </c>
      <c r="AI45" s="33">
        <f t="shared" si="15"/>
        <v>32.866666666666667</v>
      </c>
    </row>
    <row r="46" spans="1:43" x14ac:dyDescent="0.3">
      <c r="B46" s="40"/>
      <c r="C46" s="41">
        <v>36</v>
      </c>
      <c r="D46" s="23">
        <f t="shared" si="13"/>
        <v>1044</v>
      </c>
      <c r="F46" s="31"/>
      <c r="G46" s="32">
        <f t="shared" si="16"/>
        <v>34.766666666666666</v>
      </c>
      <c r="H46" s="45">
        <f t="shared" si="16"/>
        <v>34.733333333333334</v>
      </c>
      <c r="I46" s="45">
        <f t="shared" si="16"/>
        <v>34.700000000000003</v>
      </c>
      <c r="J46" s="45">
        <f t="shared" si="16"/>
        <v>34.666666666666664</v>
      </c>
      <c r="K46" s="45">
        <f t="shared" si="16"/>
        <v>34.633333333333333</v>
      </c>
      <c r="L46" s="45">
        <f t="shared" si="16"/>
        <v>34.6</v>
      </c>
      <c r="M46" s="32">
        <f t="shared" si="16"/>
        <v>34.56666666666667</v>
      </c>
      <c r="N46" s="45">
        <f t="shared" si="15"/>
        <v>34.533333333333331</v>
      </c>
      <c r="O46" s="45">
        <f t="shared" si="15"/>
        <v>34.5</v>
      </c>
      <c r="P46" s="45">
        <f t="shared" si="15"/>
        <v>34.466666666666669</v>
      </c>
      <c r="Q46" s="32">
        <f t="shared" si="15"/>
        <v>34.43333333333333</v>
      </c>
      <c r="R46" s="45">
        <f t="shared" si="15"/>
        <v>34.4</v>
      </c>
      <c r="S46" s="32">
        <f t="shared" si="15"/>
        <v>34.366666666666667</v>
      </c>
      <c r="T46" s="45">
        <f t="shared" si="15"/>
        <v>34.333333333333336</v>
      </c>
      <c r="U46" s="45">
        <f t="shared" si="15"/>
        <v>34.299999999999997</v>
      </c>
      <c r="V46" s="45">
        <f t="shared" si="15"/>
        <v>34.266666666666666</v>
      </c>
      <c r="W46" s="32">
        <f t="shared" si="15"/>
        <v>34.233333333333334</v>
      </c>
      <c r="X46" s="45">
        <f t="shared" si="15"/>
        <v>34.200000000000003</v>
      </c>
      <c r="Y46" s="32">
        <f t="shared" si="15"/>
        <v>34.166666666666664</v>
      </c>
      <c r="Z46" s="45">
        <f t="shared" si="15"/>
        <v>34.133333333333333</v>
      </c>
      <c r="AA46" s="45">
        <f t="shared" si="15"/>
        <v>34.1</v>
      </c>
      <c r="AB46" s="45">
        <f t="shared" si="15"/>
        <v>34.06666666666667</v>
      </c>
      <c r="AC46" s="32">
        <f t="shared" si="15"/>
        <v>34.033333333333331</v>
      </c>
      <c r="AD46" s="45">
        <f t="shared" si="15"/>
        <v>34</v>
      </c>
      <c r="AE46" s="45">
        <f t="shared" si="15"/>
        <v>33.966666666666669</v>
      </c>
      <c r="AF46" s="45">
        <f t="shared" si="15"/>
        <v>33.93333333333333</v>
      </c>
      <c r="AG46" s="45">
        <f t="shared" si="15"/>
        <v>33.9</v>
      </c>
      <c r="AH46" s="45">
        <f t="shared" si="15"/>
        <v>33.866666666666667</v>
      </c>
      <c r="AI46" s="33">
        <f t="shared" si="15"/>
        <v>33.833333333333336</v>
      </c>
    </row>
    <row r="47" spans="1:43" x14ac:dyDescent="0.3">
      <c r="A47" s="23">
        <v>37</v>
      </c>
      <c r="B47" s="40" t="s">
        <v>3</v>
      </c>
      <c r="C47" s="41">
        <v>37</v>
      </c>
      <c r="D47" s="23">
        <f t="shared" si="13"/>
        <v>1073</v>
      </c>
      <c r="F47" s="31"/>
      <c r="G47" s="32">
        <f t="shared" si="16"/>
        <v>35.733333333333334</v>
      </c>
      <c r="H47" s="45">
        <f t="shared" si="16"/>
        <v>35.700000000000003</v>
      </c>
      <c r="I47" s="45">
        <f t="shared" si="16"/>
        <v>35.666666666666664</v>
      </c>
      <c r="J47" s="45">
        <f t="shared" si="16"/>
        <v>35.633333333333333</v>
      </c>
      <c r="K47" s="45">
        <f t="shared" si="16"/>
        <v>35.6</v>
      </c>
      <c r="L47" s="45">
        <f t="shared" si="16"/>
        <v>35.56666666666667</v>
      </c>
      <c r="M47" s="32">
        <f t="shared" si="16"/>
        <v>35.533333333333331</v>
      </c>
      <c r="N47" s="45">
        <f t="shared" si="15"/>
        <v>35.5</v>
      </c>
      <c r="O47" s="45">
        <f t="shared" si="15"/>
        <v>35.466666666666669</v>
      </c>
      <c r="P47" s="45">
        <f t="shared" si="15"/>
        <v>35.43333333333333</v>
      </c>
      <c r="Q47" s="32">
        <f t="shared" si="15"/>
        <v>35.4</v>
      </c>
      <c r="R47" s="45">
        <f t="shared" si="15"/>
        <v>35.366666666666667</v>
      </c>
      <c r="S47" s="32">
        <f t="shared" si="15"/>
        <v>35.333333333333336</v>
      </c>
      <c r="T47" s="45">
        <f t="shared" si="15"/>
        <v>35.299999999999997</v>
      </c>
      <c r="U47" s="45">
        <f t="shared" si="15"/>
        <v>35.266666666666666</v>
      </c>
      <c r="V47" s="45">
        <f t="shared" si="15"/>
        <v>35.233333333333334</v>
      </c>
      <c r="W47" s="32">
        <f t="shared" si="15"/>
        <v>35.200000000000003</v>
      </c>
      <c r="X47" s="45">
        <f t="shared" si="15"/>
        <v>35.166666666666664</v>
      </c>
      <c r="Y47" s="32">
        <f t="shared" si="15"/>
        <v>35.133333333333333</v>
      </c>
      <c r="Z47" s="45">
        <f t="shared" si="15"/>
        <v>35.1</v>
      </c>
      <c r="AA47" s="45">
        <f t="shared" si="15"/>
        <v>35.06666666666667</v>
      </c>
      <c r="AB47" s="45">
        <f t="shared" si="15"/>
        <v>35.033333333333331</v>
      </c>
      <c r="AC47" s="32">
        <f t="shared" si="15"/>
        <v>35</v>
      </c>
      <c r="AD47" s="45">
        <f t="shared" si="15"/>
        <v>34.966666666666669</v>
      </c>
      <c r="AE47" s="45">
        <f t="shared" si="15"/>
        <v>34.93333333333333</v>
      </c>
      <c r="AF47" s="45">
        <f t="shared" si="15"/>
        <v>34.9</v>
      </c>
      <c r="AG47" s="45">
        <f t="shared" si="15"/>
        <v>34.866666666666667</v>
      </c>
      <c r="AH47" s="45">
        <f t="shared" si="15"/>
        <v>34.833333333333336</v>
      </c>
      <c r="AI47" s="33">
        <f t="shared" si="15"/>
        <v>34.799999999999997</v>
      </c>
    </row>
    <row r="48" spans="1:43" x14ac:dyDescent="0.3">
      <c r="B48" s="40"/>
      <c r="C48" s="41">
        <v>38</v>
      </c>
      <c r="D48" s="23">
        <f t="shared" si="13"/>
        <v>1102</v>
      </c>
      <c r="F48" s="31"/>
      <c r="G48" s="32">
        <f t="shared" si="16"/>
        <v>36.700000000000003</v>
      </c>
      <c r="H48" s="45">
        <f t="shared" si="16"/>
        <v>36.666666666666664</v>
      </c>
      <c r="I48" s="45">
        <f t="shared" si="16"/>
        <v>36.633333333333333</v>
      </c>
      <c r="J48" s="45">
        <f t="shared" si="16"/>
        <v>36.6</v>
      </c>
      <c r="K48" s="45">
        <f t="shared" si="16"/>
        <v>36.56666666666667</v>
      </c>
      <c r="L48" s="45">
        <f t="shared" si="16"/>
        <v>36.533333333333331</v>
      </c>
      <c r="M48" s="32">
        <f t="shared" si="16"/>
        <v>36.5</v>
      </c>
      <c r="N48" s="45">
        <f t="shared" si="15"/>
        <v>36.466666666666669</v>
      </c>
      <c r="O48" s="45">
        <f t="shared" si="15"/>
        <v>36.43333333333333</v>
      </c>
      <c r="P48" s="45">
        <f t="shared" si="15"/>
        <v>36.4</v>
      </c>
      <c r="Q48" s="32">
        <f t="shared" si="15"/>
        <v>36.366666666666667</v>
      </c>
      <c r="R48" s="45">
        <f t="shared" si="15"/>
        <v>36.333333333333336</v>
      </c>
      <c r="S48" s="32">
        <f t="shared" si="15"/>
        <v>36.299999999999997</v>
      </c>
      <c r="T48" s="45">
        <f t="shared" si="15"/>
        <v>36.266666666666666</v>
      </c>
      <c r="U48" s="45">
        <f t="shared" si="15"/>
        <v>36.233333333333334</v>
      </c>
      <c r="V48" s="45">
        <f t="shared" si="15"/>
        <v>36.200000000000003</v>
      </c>
      <c r="W48" s="32">
        <f t="shared" si="15"/>
        <v>36.166666666666664</v>
      </c>
      <c r="X48" s="45">
        <f t="shared" si="15"/>
        <v>36.133333333333333</v>
      </c>
      <c r="Y48" s="32">
        <f t="shared" si="15"/>
        <v>36.1</v>
      </c>
      <c r="Z48" s="45">
        <f t="shared" si="15"/>
        <v>36.06666666666667</v>
      </c>
      <c r="AA48" s="45">
        <f t="shared" si="15"/>
        <v>36.033333333333331</v>
      </c>
      <c r="AB48" s="45">
        <f t="shared" si="15"/>
        <v>36</v>
      </c>
      <c r="AC48" s="32">
        <f t="shared" si="15"/>
        <v>35.966666666666669</v>
      </c>
      <c r="AD48" s="45">
        <f t="shared" si="15"/>
        <v>35.93333333333333</v>
      </c>
      <c r="AE48" s="45">
        <f t="shared" si="15"/>
        <v>35.9</v>
      </c>
      <c r="AF48" s="45">
        <f t="shared" si="15"/>
        <v>35.866666666666667</v>
      </c>
      <c r="AG48" s="45">
        <f t="shared" si="15"/>
        <v>35.833333333333336</v>
      </c>
      <c r="AH48" s="45">
        <f t="shared" si="15"/>
        <v>35.799999999999997</v>
      </c>
      <c r="AI48" s="33">
        <f t="shared" si="15"/>
        <v>35.766666666666666</v>
      </c>
    </row>
    <row r="49" spans="1:35" x14ac:dyDescent="0.3">
      <c r="B49" s="40"/>
      <c r="C49" s="41">
        <v>39</v>
      </c>
      <c r="D49" s="23">
        <f t="shared" si="13"/>
        <v>1131</v>
      </c>
      <c r="F49" s="31"/>
      <c r="G49" s="32">
        <f t="shared" si="16"/>
        <v>37.666666666666664</v>
      </c>
      <c r="H49" s="45">
        <f t="shared" si="16"/>
        <v>37.633333333333333</v>
      </c>
      <c r="I49" s="45">
        <f t="shared" si="16"/>
        <v>37.6</v>
      </c>
      <c r="J49" s="45">
        <f t="shared" si="16"/>
        <v>37.56666666666667</v>
      </c>
      <c r="K49" s="45">
        <f t="shared" si="16"/>
        <v>37.533333333333331</v>
      </c>
      <c r="L49" s="45">
        <f t="shared" si="16"/>
        <v>37.5</v>
      </c>
      <c r="M49" s="32">
        <f t="shared" si="16"/>
        <v>37.466666666666669</v>
      </c>
      <c r="N49" s="45">
        <f t="shared" si="15"/>
        <v>37.43333333333333</v>
      </c>
      <c r="O49" s="45">
        <f t="shared" si="15"/>
        <v>37.4</v>
      </c>
      <c r="P49" s="45">
        <f t="shared" si="15"/>
        <v>37.366666666666667</v>
      </c>
      <c r="Q49" s="32">
        <f t="shared" si="15"/>
        <v>37.333333333333336</v>
      </c>
      <c r="R49" s="45">
        <f t="shared" si="15"/>
        <v>37.299999999999997</v>
      </c>
      <c r="S49" s="32">
        <f t="shared" si="15"/>
        <v>37.266666666666666</v>
      </c>
      <c r="T49" s="45">
        <f t="shared" si="15"/>
        <v>37.233333333333334</v>
      </c>
      <c r="U49" s="45">
        <f t="shared" si="15"/>
        <v>37.200000000000003</v>
      </c>
      <c r="V49" s="45">
        <f t="shared" si="15"/>
        <v>37.166666666666664</v>
      </c>
      <c r="W49" s="32">
        <f t="shared" si="15"/>
        <v>37.133333333333333</v>
      </c>
      <c r="X49" s="45">
        <f t="shared" si="15"/>
        <v>37.1</v>
      </c>
      <c r="Y49" s="32">
        <f t="shared" si="15"/>
        <v>37.06666666666667</v>
      </c>
      <c r="Z49" s="45">
        <f t="shared" si="15"/>
        <v>37.033333333333331</v>
      </c>
      <c r="AA49" s="45">
        <f t="shared" si="15"/>
        <v>37</v>
      </c>
      <c r="AB49" s="45">
        <f t="shared" si="15"/>
        <v>36.966666666666669</v>
      </c>
      <c r="AC49" s="32">
        <f t="shared" si="15"/>
        <v>36.93333333333333</v>
      </c>
      <c r="AD49" s="45">
        <f t="shared" si="15"/>
        <v>36.9</v>
      </c>
      <c r="AE49" s="45">
        <f t="shared" si="15"/>
        <v>36.866666666666667</v>
      </c>
      <c r="AF49" s="45">
        <f t="shared" si="15"/>
        <v>36.833333333333336</v>
      </c>
      <c r="AG49" s="45">
        <f t="shared" si="15"/>
        <v>36.799999999999997</v>
      </c>
      <c r="AH49" s="45">
        <f t="shared" si="15"/>
        <v>36.766666666666666</v>
      </c>
      <c r="AI49" s="33">
        <f t="shared" si="15"/>
        <v>36.733333333333334</v>
      </c>
    </row>
    <row r="50" spans="1:35" x14ac:dyDescent="0.3">
      <c r="B50" s="40"/>
      <c r="C50" s="41">
        <v>40</v>
      </c>
      <c r="D50" s="23">
        <f t="shared" si="13"/>
        <v>1160</v>
      </c>
      <c r="F50" s="31"/>
      <c r="G50" s="32">
        <f t="shared" si="16"/>
        <v>38.633333333333333</v>
      </c>
      <c r="H50" s="45">
        <f t="shared" si="16"/>
        <v>38.6</v>
      </c>
      <c r="I50" s="45">
        <f t="shared" si="16"/>
        <v>38.56666666666667</v>
      </c>
      <c r="J50" s="45">
        <f t="shared" si="16"/>
        <v>38.533333333333331</v>
      </c>
      <c r="K50" s="45">
        <f t="shared" si="16"/>
        <v>38.5</v>
      </c>
      <c r="L50" s="45">
        <f t="shared" si="16"/>
        <v>38.466666666666669</v>
      </c>
      <c r="M50" s="32">
        <f t="shared" si="16"/>
        <v>38.43333333333333</v>
      </c>
      <c r="N50" s="45">
        <f t="shared" si="15"/>
        <v>38.4</v>
      </c>
      <c r="O50" s="45">
        <f t="shared" si="15"/>
        <v>38.366666666666667</v>
      </c>
      <c r="P50" s="45">
        <f t="shared" si="15"/>
        <v>38.333333333333336</v>
      </c>
      <c r="Q50" s="32">
        <f t="shared" si="15"/>
        <v>38.299999999999997</v>
      </c>
      <c r="R50" s="45">
        <f t="shared" si="15"/>
        <v>38.266666666666666</v>
      </c>
      <c r="S50" s="32">
        <f t="shared" si="15"/>
        <v>38.233333333333334</v>
      </c>
      <c r="T50" s="45">
        <f t="shared" si="15"/>
        <v>38.200000000000003</v>
      </c>
      <c r="U50" s="45">
        <f t="shared" si="15"/>
        <v>38.166666666666664</v>
      </c>
      <c r="V50" s="45">
        <f t="shared" si="15"/>
        <v>38.133333333333333</v>
      </c>
      <c r="W50" s="32">
        <f t="shared" si="15"/>
        <v>38.1</v>
      </c>
      <c r="X50" s="45">
        <f t="shared" si="15"/>
        <v>38.06666666666667</v>
      </c>
      <c r="Y50" s="32">
        <f t="shared" si="15"/>
        <v>38.033333333333331</v>
      </c>
      <c r="Z50" s="45">
        <f t="shared" si="15"/>
        <v>38</v>
      </c>
      <c r="AA50" s="45">
        <f t="shared" si="15"/>
        <v>37.966666666666669</v>
      </c>
      <c r="AB50" s="45">
        <f t="shared" si="15"/>
        <v>37.93333333333333</v>
      </c>
      <c r="AC50" s="32">
        <f t="shared" si="15"/>
        <v>37.9</v>
      </c>
      <c r="AD50" s="45">
        <f t="shared" si="15"/>
        <v>37.866666666666667</v>
      </c>
      <c r="AE50" s="45">
        <f t="shared" si="15"/>
        <v>37.833333333333336</v>
      </c>
      <c r="AF50" s="45">
        <f t="shared" si="15"/>
        <v>37.799999999999997</v>
      </c>
      <c r="AG50" s="45">
        <f t="shared" si="15"/>
        <v>37.766666666666666</v>
      </c>
      <c r="AH50" s="45">
        <f t="shared" si="15"/>
        <v>37.733333333333334</v>
      </c>
      <c r="AI50" s="33">
        <f t="shared" si="15"/>
        <v>37.700000000000003</v>
      </c>
    </row>
    <row r="51" spans="1:35" x14ac:dyDescent="0.3">
      <c r="A51" s="23">
        <v>41</v>
      </c>
      <c r="B51" s="40" t="s">
        <v>3</v>
      </c>
      <c r="C51" s="41">
        <v>41</v>
      </c>
      <c r="D51" s="23">
        <f t="shared" si="13"/>
        <v>1189</v>
      </c>
      <c r="F51" s="31"/>
      <c r="G51" s="32">
        <f t="shared" si="16"/>
        <v>39.6</v>
      </c>
      <c r="H51" s="45">
        <f t="shared" si="16"/>
        <v>39.56666666666667</v>
      </c>
      <c r="I51" s="45">
        <f t="shared" si="16"/>
        <v>39.533333333333331</v>
      </c>
      <c r="J51" s="45">
        <f t="shared" si="16"/>
        <v>39.5</v>
      </c>
      <c r="K51" s="45">
        <f t="shared" si="16"/>
        <v>39.466666666666669</v>
      </c>
      <c r="L51" s="45">
        <f t="shared" si="16"/>
        <v>39.43333333333333</v>
      </c>
      <c r="M51" s="32">
        <f t="shared" si="16"/>
        <v>39.4</v>
      </c>
      <c r="N51" s="45">
        <f t="shared" si="15"/>
        <v>39.366666666666667</v>
      </c>
      <c r="O51" s="45">
        <f t="shared" si="15"/>
        <v>39.333333333333336</v>
      </c>
      <c r="P51" s="45">
        <f t="shared" si="15"/>
        <v>39.299999999999997</v>
      </c>
      <c r="Q51" s="32">
        <f t="shared" si="15"/>
        <v>39.266666666666666</v>
      </c>
      <c r="R51" s="45">
        <f t="shared" si="15"/>
        <v>39.233333333333334</v>
      </c>
      <c r="S51" s="32">
        <f t="shared" si="15"/>
        <v>39.200000000000003</v>
      </c>
      <c r="T51" s="45">
        <f t="shared" si="15"/>
        <v>39.166666666666664</v>
      </c>
      <c r="U51" s="45">
        <f t="shared" si="15"/>
        <v>39.133333333333333</v>
      </c>
      <c r="V51" s="45">
        <f t="shared" si="15"/>
        <v>39.1</v>
      </c>
      <c r="W51" s="32">
        <f t="shared" si="15"/>
        <v>39.06666666666667</v>
      </c>
      <c r="X51" s="45">
        <f t="shared" si="15"/>
        <v>39.033333333333331</v>
      </c>
      <c r="Y51" s="32">
        <f t="shared" si="15"/>
        <v>39</v>
      </c>
      <c r="Z51" s="45">
        <f t="shared" si="15"/>
        <v>38.966666666666669</v>
      </c>
      <c r="AA51" s="45">
        <f t="shared" si="15"/>
        <v>38.93333333333333</v>
      </c>
      <c r="AB51" s="45">
        <f t="shared" si="15"/>
        <v>38.9</v>
      </c>
      <c r="AC51" s="32">
        <f t="shared" si="15"/>
        <v>38.866666666666667</v>
      </c>
      <c r="AD51" s="45">
        <f t="shared" si="15"/>
        <v>38.833333333333336</v>
      </c>
      <c r="AE51" s="45">
        <f t="shared" si="15"/>
        <v>38.799999999999997</v>
      </c>
      <c r="AF51" s="45">
        <f t="shared" si="15"/>
        <v>38.766666666666666</v>
      </c>
      <c r="AG51" s="45">
        <f t="shared" si="15"/>
        <v>38.733333333333334</v>
      </c>
      <c r="AH51" s="45">
        <f t="shared" si="15"/>
        <v>38.700000000000003</v>
      </c>
      <c r="AI51" s="33">
        <f t="shared" si="15"/>
        <v>38.666666666666664</v>
      </c>
    </row>
    <row r="52" spans="1:35" x14ac:dyDescent="0.3">
      <c r="B52" s="40"/>
      <c r="C52" s="41">
        <v>42</v>
      </c>
      <c r="D52" s="23">
        <f t="shared" si="13"/>
        <v>1218</v>
      </c>
      <c r="F52" s="31"/>
      <c r="G52" s="32">
        <f t="shared" si="16"/>
        <v>40.56666666666667</v>
      </c>
      <c r="H52" s="45">
        <f t="shared" si="16"/>
        <v>40.533333333333331</v>
      </c>
      <c r="I52" s="45">
        <f t="shared" si="16"/>
        <v>40.5</v>
      </c>
      <c r="J52" s="45">
        <f t="shared" si="16"/>
        <v>40.466666666666669</v>
      </c>
      <c r="K52" s="45">
        <f t="shared" si="16"/>
        <v>40.43333333333333</v>
      </c>
      <c r="L52" s="45">
        <f t="shared" si="16"/>
        <v>40.4</v>
      </c>
      <c r="M52" s="32">
        <f t="shared" si="16"/>
        <v>40.366666666666667</v>
      </c>
      <c r="N52" s="45">
        <f t="shared" si="15"/>
        <v>40.333333333333336</v>
      </c>
      <c r="O52" s="45">
        <f t="shared" si="15"/>
        <v>40.299999999999997</v>
      </c>
      <c r="P52" s="45">
        <f t="shared" si="15"/>
        <v>40.266666666666666</v>
      </c>
      <c r="Q52" s="32">
        <f t="shared" si="15"/>
        <v>40.233333333333334</v>
      </c>
      <c r="R52" s="45">
        <f t="shared" si="15"/>
        <v>40.200000000000003</v>
      </c>
      <c r="S52" s="32">
        <f t="shared" si="15"/>
        <v>40.166666666666664</v>
      </c>
      <c r="T52" s="45">
        <f t="shared" si="15"/>
        <v>40.133333333333333</v>
      </c>
      <c r="U52" s="45">
        <f t="shared" si="15"/>
        <v>40.1</v>
      </c>
      <c r="V52" s="45">
        <f t="shared" si="15"/>
        <v>40.06666666666667</v>
      </c>
      <c r="W52" s="32">
        <f t="shared" si="15"/>
        <v>40.033333333333331</v>
      </c>
      <c r="X52" s="45">
        <f t="shared" si="15"/>
        <v>40</v>
      </c>
      <c r="Y52" s="32">
        <f t="shared" si="15"/>
        <v>39.966666666666669</v>
      </c>
      <c r="Z52" s="45">
        <f t="shared" si="15"/>
        <v>39.93333333333333</v>
      </c>
      <c r="AA52" s="45">
        <f t="shared" si="15"/>
        <v>39.9</v>
      </c>
      <c r="AB52" s="45">
        <f t="shared" si="15"/>
        <v>39.866666666666667</v>
      </c>
      <c r="AC52" s="32">
        <f t="shared" si="15"/>
        <v>39.833333333333336</v>
      </c>
      <c r="AD52" s="45">
        <f t="shared" si="15"/>
        <v>39.799999999999997</v>
      </c>
      <c r="AE52" s="45">
        <f t="shared" si="15"/>
        <v>39.766666666666666</v>
      </c>
      <c r="AF52" s="45">
        <f t="shared" si="15"/>
        <v>39.733333333333334</v>
      </c>
      <c r="AG52" s="45">
        <f t="shared" si="15"/>
        <v>39.700000000000003</v>
      </c>
      <c r="AH52" s="45">
        <f t="shared" si="15"/>
        <v>39.666666666666664</v>
      </c>
      <c r="AI52" s="33">
        <f t="shared" si="15"/>
        <v>39.633333333333333</v>
      </c>
    </row>
    <row r="53" spans="1:35" x14ac:dyDescent="0.3">
      <c r="A53" s="23">
        <v>43</v>
      </c>
      <c r="B53" s="40" t="s">
        <v>3</v>
      </c>
      <c r="C53" s="41">
        <v>43</v>
      </c>
      <c r="D53" s="23">
        <f t="shared" si="13"/>
        <v>1247</v>
      </c>
      <c r="F53" s="31"/>
      <c r="G53" s="32">
        <f t="shared" si="16"/>
        <v>41.533333333333331</v>
      </c>
      <c r="H53" s="45">
        <f t="shared" si="16"/>
        <v>41.5</v>
      </c>
      <c r="I53" s="45">
        <f t="shared" si="16"/>
        <v>41.466666666666669</v>
      </c>
      <c r="J53" s="45">
        <f t="shared" si="16"/>
        <v>41.43333333333333</v>
      </c>
      <c r="K53" s="45">
        <f t="shared" si="16"/>
        <v>41.4</v>
      </c>
      <c r="L53" s="45">
        <f t="shared" si="16"/>
        <v>41.366666666666667</v>
      </c>
      <c r="M53" s="32">
        <f t="shared" si="16"/>
        <v>41.333333333333336</v>
      </c>
      <c r="N53" s="45">
        <f t="shared" si="16"/>
        <v>41.3</v>
      </c>
      <c r="O53" s="45">
        <f t="shared" si="16"/>
        <v>41.266666666666666</v>
      </c>
      <c r="P53" s="45">
        <f t="shared" si="16"/>
        <v>41.233333333333334</v>
      </c>
      <c r="Q53" s="32">
        <f t="shared" si="16"/>
        <v>41.2</v>
      </c>
      <c r="R53" s="45">
        <f t="shared" si="16"/>
        <v>41.166666666666664</v>
      </c>
      <c r="S53" s="32">
        <f t="shared" si="16"/>
        <v>41.133333333333333</v>
      </c>
      <c r="T53" s="45">
        <f t="shared" si="16"/>
        <v>41.1</v>
      </c>
      <c r="U53" s="45">
        <f t="shared" si="16"/>
        <v>41.06666666666667</v>
      </c>
      <c r="V53" s="45">
        <f t="shared" si="16"/>
        <v>41.033333333333331</v>
      </c>
      <c r="W53" s="32">
        <f t="shared" ref="W53:AI62" si="17">($D53-W$4)/30</f>
        <v>41</v>
      </c>
      <c r="X53" s="45">
        <f t="shared" si="17"/>
        <v>40.966666666666669</v>
      </c>
      <c r="Y53" s="32">
        <f t="shared" si="17"/>
        <v>40.93333333333333</v>
      </c>
      <c r="Z53" s="45">
        <f t="shared" si="17"/>
        <v>40.9</v>
      </c>
      <c r="AA53" s="45">
        <f t="shared" si="17"/>
        <v>40.866666666666667</v>
      </c>
      <c r="AB53" s="45">
        <f t="shared" si="17"/>
        <v>40.833333333333336</v>
      </c>
      <c r="AC53" s="32">
        <f t="shared" si="17"/>
        <v>40.799999999999997</v>
      </c>
      <c r="AD53" s="45">
        <f t="shared" si="17"/>
        <v>40.766666666666666</v>
      </c>
      <c r="AE53" s="45">
        <f t="shared" si="17"/>
        <v>40.733333333333334</v>
      </c>
      <c r="AF53" s="45">
        <f t="shared" si="17"/>
        <v>40.700000000000003</v>
      </c>
      <c r="AG53" s="45">
        <f t="shared" si="17"/>
        <v>40.666666666666664</v>
      </c>
      <c r="AH53" s="45">
        <f t="shared" si="17"/>
        <v>40.633333333333333</v>
      </c>
      <c r="AI53" s="33">
        <f t="shared" si="17"/>
        <v>40.6</v>
      </c>
    </row>
    <row r="54" spans="1:35" x14ac:dyDescent="0.3">
      <c r="B54" s="40"/>
      <c r="C54" s="41">
        <v>44</v>
      </c>
      <c r="D54" s="23">
        <f t="shared" si="13"/>
        <v>1276</v>
      </c>
      <c r="F54" s="31"/>
      <c r="G54" s="32">
        <f t="shared" si="16"/>
        <v>42.5</v>
      </c>
      <c r="H54" s="45">
        <f t="shared" si="16"/>
        <v>42.466666666666669</v>
      </c>
      <c r="I54" s="45">
        <f t="shared" si="16"/>
        <v>42.43333333333333</v>
      </c>
      <c r="J54" s="45">
        <f t="shared" si="16"/>
        <v>42.4</v>
      </c>
      <c r="K54" s="45">
        <f t="shared" si="16"/>
        <v>42.366666666666667</v>
      </c>
      <c r="L54" s="45">
        <f t="shared" si="16"/>
        <v>42.333333333333336</v>
      </c>
      <c r="M54" s="32">
        <f t="shared" si="16"/>
        <v>42.3</v>
      </c>
      <c r="N54" s="45">
        <f t="shared" si="16"/>
        <v>42.266666666666666</v>
      </c>
      <c r="O54" s="45">
        <f t="shared" si="16"/>
        <v>42.233333333333334</v>
      </c>
      <c r="P54" s="45">
        <f t="shared" si="16"/>
        <v>42.2</v>
      </c>
      <c r="Q54" s="32">
        <f t="shared" si="16"/>
        <v>42.166666666666664</v>
      </c>
      <c r="R54" s="45">
        <f t="shared" si="16"/>
        <v>42.133333333333333</v>
      </c>
      <c r="S54" s="32">
        <f t="shared" si="16"/>
        <v>42.1</v>
      </c>
      <c r="T54" s="45">
        <f t="shared" si="16"/>
        <v>42.06666666666667</v>
      </c>
      <c r="U54" s="45">
        <f t="shared" si="16"/>
        <v>42.033333333333331</v>
      </c>
      <c r="V54" s="45">
        <f t="shared" si="16"/>
        <v>42</v>
      </c>
      <c r="W54" s="32">
        <f t="shared" si="17"/>
        <v>41.966666666666669</v>
      </c>
      <c r="X54" s="45">
        <f t="shared" si="17"/>
        <v>41.93333333333333</v>
      </c>
      <c r="Y54" s="32">
        <f t="shared" si="17"/>
        <v>41.9</v>
      </c>
      <c r="Z54" s="45">
        <f t="shared" si="17"/>
        <v>41.866666666666667</v>
      </c>
      <c r="AA54" s="45">
        <f t="shared" si="17"/>
        <v>41.833333333333336</v>
      </c>
      <c r="AB54" s="45">
        <f t="shared" si="17"/>
        <v>41.8</v>
      </c>
      <c r="AC54" s="32">
        <f t="shared" si="17"/>
        <v>41.766666666666666</v>
      </c>
      <c r="AD54" s="45">
        <f t="shared" si="17"/>
        <v>41.733333333333334</v>
      </c>
      <c r="AE54" s="45">
        <f t="shared" si="17"/>
        <v>41.7</v>
      </c>
      <c r="AF54" s="45">
        <f t="shared" si="17"/>
        <v>41.666666666666664</v>
      </c>
      <c r="AG54" s="45">
        <f t="shared" si="17"/>
        <v>41.633333333333333</v>
      </c>
      <c r="AH54" s="45">
        <f t="shared" si="17"/>
        <v>41.6</v>
      </c>
      <c r="AI54" s="33">
        <f t="shared" si="17"/>
        <v>41.56666666666667</v>
      </c>
    </row>
    <row r="55" spans="1:35" x14ac:dyDescent="0.3">
      <c r="B55" s="40"/>
      <c r="C55" s="41">
        <v>45</v>
      </c>
      <c r="D55" s="23">
        <f t="shared" si="13"/>
        <v>1305</v>
      </c>
      <c r="F55" s="31"/>
      <c r="G55" s="32">
        <f t="shared" si="16"/>
        <v>43.466666666666669</v>
      </c>
      <c r="H55" s="45">
        <f t="shared" si="16"/>
        <v>43.43333333333333</v>
      </c>
      <c r="I55" s="45">
        <f t="shared" si="16"/>
        <v>43.4</v>
      </c>
      <c r="J55" s="45">
        <f t="shared" si="16"/>
        <v>43.366666666666667</v>
      </c>
      <c r="K55" s="45">
        <f t="shared" si="16"/>
        <v>43.333333333333336</v>
      </c>
      <c r="L55" s="45">
        <f t="shared" si="16"/>
        <v>43.3</v>
      </c>
      <c r="M55" s="32">
        <f t="shared" si="16"/>
        <v>43.266666666666666</v>
      </c>
      <c r="N55" s="45">
        <f t="shared" si="16"/>
        <v>43.233333333333334</v>
      </c>
      <c r="O55" s="45">
        <f t="shared" si="16"/>
        <v>43.2</v>
      </c>
      <c r="P55" s="45">
        <f t="shared" si="16"/>
        <v>43.166666666666664</v>
      </c>
      <c r="Q55" s="32">
        <f t="shared" si="16"/>
        <v>43.133333333333333</v>
      </c>
      <c r="R55" s="45">
        <f t="shared" si="16"/>
        <v>43.1</v>
      </c>
      <c r="S55" s="32">
        <f t="shared" si="16"/>
        <v>43.06666666666667</v>
      </c>
      <c r="T55" s="45">
        <f t="shared" si="16"/>
        <v>43.033333333333331</v>
      </c>
      <c r="U55" s="45">
        <f t="shared" si="16"/>
        <v>43</v>
      </c>
      <c r="V55" s="45">
        <f t="shared" si="16"/>
        <v>42.966666666666669</v>
      </c>
      <c r="W55" s="32">
        <f t="shared" si="17"/>
        <v>42.93333333333333</v>
      </c>
      <c r="X55" s="45">
        <f t="shared" si="17"/>
        <v>42.9</v>
      </c>
      <c r="Y55" s="32">
        <f t="shared" si="17"/>
        <v>42.866666666666667</v>
      </c>
      <c r="Z55" s="45">
        <f t="shared" si="17"/>
        <v>42.833333333333336</v>
      </c>
      <c r="AA55" s="45">
        <f t="shared" si="17"/>
        <v>42.8</v>
      </c>
      <c r="AB55" s="45">
        <f t="shared" si="17"/>
        <v>42.766666666666666</v>
      </c>
      <c r="AC55" s="32">
        <f t="shared" si="17"/>
        <v>42.733333333333334</v>
      </c>
      <c r="AD55" s="45">
        <f t="shared" si="17"/>
        <v>42.7</v>
      </c>
      <c r="AE55" s="45">
        <f t="shared" si="17"/>
        <v>42.666666666666664</v>
      </c>
      <c r="AF55" s="45">
        <f t="shared" si="17"/>
        <v>42.633333333333333</v>
      </c>
      <c r="AG55" s="45">
        <f t="shared" si="17"/>
        <v>42.6</v>
      </c>
      <c r="AH55" s="45">
        <f t="shared" si="17"/>
        <v>42.56666666666667</v>
      </c>
      <c r="AI55" s="33">
        <f t="shared" si="17"/>
        <v>42.533333333333331</v>
      </c>
    </row>
    <row r="56" spans="1:35" x14ac:dyDescent="0.3">
      <c r="B56" s="40"/>
      <c r="C56" s="41">
        <v>46</v>
      </c>
      <c r="D56" s="23">
        <f t="shared" si="13"/>
        <v>1334</v>
      </c>
      <c r="F56" s="31"/>
      <c r="G56" s="32">
        <f t="shared" si="16"/>
        <v>44.43333333333333</v>
      </c>
      <c r="H56" s="45">
        <f t="shared" si="16"/>
        <v>44.4</v>
      </c>
      <c r="I56" s="45">
        <f t="shared" si="16"/>
        <v>44.366666666666667</v>
      </c>
      <c r="J56" s="45">
        <f t="shared" si="16"/>
        <v>44.333333333333336</v>
      </c>
      <c r="K56" s="45">
        <f t="shared" si="16"/>
        <v>44.3</v>
      </c>
      <c r="L56" s="45">
        <f t="shared" si="16"/>
        <v>44.266666666666666</v>
      </c>
      <c r="M56" s="32">
        <f t="shared" si="16"/>
        <v>44.233333333333334</v>
      </c>
      <c r="N56" s="45">
        <f t="shared" si="16"/>
        <v>44.2</v>
      </c>
      <c r="O56" s="45">
        <f t="shared" si="16"/>
        <v>44.166666666666664</v>
      </c>
      <c r="P56" s="45">
        <f t="shared" si="16"/>
        <v>44.133333333333333</v>
      </c>
      <c r="Q56" s="32">
        <f t="shared" si="16"/>
        <v>44.1</v>
      </c>
      <c r="R56" s="45">
        <f t="shared" si="16"/>
        <v>44.06666666666667</v>
      </c>
      <c r="S56" s="32">
        <f t="shared" si="16"/>
        <v>44.033333333333331</v>
      </c>
      <c r="T56" s="45">
        <f t="shared" si="16"/>
        <v>44</v>
      </c>
      <c r="U56" s="45">
        <f t="shared" si="16"/>
        <v>43.966666666666669</v>
      </c>
      <c r="V56" s="45">
        <f t="shared" si="16"/>
        <v>43.93333333333333</v>
      </c>
      <c r="W56" s="32">
        <f t="shared" si="17"/>
        <v>43.9</v>
      </c>
      <c r="X56" s="45">
        <f t="shared" si="17"/>
        <v>43.866666666666667</v>
      </c>
      <c r="Y56" s="32">
        <f t="shared" si="17"/>
        <v>43.833333333333336</v>
      </c>
      <c r="Z56" s="45">
        <f t="shared" si="17"/>
        <v>43.8</v>
      </c>
      <c r="AA56" s="45">
        <f t="shared" si="17"/>
        <v>43.766666666666666</v>
      </c>
      <c r="AB56" s="45">
        <f t="shared" si="17"/>
        <v>43.733333333333334</v>
      </c>
      <c r="AC56" s="32">
        <f t="shared" si="17"/>
        <v>43.7</v>
      </c>
      <c r="AD56" s="45">
        <f t="shared" si="17"/>
        <v>43.666666666666664</v>
      </c>
      <c r="AE56" s="45">
        <f t="shared" si="17"/>
        <v>43.633333333333333</v>
      </c>
      <c r="AF56" s="45">
        <f t="shared" si="17"/>
        <v>43.6</v>
      </c>
      <c r="AG56" s="45">
        <f t="shared" si="17"/>
        <v>43.56666666666667</v>
      </c>
      <c r="AH56" s="45">
        <f t="shared" si="17"/>
        <v>43.533333333333331</v>
      </c>
      <c r="AI56" s="33">
        <f t="shared" si="17"/>
        <v>43.5</v>
      </c>
    </row>
    <row r="57" spans="1:35" x14ac:dyDescent="0.3">
      <c r="A57" s="23">
        <v>47</v>
      </c>
      <c r="B57" s="40" t="s">
        <v>3</v>
      </c>
      <c r="C57" s="41">
        <v>47</v>
      </c>
      <c r="D57" s="23">
        <f t="shared" si="13"/>
        <v>1363</v>
      </c>
      <c r="F57" s="31"/>
      <c r="G57" s="32">
        <f t="shared" si="16"/>
        <v>45.4</v>
      </c>
      <c r="H57" s="45">
        <f t="shared" si="16"/>
        <v>45.366666666666667</v>
      </c>
      <c r="I57" s="45">
        <f t="shared" si="16"/>
        <v>45.333333333333336</v>
      </c>
      <c r="J57" s="45">
        <f t="shared" si="16"/>
        <v>45.3</v>
      </c>
      <c r="K57" s="45">
        <f t="shared" si="16"/>
        <v>45.266666666666666</v>
      </c>
      <c r="L57" s="45">
        <f t="shared" si="16"/>
        <v>45.233333333333334</v>
      </c>
      <c r="M57" s="32">
        <f t="shared" si="16"/>
        <v>45.2</v>
      </c>
      <c r="N57" s="45">
        <f t="shared" si="16"/>
        <v>45.166666666666664</v>
      </c>
      <c r="O57" s="45">
        <f t="shared" si="16"/>
        <v>45.133333333333333</v>
      </c>
      <c r="P57" s="45">
        <f t="shared" si="16"/>
        <v>45.1</v>
      </c>
      <c r="Q57" s="32">
        <f t="shared" si="16"/>
        <v>45.06666666666667</v>
      </c>
      <c r="R57" s="45">
        <f t="shared" si="16"/>
        <v>45.033333333333331</v>
      </c>
      <c r="S57" s="32">
        <f t="shared" si="16"/>
        <v>45</v>
      </c>
      <c r="T57" s="45">
        <f t="shared" si="16"/>
        <v>44.966666666666669</v>
      </c>
      <c r="U57" s="45">
        <f t="shared" si="16"/>
        <v>44.93333333333333</v>
      </c>
      <c r="V57" s="45">
        <f t="shared" si="16"/>
        <v>44.9</v>
      </c>
      <c r="W57" s="32">
        <f t="shared" si="17"/>
        <v>44.866666666666667</v>
      </c>
      <c r="X57" s="45">
        <f t="shared" si="17"/>
        <v>44.833333333333336</v>
      </c>
      <c r="Y57" s="32">
        <f t="shared" si="17"/>
        <v>44.8</v>
      </c>
      <c r="Z57" s="45">
        <f t="shared" si="17"/>
        <v>44.766666666666666</v>
      </c>
      <c r="AA57" s="45">
        <f t="shared" si="17"/>
        <v>44.733333333333334</v>
      </c>
      <c r="AB57" s="45">
        <f t="shared" si="17"/>
        <v>44.7</v>
      </c>
      <c r="AC57" s="32">
        <f t="shared" si="17"/>
        <v>44.666666666666664</v>
      </c>
      <c r="AD57" s="45">
        <f t="shared" si="17"/>
        <v>44.633333333333333</v>
      </c>
      <c r="AE57" s="45">
        <f t="shared" si="17"/>
        <v>44.6</v>
      </c>
      <c r="AF57" s="45">
        <f t="shared" si="17"/>
        <v>44.56666666666667</v>
      </c>
      <c r="AG57" s="45">
        <f t="shared" si="17"/>
        <v>44.533333333333331</v>
      </c>
      <c r="AH57" s="45">
        <f t="shared" si="17"/>
        <v>44.5</v>
      </c>
      <c r="AI57" s="33">
        <f t="shared" si="17"/>
        <v>44.466666666666669</v>
      </c>
    </row>
    <row r="58" spans="1:35" x14ac:dyDescent="0.3">
      <c r="B58" s="40"/>
      <c r="C58" s="41">
        <v>48</v>
      </c>
      <c r="D58" s="23">
        <f t="shared" si="13"/>
        <v>1392</v>
      </c>
      <c r="F58" s="31"/>
      <c r="G58" s="32">
        <f t="shared" si="16"/>
        <v>46.366666666666667</v>
      </c>
      <c r="H58" s="45">
        <f t="shared" si="16"/>
        <v>46.333333333333336</v>
      </c>
      <c r="I58" s="45">
        <f t="shared" si="16"/>
        <v>46.3</v>
      </c>
      <c r="J58" s="45">
        <f t="shared" si="16"/>
        <v>46.266666666666666</v>
      </c>
      <c r="K58" s="45">
        <f t="shared" si="16"/>
        <v>46.233333333333334</v>
      </c>
      <c r="L58" s="45">
        <f t="shared" si="16"/>
        <v>46.2</v>
      </c>
      <c r="M58" s="32">
        <f t="shared" si="16"/>
        <v>46.166666666666664</v>
      </c>
      <c r="N58" s="45">
        <f t="shared" si="16"/>
        <v>46.133333333333333</v>
      </c>
      <c r="O58" s="45">
        <f t="shared" si="16"/>
        <v>46.1</v>
      </c>
      <c r="P58" s="45">
        <f t="shared" si="16"/>
        <v>46.06666666666667</v>
      </c>
      <c r="Q58" s="32">
        <f t="shared" si="16"/>
        <v>46.033333333333331</v>
      </c>
      <c r="R58" s="45">
        <f t="shared" si="16"/>
        <v>46</v>
      </c>
      <c r="S58" s="32">
        <f t="shared" si="16"/>
        <v>45.966666666666669</v>
      </c>
      <c r="T58" s="45">
        <f t="shared" si="16"/>
        <v>45.93333333333333</v>
      </c>
      <c r="U58" s="45">
        <f t="shared" si="16"/>
        <v>45.9</v>
      </c>
      <c r="V58" s="45">
        <f t="shared" si="16"/>
        <v>45.866666666666667</v>
      </c>
      <c r="W58" s="32">
        <f t="shared" si="17"/>
        <v>45.833333333333336</v>
      </c>
      <c r="X58" s="45">
        <f t="shared" si="17"/>
        <v>45.8</v>
      </c>
      <c r="Y58" s="32">
        <f t="shared" si="17"/>
        <v>45.766666666666666</v>
      </c>
      <c r="Z58" s="45">
        <f t="shared" si="17"/>
        <v>45.733333333333334</v>
      </c>
      <c r="AA58" s="45">
        <f t="shared" si="17"/>
        <v>45.7</v>
      </c>
      <c r="AB58" s="45">
        <f t="shared" si="17"/>
        <v>45.666666666666664</v>
      </c>
      <c r="AC58" s="32">
        <f t="shared" si="17"/>
        <v>45.633333333333333</v>
      </c>
      <c r="AD58" s="45">
        <f t="shared" si="17"/>
        <v>45.6</v>
      </c>
      <c r="AE58" s="45">
        <f t="shared" si="17"/>
        <v>45.56666666666667</v>
      </c>
      <c r="AF58" s="45">
        <f t="shared" si="17"/>
        <v>45.533333333333331</v>
      </c>
      <c r="AG58" s="45">
        <f t="shared" si="17"/>
        <v>45.5</v>
      </c>
      <c r="AH58" s="45">
        <f t="shared" si="17"/>
        <v>45.466666666666669</v>
      </c>
      <c r="AI58" s="33">
        <f t="shared" si="17"/>
        <v>45.43333333333333</v>
      </c>
    </row>
    <row r="59" spans="1:35" x14ac:dyDescent="0.3">
      <c r="B59" s="40"/>
      <c r="C59" s="41">
        <v>49</v>
      </c>
      <c r="D59" s="23">
        <f t="shared" si="13"/>
        <v>1421</v>
      </c>
      <c r="F59" s="31"/>
      <c r="G59" s="32">
        <f t="shared" si="16"/>
        <v>47.333333333333336</v>
      </c>
      <c r="H59" s="45">
        <f t="shared" si="16"/>
        <v>47.3</v>
      </c>
      <c r="I59" s="45">
        <f t="shared" si="16"/>
        <v>47.266666666666666</v>
      </c>
      <c r="J59" s="45">
        <f t="shared" si="16"/>
        <v>47.233333333333334</v>
      </c>
      <c r="K59" s="45">
        <f t="shared" si="16"/>
        <v>47.2</v>
      </c>
      <c r="L59" s="45">
        <f t="shared" si="16"/>
        <v>47.166666666666664</v>
      </c>
      <c r="M59" s="32">
        <f t="shared" si="16"/>
        <v>47.133333333333333</v>
      </c>
      <c r="N59" s="45">
        <f t="shared" si="16"/>
        <v>47.1</v>
      </c>
      <c r="O59" s="45">
        <f t="shared" si="16"/>
        <v>47.06666666666667</v>
      </c>
      <c r="P59" s="45">
        <f t="shared" si="16"/>
        <v>47.033333333333331</v>
      </c>
      <c r="Q59" s="32">
        <f t="shared" si="16"/>
        <v>47</v>
      </c>
      <c r="R59" s="45">
        <f t="shared" si="16"/>
        <v>46.966666666666669</v>
      </c>
      <c r="S59" s="32">
        <f t="shared" si="16"/>
        <v>46.93333333333333</v>
      </c>
      <c r="T59" s="45">
        <f t="shared" si="16"/>
        <v>46.9</v>
      </c>
      <c r="U59" s="45">
        <f t="shared" si="16"/>
        <v>46.866666666666667</v>
      </c>
      <c r="V59" s="45">
        <f t="shared" si="16"/>
        <v>46.833333333333336</v>
      </c>
      <c r="W59" s="32">
        <f t="shared" si="17"/>
        <v>46.8</v>
      </c>
      <c r="X59" s="45">
        <f t="shared" si="17"/>
        <v>46.766666666666666</v>
      </c>
      <c r="Y59" s="32">
        <f t="shared" si="17"/>
        <v>46.733333333333334</v>
      </c>
      <c r="Z59" s="45">
        <f t="shared" si="17"/>
        <v>46.7</v>
      </c>
      <c r="AA59" s="45">
        <f t="shared" si="17"/>
        <v>46.666666666666664</v>
      </c>
      <c r="AB59" s="45">
        <f t="shared" si="17"/>
        <v>46.633333333333333</v>
      </c>
      <c r="AC59" s="32">
        <f t="shared" si="17"/>
        <v>46.6</v>
      </c>
      <c r="AD59" s="45">
        <f t="shared" si="17"/>
        <v>46.56666666666667</v>
      </c>
      <c r="AE59" s="45">
        <f t="shared" si="17"/>
        <v>46.533333333333331</v>
      </c>
      <c r="AF59" s="45">
        <f t="shared" si="17"/>
        <v>46.5</v>
      </c>
      <c r="AG59" s="45">
        <f t="shared" si="17"/>
        <v>46.466666666666669</v>
      </c>
      <c r="AH59" s="45">
        <f t="shared" si="17"/>
        <v>46.43333333333333</v>
      </c>
      <c r="AI59" s="33">
        <f t="shared" si="17"/>
        <v>46.4</v>
      </c>
    </row>
    <row r="60" spans="1:35" x14ac:dyDescent="0.3">
      <c r="B60" s="40"/>
      <c r="C60" s="41">
        <v>50</v>
      </c>
      <c r="D60" s="23">
        <f t="shared" si="13"/>
        <v>1450</v>
      </c>
      <c r="F60" s="31"/>
      <c r="G60" s="32">
        <f t="shared" si="16"/>
        <v>48.3</v>
      </c>
      <c r="H60" s="45">
        <f t="shared" si="16"/>
        <v>48.266666666666666</v>
      </c>
      <c r="I60" s="45">
        <f t="shared" si="16"/>
        <v>48.233333333333334</v>
      </c>
      <c r="J60" s="45">
        <f t="shared" si="16"/>
        <v>48.2</v>
      </c>
      <c r="K60" s="45">
        <f t="shared" si="16"/>
        <v>48.166666666666664</v>
      </c>
      <c r="L60" s="45">
        <f t="shared" si="16"/>
        <v>48.133333333333333</v>
      </c>
      <c r="M60" s="32">
        <f t="shared" si="16"/>
        <v>48.1</v>
      </c>
      <c r="N60" s="45">
        <f t="shared" si="16"/>
        <v>48.06666666666667</v>
      </c>
      <c r="O60" s="45">
        <f t="shared" si="16"/>
        <v>48.033333333333331</v>
      </c>
      <c r="P60" s="45">
        <f t="shared" si="16"/>
        <v>48</v>
      </c>
      <c r="Q60" s="32">
        <f t="shared" si="16"/>
        <v>47.966666666666669</v>
      </c>
      <c r="R60" s="45">
        <f t="shared" si="16"/>
        <v>47.93333333333333</v>
      </c>
      <c r="S60" s="32">
        <f t="shared" si="16"/>
        <v>47.9</v>
      </c>
      <c r="T60" s="45">
        <f t="shared" si="16"/>
        <v>47.866666666666667</v>
      </c>
      <c r="U60" s="45">
        <f t="shared" si="16"/>
        <v>47.833333333333336</v>
      </c>
      <c r="V60" s="45">
        <f t="shared" si="16"/>
        <v>47.8</v>
      </c>
      <c r="W60" s="32">
        <f t="shared" si="17"/>
        <v>47.766666666666666</v>
      </c>
      <c r="X60" s="45">
        <f t="shared" si="17"/>
        <v>47.733333333333334</v>
      </c>
      <c r="Y60" s="32">
        <f t="shared" si="17"/>
        <v>47.7</v>
      </c>
      <c r="Z60" s="45">
        <f t="shared" si="17"/>
        <v>47.666666666666664</v>
      </c>
      <c r="AA60" s="45">
        <f t="shared" si="17"/>
        <v>47.633333333333333</v>
      </c>
      <c r="AB60" s="45">
        <f t="shared" si="17"/>
        <v>47.6</v>
      </c>
      <c r="AC60" s="32">
        <f t="shared" si="17"/>
        <v>47.56666666666667</v>
      </c>
      <c r="AD60" s="45">
        <f t="shared" si="17"/>
        <v>47.533333333333331</v>
      </c>
      <c r="AE60" s="45">
        <f t="shared" si="17"/>
        <v>47.5</v>
      </c>
      <c r="AF60" s="45">
        <f t="shared" si="17"/>
        <v>47.466666666666669</v>
      </c>
      <c r="AG60" s="45">
        <f t="shared" si="17"/>
        <v>47.43333333333333</v>
      </c>
      <c r="AH60" s="45">
        <f t="shared" si="17"/>
        <v>47.4</v>
      </c>
      <c r="AI60" s="33">
        <f t="shared" si="17"/>
        <v>47.366666666666667</v>
      </c>
    </row>
    <row r="61" spans="1:35" x14ac:dyDescent="0.3">
      <c r="B61" s="40"/>
      <c r="C61" s="41">
        <v>51</v>
      </c>
      <c r="D61" s="23">
        <f t="shared" si="13"/>
        <v>1479</v>
      </c>
      <c r="F61" s="31"/>
      <c r="G61" s="32">
        <f t="shared" si="16"/>
        <v>49.266666666666666</v>
      </c>
      <c r="H61" s="45">
        <f t="shared" si="16"/>
        <v>49.233333333333334</v>
      </c>
      <c r="I61" s="45">
        <f t="shared" si="16"/>
        <v>49.2</v>
      </c>
      <c r="J61" s="45">
        <f t="shared" si="16"/>
        <v>49.166666666666664</v>
      </c>
      <c r="K61" s="45">
        <f t="shared" si="16"/>
        <v>49.133333333333333</v>
      </c>
      <c r="L61" s="45">
        <f t="shared" si="16"/>
        <v>49.1</v>
      </c>
      <c r="M61" s="32">
        <f t="shared" si="16"/>
        <v>49.06666666666667</v>
      </c>
      <c r="N61" s="45">
        <f t="shared" si="16"/>
        <v>49.033333333333331</v>
      </c>
      <c r="O61" s="45">
        <f t="shared" si="16"/>
        <v>49</v>
      </c>
      <c r="P61" s="45">
        <f t="shared" si="16"/>
        <v>48.966666666666669</v>
      </c>
      <c r="Q61" s="32">
        <f t="shared" si="16"/>
        <v>48.93333333333333</v>
      </c>
      <c r="R61" s="45">
        <f t="shared" si="16"/>
        <v>48.9</v>
      </c>
      <c r="S61" s="32">
        <f t="shared" si="16"/>
        <v>48.866666666666667</v>
      </c>
      <c r="T61" s="45">
        <f t="shared" si="16"/>
        <v>48.833333333333336</v>
      </c>
      <c r="U61" s="45">
        <f t="shared" si="16"/>
        <v>48.8</v>
      </c>
      <c r="V61" s="45">
        <f t="shared" si="16"/>
        <v>48.766666666666666</v>
      </c>
      <c r="W61" s="32">
        <f t="shared" si="17"/>
        <v>48.733333333333334</v>
      </c>
      <c r="X61" s="45">
        <f t="shared" si="17"/>
        <v>48.7</v>
      </c>
      <c r="Y61" s="32">
        <f t="shared" si="17"/>
        <v>48.666666666666664</v>
      </c>
      <c r="Z61" s="45">
        <f t="shared" si="17"/>
        <v>48.633333333333333</v>
      </c>
      <c r="AA61" s="45">
        <f t="shared" si="17"/>
        <v>48.6</v>
      </c>
      <c r="AB61" s="45">
        <f t="shared" si="17"/>
        <v>48.56666666666667</v>
      </c>
      <c r="AC61" s="32">
        <f t="shared" si="17"/>
        <v>48.533333333333331</v>
      </c>
      <c r="AD61" s="45">
        <f t="shared" si="17"/>
        <v>48.5</v>
      </c>
      <c r="AE61" s="45">
        <f t="shared" si="17"/>
        <v>48.466666666666669</v>
      </c>
      <c r="AF61" s="45">
        <f t="shared" si="17"/>
        <v>48.43333333333333</v>
      </c>
      <c r="AG61" s="45">
        <f t="shared" si="17"/>
        <v>48.4</v>
      </c>
      <c r="AH61" s="45">
        <f t="shared" si="17"/>
        <v>48.366666666666667</v>
      </c>
      <c r="AI61" s="33">
        <f t="shared" si="17"/>
        <v>48.333333333333336</v>
      </c>
    </row>
    <row r="62" spans="1:35" x14ac:dyDescent="0.3">
      <c r="B62" s="40"/>
      <c r="C62" s="41">
        <v>52</v>
      </c>
      <c r="D62" s="23">
        <f t="shared" si="13"/>
        <v>1508</v>
      </c>
      <c r="F62" s="31"/>
      <c r="G62" s="32">
        <f t="shared" si="16"/>
        <v>50.233333333333334</v>
      </c>
      <c r="H62" s="45">
        <f t="shared" si="16"/>
        <v>50.2</v>
      </c>
      <c r="I62" s="45">
        <f t="shared" si="16"/>
        <v>50.166666666666664</v>
      </c>
      <c r="J62" s="45">
        <f t="shared" si="16"/>
        <v>50.133333333333333</v>
      </c>
      <c r="K62" s="45">
        <f t="shared" si="16"/>
        <v>50.1</v>
      </c>
      <c r="L62" s="45">
        <f t="shared" si="16"/>
        <v>50.06666666666667</v>
      </c>
      <c r="M62" s="32">
        <f t="shared" si="16"/>
        <v>50.033333333333331</v>
      </c>
      <c r="N62" s="45">
        <f t="shared" si="16"/>
        <v>50</v>
      </c>
      <c r="O62" s="45">
        <f t="shared" si="16"/>
        <v>49.966666666666669</v>
      </c>
      <c r="P62" s="45">
        <f t="shared" si="16"/>
        <v>49.93333333333333</v>
      </c>
      <c r="Q62" s="32">
        <f t="shared" si="16"/>
        <v>49.9</v>
      </c>
      <c r="R62" s="45">
        <f t="shared" si="16"/>
        <v>49.866666666666667</v>
      </c>
      <c r="S62" s="32">
        <f t="shared" si="16"/>
        <v>49.833333333333336</v>
      </c>
      <c r="T62" s="45">
        <f t="shared" si="16"/>
        <v>49.8</v>
      </c>
      <c r="U62" s="45">
        <f t="shared" si="16"/>
        <v>49.766666666666666</v>
      </c>
      <c r="V62" s="45">
        <f t="shared" si="16"/>
        <v>49.733333333333334</v>
      </c>
      <c r="W62" s="32">
        <f t="shared" si="17"/>
        <v>49.7</v>
      </c>
      <c r="X62" s="45">
        <f t="shared" si="17"/>
        <v>49.666666666666664</v>
      </c>
      <c r="Y62" s="32">
        <f t="shared" si="17"/>
        <v>49.633333333333333</v>
      </c>
      <c r="Z62" s="45">
        <f t="shared" si="17"/>
        <v>49.6</v>
      </c>
      <c r="AA62" s="45">
        <f t="shared" si="17"/>
        <v>49.56666666666667</v>
      </c>
      <c r="AB62" s="45">
        <f t="shared" si="17"/>
        <v>49.533333333333331</v>
      </c>
      <c r="AC62" s="32">
        <f t="shared" si="17"/>
        <v>49.5</v>
      </c>
      <c r="AD62" s="45">
        <f t="shared" si="17"/>
        <v>49.466666666666669</v>
      </c>
      <c r="AE62" s="45">
        <f t="shared" si="17"/>
        <v>49.43333333333333</v>
      </c>
      <c r="AF62" s="45">
        <f t="shared" si="17"/>
        <v>49.4</v>
      </c>
      <c r="AG62" s="45">
        <f t="shared" si="17"/>
        <v>49.366666666666667</v>
      </c>
      <c r="AH62" s="45">
        <f t="shared" si="17"/>
        <v>49.333333333333336</v>
      </c>
      <c r="AI62" s="33">
        <f t="shared" si="17"/>
        <v>49.3</v>
      </c>
    </row>
    <row r="63" spans="1:35" x14ac:dyDescent="0.3">
      <c r="A63" s="23">
        <v>53</v>
      </c>
      <c r="B63" s="40" t="s">
        <v>3</v>
      </c>
      <c r="C63" s="41">
        <v>53</v>
      </c>
      <c r="D63" s="23">
        <f t="shared" si="13"/>
        <v>1537</v>
      </c>
      <c r="F63" s="31"/>
      <c r="G63" s="32">
        <f t="shared" si="16"/>
        <v>51.2</v>
      </c>
      <c r="H63" s="45">
        <f t="shared" si="16"/>
        <v>51.166666666666664</v>
      </c>
      <c r="I63" s="45">
        <f t="shared" si="16"/>
        <v>51.133333333333333</v>
      </c>
      <c r="J63" s="45">
        <f t="shared" si="16"/>
        <v>51.1</v>
      </c>
      <c r="K63" s="45">
        <f t="shared" si="16"/>
        <v>51.06666666666667</v>
      </c>
      <c r="L63" s="45">
        <f t="shared" si="16"/>
        <v>51.033333333333331</v>
      </c>
      <c r="M63" s="32">
        <f t="shared" si="16"/>
        <v>51</v>
      </c>
      <c r="N63" s="45">
        <f t="shared" si="16"/>
        <v>50.966666666666669</v>
      </c>
      <c r="O63" s="45">
        <f t="shared" si="16"/>
        <v>50.93333333333333</v>
      </c>
      <c r="P63" s="45">
        <f t="shared" ref="P63:AI69" si="18">($D63-P$4)/30</f>
        <v>50.9</v>
      </c>
      <c r="Q63" s="32">
        <f t="shared" si="18"/>
        <v>50.866666666666667</v>
      </c>
      <c r="R63" s="45">
        <f t="shared" si="18"/>
        <v>50.833333333333336</v>
      </c>
      <c r="S63" s="32">
        <f t="shared" si="18"/>
        <v>50.8</v>
      </c>
      <c r="T63" s="45">
        <f t="shared" si="18"/>
        <v>50.766666666666666</v>
      </c>
      <c r="U63" s="45">
        <f t="shared" si="18"/>
        <v>50.733333333333334</v>
      </c>
      <c r="V63" s="45">
        <f t="shared" si="18"/>
        <v>50.7</v>
      </c>
      <c r="W63" s="32">
        <f t="shared" si="18"/>
        <v>50.666666666666664</v>
      </c>
      <c r="X63" s="45">
        <f t="shared" si="18"/>
        <v>50.633333333333333</v>
      </c>
      <c r="Y63" s="32">
        <f t="shared" si="18"/>
        <v>50.6</v>
      </c>
      <c r="Z63" s="45">
        <f t="shared" si="18"/>
        <v>50.56666666666667</v>
      </c>
      <c r="AA63" s="45">
        <f t="shared" si="18"/>
        <v>50.533333333333331</v>
      </c>
      <c r="AB63" s="45">
        <f t="shared" si="18"/>
        <v>50.5</v>
      </c>
      <c r="AC63" s="32">
        <f t="shared" si="18"/>
        <v>50.466666666666669</v>
      </c>
      <c r="AD63" s="45">
        <f t="shared" si="18"/>
        <v>50.43333333333333</v>
      </c>
      <c r="AE63" s="45">
        <f t="shared" si="18"/>
        <v>50.4</v>
      </c>
      <c r="AF63" s="45">
        <f t="shared" si="18"/>
        <v>50.366666666666667</v>
      </c>
      <c r="AG63" s="45">
        <f t="shared" si="18"/>
        <v>50.333333333333336</v>
      </c>
      <c r="AH63" s="45">
        <f t="shared" si="18"/>
        <v>50.3</v>
      </c>
      <c r="AI63" s="33">
        <f t="shared" si="18"/>
        <v>50.266666666666666</v>
      </c>
    </row>
    <row r="64" spans="1:35" x14ac:dyDescent="0.3">
      <c r="B64" s="40"/>
      <c r="C64" s="41">
        <v>54</v>
      </c>
      <c r="D64" s="23">
        <f t="shared" si="13"/>
        <v>1566</v>
      </c>
      <c r="F64" s="31"/>
      <c r="G64" s="32">
        <f t="shared" ref="G64:V69" si="19">($D64-G$4)/30</f>
        <v>52.166666666666664</v>
      </c>
      <c r="H64" s="45">
        <f t="shared" si="19"/>
        <v>52.133333333333333</v>
      </c>
      <c r="I64" s="45">
        <f t="shared" si="19"/>
        <v>52.1</v>
      </c>
      <c r="J64" s="45">
        <f t="shared" si="19"/>
        <v>52.06666666666667</v>
      </c>
      <c r="K64" s="45">
        <f t="shared" si="19"/>
        <v>52.033333333333331</v>
      </c>
      <c r="L64" s="45">
        <f t="shared" si="19"/>
        <v>52</v>
      </c>
      <c r="M64" s="32">
        <f t="shared" si="19"/>
        <v>51.966666666666669</v>
      </c>
      <c r="N64" s="45">
        <f t="shared" si="19"/>
        <v>51.93333333333333</v>
      </c>
      <c r="O64" s="45">
        <f t="shared" si="19"/>
        <v>51.9</v>
      </c>
      <c r="P64" s="45">
        <f t="shared" si="19"/>
        <v>51.866666666666667</v>
      </c>
      <c r="Q64" s="32">
        <f t="shared" si="19"/>
        <v>51.833333333333336</v>
      </c>
      <c r="R64" s="45">
        <f t="shared" si="19"/>
        <v>51.8</v>
      </c>
      <c r="S64" s="32">
        <f t="shared" si="19"/>
        <v>51.766666666666666</v>
      </c>
      <c r="T64" s="45">
        <f t="shared" si="19"/>
        <v>51.733333333333334</v>
      </c>
      <c r="U64" s="45">
        <f t="shared" si="19"/>
        <v>51.7</v>
      </c>
      <c r="V64" s="45">
        <f t="shared" si="19"/>
        <v>51.666666666666664</v>
      </c>
      <c r="W64" s="32">
        <f t="shared" si="18"/>
        <v>51.633333333333333</v>
      </c>
      <c r="X64" s="45">
        <f t="shared" si="18"/>
        <v>51.6</v>
      </c>
      <c r="Y64" s="32">
        <f t="shared" si="18"/>
        <v>51.56666666666667</v>
      </c>
      <c r="Z64" s="45">
        <f t="shared" si="18"/>
        <v>51.533333333333331</v>
      </c>
      <c r="AA64" s="45">
        <f t="shared" si="18"/>
        <v>51.5</v>
      </c>
      <c r="AB64" s="45">
        <f t="shared" si="18"/>
        <v>51.466666666666669</v>
      </c>
      <c r="AC64" s="32">
        <f t="shared" si="18"/>
        <v>51.43333333333333</v>
      </c>
      <c r="AD64" s="45">
        <f t="shared" si="18"/>
        <v>51.4</v>
      </c>
      <c r="AE64" s="45">
        <f t="shared" si="18"/>
        <v>51.366666666666667</v>
      </c>
      <c r="AF64" s="45">
        <f t="shared" si="18"/>
        <v>51.333333333333336</v>
      </c>
      <c r="AG64" s="45">
        <f t="shared" si="18"/>
        <v>51.3</v>
      </c>
      <c r="AH64" s="45">
        <f t="shared" si="18"/>
        <v>51.266666666666666</v>
      </c>
      <c r="AI64" s="33">
        <f t="shared" si="18"/>
        <v>51.233333333333334</v>
      </c>
    </row>
    <row r="65" spans="1:35" x14ac:dyDescent="0.3">
      <c r="B65" s="40"/>
      <c r="C65" s="41">
        <v>55</v>
      </c>
      <c r="D65" s="23">
        <f t="shared" si="13"/>
        <v>1595</v>
      </c>
      <c r="F65" s="31"/>
      <c r="G65" s="32">
        <f t="shared" si="19"/>
        <v>53.133333333333333</v>
      </c>
      <c r="H65" s="45">
        <f t="shared" si="19"/>
        <v>53.1</v>
      </c>
      <c r="I65" s="45">
        <f t="shared" si="19"/>
        <v>53.06666666666667</v>
      </c>
      <c r="J65" s="45">
        <f t="shared" si="19"/>
        <v>53.033333333333331</v>
      </c>
      <c r="K65" s="45">
        <f t="shared" si="19"/>
        <v>53</v>
      </c>
      <c r="L65" s="45">
        <f t="shared" si="19"/>
        <v>52.966666666666669</v>
      </c>
      <c r="M65" s="32">
        <f t="shared" si="19"/>
        <v>52.93333333333333</v>
      </c>
      <c r="N65" s="45">
        <f t="shared" si="19"/>
        <v>52.9</v>
      </c>
      <c r="O65" s="45">
        <f t="shared" si="19"/>
        <v>52.866666666666667</v>
      </c>
      <c r="P65" s="45">
        <f t="shared" si="19"/>
        <v>52.833333333333336</v>
      </c>
      <c r="Q65" s="32">
        <f t="shared" si="19"/>
        <v>52.8</v>
      </c>
      <c r="R65" s="45">
        <f t="shared" si="19"/>
        <v>52.766666666666666</v>
      </c>
      <c r="S65" s="32">
        <f t="shared" si="19"/>
        <v>52.733333333333334</v>
      </c>
      <c r="T65" s="45">
        <f t="shared" si="19"/>
        <v>52.7</v>
      </c>
      <c r="U65" s="45">
        <f t="shared" si="19"/>
        <v>52.666666666666664</v>
      </c>
      <c r="V65" s="45">
        <f t="shared" si="19"/>
        <v>52.633333333333333</v>
      </c>
      <c r="W65" s="32">
        <f t="shared" si="18"/>
        <v>52.6</v>
      </c>
      <c r="X65" s="45">
        <f t="shared" si="18"/>
        <v>52.56666666666667</v>
      </c>
      <c r="Y65" s="32">
        <f t="shared" si="18"/>
        <v>52.533333333333331</v>
      </c>
      <c r="Z65" s="45">
        <f t="shared" si="18"/>
        <v>52.5</v>
      </c>
      <c r="AA65" s="45">
        <f t="shared" si="18"/>
        <v>52.466666666666669</v>
      </c>
      <c r="AB65" s="45">
        <f t="shared" si="18"/>
        <v>52.43333333333333</v>
      </c>
      <c r="AC65" s="32">
        <f t="shared" si="18"/>
        <v>52.4</v>
      </c>
      <c r="AD65" s="45">
        <f t="shared" si="18"/>
        <v>52.366666666666667</v>
      </c>
      <c r="AE65" s="45">
        <f t="shared" si="18"/>
        <v>52.333333333333336</v>
      </c>
      <c r="AF65" s="45">
        <f t="shared" si="18"/>
        <v>52.3</v>
      </c>
      <c r="AG65" s="45">
        <f t="shared" si="18"/>
        <v>52.266666666666666</v>
      </c>
      <c r="AH65" s="45">
        <f t="shared" si="18"/>
        <v>52.233333333333334</v>
      </c>
      <c r="AI65" s="33">
        <f t="shared" si="18"/>
        <v>52.2</v>
      </c>
    </row>
    <row r="66" spans="1:35" x14ac:dyDescent="0.3">
      <c r="B66" s="40"/>
      <c r="C66" s="41">
        <v>56</v>
      </c>
      <c r="D66" s="23">
        <f t="shared" si="13"/>
        <v>1624</v>
      </c>
      <c r="F66" s="31"/>
      <c r="G66" s="32">
        <f t="shared" si="19"/>
        <v>54.1</v>
      </c>
      <c r="H66" s="45">
        <f t="shared" si="19"/>
        <v>54.06666666666667</v>
      </c>
      <c r="I66" s="45">
        <f t="shared" si="19"/>
        <v>54.033333333333331</v>
      </c>
      <c r="J66" s="45">
        <f t="shared" si="19"/>
        <v>54</v>
      </c>
      <c r="K66" s="45">
        <f t="shared" si="19"/>
        <v>53.966666666666669</v>
      </c>
      <c r="L66" s="45">
        <f t="shared" si="19"/>
        <v>53.93333333333333</v>
      </c>
      <c r="M66" s="32">
        <f t="shared" si="19"/>
        <v>53.9</v>
      </c>
      <c r="N66" s="45">
        <f t="shared" si="19"/>
        <v>53.866666666666667</v>
      </c>
      <c r="O66" s="45">
        <f t="shared" si="19"/>
        <v>53.833333333333336</v>
      </c>
      <c r="P66" s="45">
        <f t="shared" si="19"/>
        <v>53.8</v>
      </c>
      <c r="Q66" s="32">
        <f t="shared" si="19"/>
        <v>53.766666666666666</v>
      </c>
      <c r="R66" s="45">
        <f t="shared" si="19"/>
        <v>53.733333333333334</v>
      </c>
      <c r="S66" s="32">
        <f t="shared" si="19"/>
        <v>53.7</v>
      </c>
      <c r="T66" s="45">
        <f t="shared" si="19"/>
        <v>53.666666666666664</v>
      </c>
      <c r="U66" s="45">
        <f t="shared" si="19"/>
        <v>53.633333333333333</v>
      </c>
      <c r="V66" s="45">
        <f t="shared" si="19"/>
        <v>53.6</v>
      </c>
      <c r="W66" s="32">
        <f t="shared" si="18"/>
        <v>53.56666666666667</v>
      </c>
      <c r="X66" s="45">
        <f t="shared" si="18"/>
        <v>53.533333333333331</v>
      </c>
      <c r="Y66" s="32">
        <f t="shared" si="18"/>
        <v>53.5</v>
      </c>
      <c r="Z66" s="45">
        <f t="shared" si="18"/>
        <v>53.466666666666669</v>
      </c>
      <c r="AA66" s="45">
        <f t="shared" si="18"/>
        <v>53.43333333333333</v>
      </c>
      <c r="AB66" s="45">
        <f t="shared" si="18"/>
        <v>53.4</v>
      </c>
      <c r="AC66" s="32">
        <f t="shared" si="18"/>
        <v>53.366666666666667</v>
      </c>
      <c r="AD66" s="45">
        <f t="shared" si="18"/>
        <v>53.333333333333336</v>
      </c>
      <c r="AE66" s="45">
        <f t="shared" si="18"/>
        <v>53.3</v>
      </c>
      <c r="AF66" s="45">
        <f t="shared" si="18"/>
        <v>53.266666666666666</v>
      </c>
      <c r="AG66" s="45">
        <f t="shared" si="18"/>
        <v>53.233333333333334</v>
      </c>
      <c r="AH66" s="45">
        <f t="shared" si="18"/>
        <v>53.2</v>
      </c>
      <c r="AI66" s="33">
        <f t="shared" si="18"/>
        <v>53.166666666666664</v>
      </c>
    </row>
    <row r="67" spans="1:35" x14ac:dyDescent="0.3">
      <c r="B67" s="40"/>
      <c r="C67" s="41">
        <v>57</v>
      </c>
      <c r="D67" s="23">
        <f t="shared" si="13"/>
        <v>1653</v>
      </c>
      <c r="F67" s="31"/>
      <c r="G67" s="32">
        <f t="shared" si="19"/>
        <v>55.06666666666667</v>
      </c>
      <c r="H67" s="45">
        <f t="shared" si="19"/>
        <v>55.033333333333331</v>
      </c>
      <c r="I67" s="45">
        <f t="shared" si="19"/>
        <v>55</v>
      </c>
      <c r="J67" s="45">
        <f t="shared" si="19"/>
        <v>54.966666666666669</v>
      </c>
      <c r="K67" s="45">
        <f t="shared" si="19"/>
        <v>54.93333333333333</v>
      </c>
      <c r="L67" s="45">
        <f t="shared" si="19"/>
        <v>54.9</v>
      </c>
      <c r="M67" s="32">
        <f t="shared" si="19"/>
        <v>54.866666666666667</v>
      </c>
      <c r="N67" s="45">
        <f t="shared" si="19"/>
        <v>54.833333333333336</v>
      </c>
      <c r="O67" s="45">
        <f t="shared" si="19"/>
        <v>54.8</v>
      </c>
      <c r="P67" s="45">
        <f t="shared" si="19"/>
        <v>54.766666666666666</v>
      </c>
      <c r="Q67" s="32">
        <f t="shared" si="19"/>
        <v>54.733333333333334</v>
      </c>
      <c r="R67" s="45">
        <f t="shared" si="19"/>
        <v>54.7</v>
      </c>
      <c r="S67" s="32">
        <f t="shared" si="19"/>
        <v>54.666666666666664</v>
      </c>
      <c r="T67" s="45">
        <f t="shared" si="19"/>
        <v>54.633333333333333</v>
      </c>
      <c r="U67" s="45">
        <f t="shared" si="19"/>
        <v>54.6</v>
      </c>
      <c r="V67" s="45">
        <f t="shared" si="19"/>
        <v>54.56666666666667</v>
      </c>
      <c r="W67" s="32">
        <f t="shared" si="18"/>
        <v>54.533333333333331</v>
      </c>
      <c r="X67" s="45">
        <f t="shared" si="18"/>
        <v>54.5</v>
      </c>
      <c r="Y67" s="32">
        <f t="shared" si="18"/>
        <v>54.466666666666669</v>
      </c>
      <c r="Z67" s="45">
        <f t="shared" si="18"/>
        <v>54.43333333333333</v>
      </c>
      <c r="AA67" s="45">
        <f t="shared" si="18"/>
        <v>54.4</v>
      </c>
      <c r="AB67" s="45">
        <f t="shared" si="18"/>
        <v>54.366666666666667</v>
      </c>
      <c r="AC67" s="32">
        <f t="shared" si="18"/>
        <v>54.333333333333336</v>
      </c>
      <c r="AD67" s="45">
        <f t="shared" si="18"/>
        <v>54.3</v>
      </c>
      <c r="AE67" s="45">
        <f t="shared" si="18"/>
        <v>54.266666666666666</v>
      </c>
      <c r="AF67" s="45">
        <f t="shared" si="18"/>
        <v>54.233333333333334</v>
      </c>
      <c r="AG67" s="45">
        <f t="shared" si="18"/>
        <v>54.2</v>
      </c>
      <c r="AH67" s="45">
        <f t="shared" si="18"/>
        <v>54.166666666666664</v>
      </c>
      <c r="AI67" s="33">
        <f t="shared" si="18"/>
        <v>54.133333333333333</v>
      </c>
    </row>
    <row r="68" spans="1:35" x14ac:dyDescent="0.3">
      <c r="B68" s="40"/>
      <c r="C68" s="41">
        <v>58</v>
      </c>
      <c r="D68" s="23">
        <f t="shared" si="13"/>
        <v>1682</v>
      </c>
      <c r="F68" s="31"/>
      <c r="G68" s="32">
        <f t="shared" si="19"/>
        <v>56.033333333333331</v>
      </c>
      <c r="H68" s="45">
        <f t="shared" si="19"/>
        <v>56</v>
      </c>
      <c r="I68" s="45">
        <f t="shared" si="19"/>
        <v>55.966666666666669</v>
      </c>
      <c r="J68" s="45">
        <f t="shared" si="19"/>
        <v>55.93333333333333</v>
      </c>
      <c r="K68" s="45">
        <f t="shared" si="19"/>
        <v>55.9</v>
      </c>
      <c r="L68" s="45">
        <f t="shared" si="19"/>
        <v>55.866666666666667</v>
      </c>
      <c r="M68" s="32">
        <f t="shared" si="19"/>
        <v>55.833333333333336</v>
      </c>
      <c r="N68" s="45">
        <f t="shared" si="19"/>
        <v>55.8</v>
      </c>
      <c r="O68" s="45">
        <f t="shared" si="19"/>
        <v>55.766666666666666</v>
      </c>
      <c r="P68" s="45">
        <f t="shared" si="19"/>
        <v>55.733333333333334</v>
      </c>
      <c r="Q68" s="32">
        <f t="shared" si="19"/>
        <v>55.7</v>
      </c>
      <c r="R68" s="45">
        <f t="shared" si="19"/>
        <v>55.666666666666664</v>
      </c>
      <c r="S68" s="32">
        <f t="shared" si="19"/>
        <v>55.633333333333333</v>
      </c>
      <c r="T68" s="45">
        <f t="shared" si="19"/>
        <v>55.6</v>
      </c>
      <c r="U68" s="45">
        <f t="shared" si="19"/>
        <v>55.56666666666667</v>
      </c>
      <c r="V68" s="45">
        <f t="shared" si="19"/>
        <v>55.533333333333331</v>
      </c>
      <c r="W68" s="32">
        <f t="shared" si="18"/>
        <v>55.5</v>
      </c>
      <c r="X68" s="45">
        <f t="shared" si="18"/>
        <v>55.466666666666669</v>
      </c>
      <c r="Y68" s="32">
        <f t="shared" si="18"/>
        <v>55.43333333333333</v>
      </c>
      <c r="Z68" s="45">
        <f t="shared" si="18"/>
        <v>55.4</v>
      </c>
      <c r="AA68" s="45">
        <f t="shared" si="18"/>
        <v>55.366666666666667</v>
      </c>
      <c r="AB68" s="45">
        <f t="shared" si="18"/>
        <v>55.333333333333336</v>
      </c>
      <c r="AC68" s="32">
        <f t="shared" si="18"/>
        <v>55.3</v>
      </c>
      <c r="AD68" s="45">
        <f t="shared" si="18"/>
        <v>55.266666666666666</v>
      </c>
      <c r="AE68" s="45">
        <f t="shared" si="18"/>
        <v>55.233333333333334</v>
      </c>
      <c r="AF68" s="45">
        <f t="shared" si="18"/>
        <v>55.2</v>
      </c>
      <c r="AG68" s="45">
        <f t="shared" si="18"/>
        <v>55.166666666666664</v>
      </c>
      <c r="AH68" s="45">
        <f t="shared" si="18"/>
        <v>55.133333333333333</v>
      </c>
      <c r="AI68" s="33">
        <f t="shared" si="18"/>
        <v>55.1</v>
      </c>
    </row>
    <row r="69" spans="1:35" ht="19.2" thickBot="1" x14ac:dyDescent="0.35">
      <c r="A69" s="23">
        <v>59</v>
      </c>
      <c r="B69" s="42" t="s">
        <v>3</v>
      </c>
      <c r="C69" s="43">
        <v>59</v>
      </c>
      <c r="D69" s="23">
        <f t="shared" si="13"/>
        <v>1711</v>
      </c>
      <c r="F69" s="34"/>
      <c r="G69" s="35">
        <f t="shared" si="19"/>
        <v>57</v>
      </c>
      <c r="H69" s="47">
        <f t="shared" si="19"/>
        <v>56.966666666666669</v>
      </c>
      <c r="I69" s="47">
        <f t="shared" si="19"/>
        <v>56.93333333333333</v>
      </c>
      <c r="J69" s="47">
        <f t="shared" si="19"/>
        <v>56.9</v>
      </c>
      <c r="K69" s="47">
        <f t="shared" si="19"/>
        <v>56.866666666666667</v>
      </c>
      <c r="L69" s="47">
        <f t="shared" si="19"/>
        <v>56.833333333333336</v>
      </c>
      <c r="M69" s="35">
        <f t="shared" si="19"/>
        <v>56.8</v>
      </c>
      <c r="N69" s="47">
        <f t="shared" si="19"/>
        <v>56.766666666666666</v>
      </c>
      <c r="O69" s="47">
        <f t="shared" si="19"/>
        <v>56.733333333333334</v>
      </c>
      <c r="P69" s="47">
        <f t="shared" si="19"/>
        <v>56.7</v>
      </c>
      <c r="Q69" s="35">
        <f t="shared" si="19"/>
        <v>56.666666666666664</v>
      </c>
      <c r="R69" s="47">
        <f t="shared" si="19"/>
        <v>56.633333333333333</v>
      </c>
      <c r="S69" s="35">
        <f t="shared" si="19"/>
        <v>56.6</v>
      </c>
      <c r="T69" s="47">
        <f t="shared" si="19"/>
        <v>56.56666666666667</v>
      </c>
      <c r="U69" s="47">
        <f t="shared" si="19"/>
        <v>56.533333333333331</v>
      </c>
      <c r="V69" s="47">
        <f t="shared" si="19"/>
        <v>56.5</v>
      </c>
      <c r="W69" s="35">
        <f t="shared" si="18"/>
        <v>56.466666666666669</v>
      </c>
      <c r="X69" s="47">
        <f t="shared" si="18"/>
        <v>56.43333333333333</v>
      </c>
      <c r="Y69" s="35">
        <f t="shared" si="18"/>
        <v>56.4</v>
      </c>
      <c r="Z69" s="47">
        <f t="shared" si="18"/>
        <v>56.366666666666667</v>
      </c>
      <c r="AA69" s="47">
        <f t="shared" si="18"/>
        <v>56.333333333333336</v>
      </c>
      <c r="AB69" s="47">
        <f t="shared" si="18"/>
        <v>56.3</v>
      </c>
      <c r="AC69" s="35">
        <f t="shared" si="18"/>
        <v>56.266666666666666</v>
      </c>
      <c r="AD69" s="47">
        <f t="shared" si="18"/>
        <v>56.233333333333334</v>
      </c>
      <c r="AE69" s="47">
        <f t="shared" si="18"/>
        <v>56.2</v>
      </c>
      <c r="AF69" s="47">
        <f t="shared" si="18"/>
        <v>56.166666666666664</v>
      </c>
      <c r="AG69" s="47">
        <f t="shared" si="18"/>
        <v>56.133333333333333</v>
      </c>
      <c r="AH69" s="47">
        <f t="shared" si="18"/>
        <v>56.1</v>
      </c>
      <c r="AI69" s="36">
        <f t="shared" si="18"/>
        <v>56.06666666666667</v>
      </c>
    </row>
    <row r="77" spans="1:35" x14ac:dyDescent="0.3">
      <c r="D77" s="37">
        <f>D37</f>
        <v>29</v>
      </c>
    </row>
    <row r="79" spans="1:35" ht="19.2" thickBot="1" x14ac:dyDescent="0.35">
      <c r="F79" s="23">
        <v>0</v>
      </c>
      <c r="G79" s="24">
        <v>1</v>
      </c>
      <c r="H79" s="23">
        <v>2</v>
      </c>
      <c r="I79" s="23">
        <v>3</v>
      </c>
      <c r="J79" s="23">
        <v>4</v>
      </c>
      <c r="K79" s="23">
        <v>5</v>
      </c>
      <c r="L79" s="23">
        <v>6</v>
      </c>
      <c r="M79" s="24">
        <v>7</v>
      </c>
      <c r="N79" s="23">
        <v>8</v>
      </c>
      <c r="O79" s="23">
        <v>9</v>
      </c>
      <c r="P79" s="23">
        <v>10</v>
      </c>
      <c r="Q79" s="24">
        <v>11</v>
      </c>
      <c r="R79" s="23">
        <v>12</v>
      </c>
      <c r="S79" s="24">
        <v>13</v>
      </c>
      <c r="T79" s="23">
        <v>14</v>
      </c>
      <c r="U79" s="23">
        <v>15</v>
      </c>
      <c r="V79" s="23">
        <v>16</v>
      </c>
      <c r="W79" s="24">
        <v>17</v>
      </c>
      <c r="X79" s="23">
        <v>18</v>
      </c>
      <c r="Y79" s="24">
        <v>19</v>
      </c>
      <c r="Z79" s="23">
        <v>20</v>
      </c>
      <c r="AA79" s="23">
        <v>21</v>
      </c>
      <c r="AB79" s="23">
        <v>22</v>
      </c>
      <c r="AC79" s="24">
        <v>23</v>
      </c>
      <c r="AD79" s="23">
        <v>24</v>
      </c>
      <c r="AE79" s="23">
        <v>25</v>
      </c>
      <c r="AF79" s="23">
        <v>26</v>
      </c>
      <c r="AG79" s="23">
        <v>27</v>
      </c>
      <c r="AH79" s="23">
        <v>28</v>
      </c>
      <c r="AI79" s="24">
        <v>29</v>
      </c>
    </row>
    <row r="80" spans="1:35" ht="19.2" thickTop="1" x14ac:dyDescent="0.3">
      <c r="B80" s="38"/>
      <c r="C80" s="39">
        <v>60</v>
      </c>
      <c r="D80" s="23">
        <f>C80*$D$2</f>
        <v>1740</v>
      </c>
      <c r="F80" s="27"/>
      <c r="G80" s="28"/>
      <c r="H80" s="29"/>
      <c r="I80" s="29"/>
      <c r="J80" s="29"/>
      <c r="K80" s="29"/>
      <c r="L80" s="29"/>
      <c r="M80" s="28"/>
      <c r="N80" s="29"/>
      <c r="O80" s="29"/>
      <c r="P80" s="29"/>
      <c r="Q80" s="28"/>
      <c r="R80" s="29"/>
      <c r="S80" s="28"/>
      <c r="T80" s="29"/>
      <c r="U80" s="46"/>
      <c r="V80" s="29"/>
      <c r="W80" s="28"/>
      <c r="X80" s="29"/>
      <c r="Y80" s="28"/>
      <c r="Z80" s="29"/>
      <c r="AA80" s="29"/>
      <c r="AB80" s="29"/>
      <c r="AC80" s="28"/>
      <c r="AD80" s="29"/>
      <c r="AE80" s="29"/>
      <c r="AF80" s="29"/>
      <c r="AG80" s="29"/>
      <c r="AH80" s="29"/>
      <c r="AI80" s="30"/>
    </row>
    <row r="81" spans="1:35" x14ac:dyDescent="0.3">
      <c r="A81" s="23">
        <v>61</v>
      </c>
      <c r="B81" s="40" t="s">
        <v>3</v>
      </c>
      <c r="C81" s="41">
        <v>61</v>
      </c>
      <c r="D81" s="23">
        <f t="shared" ref="D81:D109" si="20">C81*$D$2</f>
        <v>1769</v>
      </c>
      <c r="F81" s="31"/>
      <c r="G81" s="32">
        <f>($D81-G$4)/30</f>
        <v>58.93333333333333</v>
      </c>
      <c r="H81" s="45">
        <f t="shared" ref="H81:L81" si="21">($D81-H$4)/30</f>
        <v>58.9</v>
      </c>
      <c r="I81" s="45">
        <f t="shared" si="21"/>
        <v>58.866666666666667</v>
      </c>
      <c r="J81" s="45">
        <f t="shared" si="21"/>
        <v>58.833333333333336</v>
      </c>
      <c r="K81" s="45">
        <f t="shared" si="21"/>
        <v>58.8</v>
      </c>
      <c r="L81" s="45">
        <f t="shared" si="21"/>
        <v>58.766666666666666</v>
      </c>
      <c r="M81" s="32">
        <f>($D81-M$4)/30</f>
        <v>58.733333333333334</v>
      </c>
      <c r="N81" s="45">
        <f t="shared" ref="N81:AI92" si="22">($D81-N$4)/30</f>
        <v>58.7</v>
      </c>
      <c r="O81" s="45">
        <f t="shared" si="22"/>
        <v>58.666666666666664</v>
      </c>
      <c r="P81" s="45">
        <f t="shared" si="22"/>
        <v>58.633333333333333</v>
      </c>
      <c r="Q81" s="32">
        <f t="shared" si="22"/>
        <v>58.6</v>
      </c>
      <c r="R81" s="45">
        <f t="shared" si="22"/>
        <v>58.56666666666667</v>
      </c>
      <c r="S81" s="32">
        <f t="shared" si="22"/>
        <v>58.533333333333331</v>
      </c>
      <c r="T81" s="45">
        <f t="shared" si="22"/>
        <v>58.5</v>
      </c>
      <c r="U81" s="45">
        <f t="shared" si="22"/>
        <v>58.466666666666669</v>
      </c>
      <c r="V81" s="45">
        <f t="shared" si="22"/>
        <v>58.43333333333333</v>
      </c>
      <c r="W81" s="32">
        <f t="shared" si="22"/>
        <v>58.4</v>
      </c>
      <c r="X81" s="45">
        <f t="shared" si="22"/>
        <v>58.366666666666667</v>
      </c>
      <c r="Y81" s="32">
        <f t="shared" si="22"/>
        <v>58.333333333333336</v>
      </c>
      <c r="Z81" s="45">
        <f t="shared" si="22"/>
        <v>58.3</v>
      </c>
      <c r="AA81" s="45">
        <f t="shared" si="22"/>
        <v>58.266666666666666</v>
      </c>
      <c r="AB81" s="45">
        <f t="shared" si="22"/>
        <v>58.233333333333334</v>
      </c>
      <c r="AC81" s="32">
        <f t="shared" si="22"/>
        <v>58.2</v>
      </c>
      <c r="AD81" s="45">
        <f t="shared" si="22"/>
        <v>58.166666666666664</v>
      </c>
      <c r="AE81" s="45">
        <f t="shared" si="22"/>
        <v>58.133333333333333</v>
      </c>
      <c r="AF81" s="45">
        <f t="shared" si="22"/>
        <v>58.1</v>
      </c>
      <c r="AG81" s="45">
        <f t="shared" si="22"/>
        <v>58.06666666666667</v>
      </c>
      <c r="AH81" s="45">
        <f t="shared" si="22"/>
        <v>58.033333333333331</v>
      </c>
      <c r="AI81" s="33">
        <f t="shared" si="22"/>
        <v>58</v>
      </c>
    </row>
    <row r="82" spans="1:35" x14ac:dyDescent="0.3">
      <c r="B82" s="40"/>
      <c r="C82" s="41">
        <v>62</v>
      </c>
      <c r="D82" s="23">
        <f t="shared" si="20"/>
        <v>1798</v>
      </c>
      <c r="F82" s="31"/>
      <c r="G82" s="32">
        <f t="shared" ref="G82:V103" si="23">($D82-G$4)/30</f>
        <v>59.9</v>
      </c>
      <c r="H82" s="45">
        <f t="shared" si="23"/>
        <v>59.866666666666667</v>
      </c>
      <c r="I82" s="45">
        <f t="shared" si="23"/>
        <v>59.833333333333336</v>
      </c>
      <c r="J82" s="45">
        <f t="shared" si="23"/>
        <v>59.8</v>
      </c>
      <c r="K82" s="45">
        <f t="shared" si="23"/>
        <v>59.766666666666666</v>
      </c>
      <c r="L82" s="45">
        <f t="shared" si="23"/>
        <v>59.733333333333334</v>
      </c>
      <c r="M82" s="32">
        <f t="shared" si="23"/>
        <v>59.7</v>
      </c>
      <c r="N82" s="45">
        <f t="shared" si="23"/>
        <v>59.666666666666664</v>
      </c>
      <c r="O82" s="45">
        <f t="shared" si="23"/>
        <v>59.633333333333333</v>
      </c>
      <c r="P82" s="45">
        <f t="shared" si="23"/>
        <v>59.6</v>
      </c>
      <c r="Q82" s="32">
        <f t="shared" si="23"/>
        <v>59.56666666666667</v>
      </c>
      <c r="R82" s="45">
        <f t="shared" si="23"/>
        <v>59.533333333333331</v>
      </c>
      <c r="S82" s="32">
        <f t="shared" si="23"/>
        <v>59.5</v>
      </c>
      <c r="T82" s="45">
        <f t="shared" si="23"/>
        <v>59.466666666666669</v>
      </c>
      <c r="U82" s="45">
        <f t="shared" si="23"/>
        <v>59.43333333333333</v>
      </c>
      <c r="V82" s="45">
        <f t="shared" si="23"/>
        <v>59.4</v>
      </c>
      <c r="W82" s="32">
        <f t="shared" si="22"/>
        <v>59.366666666666667</v>
      </c>
      <c r="X82" s="45">
        <f t="shared" si="22"/>
        <v>59.333333333333336</v>
      </c>
      <c r="Y82" s="32">
        <f t="shared" si="22"/>
        <v>59.3</v>
      </c>
      <c r="Z82" s="45">
        <f t="shared" si="22"/>
        <v>59.266666666666666</v>
      </c>
      <c r="AA82" s="45">
        <f t="shared" si="22"/>
        <v>59.233333333333334</v>
      </c>
      <c r="AB82" s="45">
        <f t="shared" si="22"/>
        <v>59.2</v>
      </c>
      <c r="AC82" s="32">
        <f t="shared" si="22"/>
        <v>59.166666666666664</v>
      </c>
      <c r="AD82" s="45">
        <f t="shared" si="22"/>
        <v>59.133333333333333</v>
      </c>
      <c r="AE82" s="45">
        <f t="shared" si="22"/>
        <v>59.1</v>
      </c>
      <c r="AF82" s="45">
        <f t="shared" si="22"/>
        <v>59.06666666666667</v>
      </c>
      <c r="AG82" s="45">
        <f t="shared" si="22"/>
        <v>59.033333333333331</v>
      </c>
      <c r="AH82" s="45">
        <f t="shared" si="22"/>
        <v>59</v>
      </c>
      <c r="AI82" s="33">
        <f t="shared" si="22"/>
        <v>58.966666666666669</v>
      </c>
    </row>
    <row r="83" spans="1:35" x14ac:dyDescent="0.3">
      <c r="B83" s="40"/>
      <c r="C83" s="41">
        <v>63</v>
      </c>
      <c r="D83" s="23">
        <f t="shared" si="20"/>
        <v>1827</v>
      </c>
      <c r="F83" s="31"/>
      <c r="G83" s="32">
        <f t="shared" si="23"/>
        <v>60.866666666666667</v>
      </c>
      <c r="H83" s="45">
        <f t="shared" si="23"/>
        <v>60.833333333333336</v>
      </c>
      <c r="I83" s="45">
        <f t="shared" si="23"/>
        <v>60.8</v>
      </c>
      <c r="J83" s="45">
        <f t="shared" si="23"/>
        <v>60.766666666666666</v>
      </c>
      <c r="K83" s="45">
        <f t="shared" si="23"/>
        <v>60.733333333333334</v>
      </c>
      <c r="L83" s="45">
        <f t="shared" si="23"/>
        <v>60.7</v>
      </c>
      <c r="M83" s="32">
        <f t="shared" si="23"/>
        <v>60.666666666666664</v>
      </c>
      <c r="N83" s="45">
        <f t="shared" si="22"/>
        <v>60.633333333333333</v>
      </c>
      <c r="O83" s="45">
        <f t="shared" si="22"/>
        <v>60.6</v>
      </c>
      <c r="P83" s="45">
        <f t="shared" si="22"/>
        <v>60.56666666666667</v>
      </c>
      <c r="Q83" s="32">
        <f t="shared" si="22"/>
        <v>60.533333333333331</v>
      </c>
      <c r="R83" s="45">
        <f t="shared" si="22"/>
        <v>60.5</v>
      </c>
      <c r="S83" s="32">
        <f t="shared" si="22"/>
        <v>60.466666666666669</v>
      </c>
      <c r="T83" s="45">
        <f t="shared" si="22"/>
        <v>60.43333333333333</v>
      </c>
      <c r="U83" s="45">
        <f t="shared" si="22"/>
        <v>60.4</v>
      </c>
      <c r="V83" s="45">
        <f t="shared" si="22"/>
        <v>60.366666666666667</v>
      </c>
      <c r="W83" s="32">
        <f t="shared" si="22"/>
        <v>60.333333333333336</v>
      </c>
      <c r="X83" s="45">
        <f t="shared" si="22"/>
        <v>60.3</v>
      </c>
      <c r="Y83" s="32">
        <f t="shared" si="22"/>
        <v>60.266666666666666</v>
      </c>
      <c r="Z83" s="45">
        <f t="shared" si="22"/>
        <v>60.233333333333334</v>
      </c>
      <c r="AA83" s="45">
        <f t="shared" si="22"/>
        <v>60.2</v>
      </c>
      <c r="AB83" s="45">
        <f t="shared" si="22"/>
        <v>60.166666666666664</v>
      </c>
      <c r="AC83" s="32">
        <f t="shared" si="22"/>
        <v>60.133333333333333</v>
      </c>
      <c r="AD83" s="45">
        <f t="shared" si="22"/>
        <v>60.1</v>
      </c>
      <c r="AE83" s="45">
        <f t="shared" si="22"/>
        <v>60.06666666666667</v>
      </c>
      <c r="AF83" s="45">
        <f t="shared" si="22"/>
        <v>60.033333333333331</v>
      </c>
      <c r="AG83" s="45">
        <f t="shared" si="22"/>
        <v>60</v>
      </c>
      <c r="AH83" s="45">
        <f t="shared" si="22"/>
        <v>59.966666666666669</v>
      </c>
      <c r="AI83" s="33">
        <f t="shared" si="22"/>
        <v>59.93333333333333</v>
      </c>
    </row>
    <row r="84" spans="1:35" x14ac:dyDescent="0.3">
      <c r="B84" s="40"/>
      <c r="C84" s="41">
        <v>64</v>
      </c>
      <c r="D84" s="23">
        <f t="shared" si="20"/>
        <v>1856</v>
      </c>
      <c r="F84" s="31"/>
      <c r="G84" s="32">
        <f t="shared" si="23"/>
        <v>61.833333333333336</v>
      </c>
      <c r="H84" s="45">
        <f t="shared" si="23"/>
        <v>61.8</v>
      </c>
      <c r="I84" s="45">
        <f t="shared" si="23"/>
        <v>61.766666666666666</v>
      </c>
      <c r="J84" s="45">
        <f t="shared" si="23"/>
        <v>61.733333333333334</v>
      </c>
      <c r="K84" s="45">
        <f t="shared" si="23"/>
        <v>61.7</v>
      </c>
      <c r="L84" s="45">
        <f t="shared" si="23"/>
        <v>61.666666666666664</v>
      </c>
      <c r="M84" s="32">
        <f t="shared" si="23"/>
        <v>61.633333333333333</v>
      </c>
      <c r="N84" s="45">
        <f t="shared" si="22"/>
        <v>61.6</v>
      </c>
      <c r="O84" s="45">
        <f t="shared" si="22"/>
        <v>61.56666666666667</v>
      </c>
      <c r="P84" s="45">
        <f t="shared" si="22"/>
        <v>61.533333333333331</v>
      </c>
      <c r="Q84" s="32">
        <f t="shared" si="22"/>
        <v>61.5</v>
      </c>
      <c r="R84" s="45">
        <f t="shared" si="22"/>
        <v>61.466666666666669</v>
      </c>
      <c r="S84" s="32">
        <f t="shared" si="22"/>
        <v>61.43333333333333</v>
      </c>
      <c r="T84" s="45">
        <f t="shared" si="22"/>
        <v>61.4</v>
      </c>
      <c r="U84" s="45">
        <f t="shared" si="22"/>
        <v>61.366666666666667</v>
      </c>
      <c r="V84" s="45">
        <f t="shared" si="22"/>
        <v>61.333333333333336</v>
      </c>
      <c r="W84" s="32">
        <f t="shared" si="22"/>
        <v>61.3</v>
      </c>
      <c r="X84" s="45">
        <f t="shared" si="22"/>
        <v>61.266666666666666</v>
      </c>
      <c r="Y84" s="32">
        <f t="shared" si="22"/>
        <v>61.233333333333334</v>
      </c>
      <c r="Z84" s="45">
        <f t="shared" si="22"/>
        <v>61.2</v>
      </c>
      <c r="AA84" s="45">
        <f t="shared" si="22"/>
        <v>61.166666666666664</v>
      </c>
      <c r="AB84" s="45">
        <f t="shared" si="22"/>
        <v>61.133333333333333</v>
      </c>
      <c r="AC84" s="32">
        <f t="shared" si="22"/>
        <v>61.1</v>
      </c>
      <c r="AD84" s="45">
        <f t="shared" si="22"/>
        <v>61.06666666666667</v>
      </c>
      <c r="AE84" s="45">
        <f t="shared" si="22"/>
        <v>61.033333333333331</v>
      </c>
      <c r="AF84" s="45">
        <f t="shared" si="22"/>
        <v>61</v>
      </c>
      <c r="AG84" s="45">
        <f t="shared" si="22"/>
        <v>60.966666666666669</v>
      </c>
      <c r="AH84" s="45">
        <f t="shared" si="22"/>
        <v>60.93333333333333</v>
      </c>
      <c r="AI84" s="33">
        <f t="shared" si="22"/>
        <v>60.9</v>
      </c>
    </row>
    <row r="85" spans="1:35" x14ac:dyDescent="0.3">
      <c r="B85" s="40"/>
      <c r="C85" s="41">
        <v>65</v>
      </c>
      <c r="D85" s="23">
        <f t="shared" si="20"/>
        <v>1885</v>
      </c>
      <c r="F85" s="31"/>
      <c r="G85" s="32">
        <f t="shared" si="23"/>
        <v>62.8</v>
      </c>
      <c r="H85" s="45">
        <f t="shared" si="23"/>
        <v>62.766666666666666</v>
      </c>
      <c r="I85" s="45">
        <f t="shared" si="23"/>
        <v>62.733333333333334</v>
      </c>
      <c r="J85" s="45">
        <f t="shared" si="23"/>
        <v>62.7</v>
      </c>
      <c r="K85" s="45">
        <f t="shared" si="23"/>
        <v>62.666666666666664</v>
      </c>
      <c r="L85" s="45">
        <f t="shared" si="23"/>
        <v>62.633333333333333</v>
      </c>
      <c r="M85" s="32">
        <f t="shared" si="23"/>
        <v>62.6</v>
      </c>
      <c r="N85" s="45">
        <f t="shared" si="22"/>
        <v>62.56666666666667</v>
      </c>
      <c r="O85" s="45">
        <f t="shared" si="22"/>
        <v>62.533333333333331</v>
      </c>
      <c r="P85" s="45">
        <f t="shared" si="22"/>
        <v>62.5</v>
      </c>
      <c r="Q85" s="32">
        <f t="shared" si="22"/>
        <v>62.466666666666669</v>
      </c>
      <c r="R85" s="45">
        <f t="shared" si="22"/>
        <v>62.43333333333333</v>
      </c>
      <c r="S85" s="32">
        <f t="shared" si="22"/>
        <v>62.4</v>
      </c>
      <c r="T85" s="45">
        <f t="shared" si="22"/>
        <v>62.366666666666667</v>
      </c>
      <c r="U85" s="45">
        <f t="shared" si="22"/>
        <v>62.333333333333336</v>
      </c>
      <c r="V85" s="45">
        <f t="shared" si="22"/>
        <v>62.3</v>
      </c>
      <c r="W85" s="32">
        <f t="shared" si="22"/>
        <v>62.266666666666666</v>
      </c>
      <c r="X85" s="45">
        <f t="shared" si="22"/>
        <v>62.233333333333334</v>
      </c>
      <c r="Y85" s="32">
        <f t="shared" si="22"/>
        <v>62.2</v>
      </c>
      <c r="Z85" s="45">
        <f t="shared" si="22"/>
        <v>62.166666666666664</v>
      </c>
      <c r="AA85" s="45">
        <f t="shared" si="22"/>
        <v>62.133333333333333</v>
      </c>
      <c r="AB85" s="45">
        <f t="shared" si="22"/>
        <v>62.1</v>
      </c>
      <c r="AC85" s="32">
        <f t="shared" si="22"/>
        <v>62.06666666666667</v>
      </c>
      <c r="AD85" s="45">
        <f t="shared" si="22"/>
        <v>62.033333333333331</v>
      </c>
      <c r="AE85" s="45">
        <f t="shared" si="22"/>
        <v>62</v>
      </c>
      <c r="AF85" s="45">
        <f t="shared" si="22"/>
        <v>61.966666666666669</v>
      </c>
      <c r="AG85" s="45">
        <f t="shared" si="22"/>
        <v>61.93333333333333</v>
      </c>
      <c r="AH85" s="45">
        <f t="shared" si="22"/>
        <v>61.9</v>
      </c>
      <c r="AI85" s="33">
        <f t="shared" si="22"/>
        <v>61.866666666666667</v>
      </c>
    </row>
    <row r="86" spans="1:35" x14ac:dyDescent="0.3">
      <c r="B86" s="40"/>
      <c r="C86" s="41">
        <v>66</v>
      </c>
      <c r="D86" s="23">
        <f t="shared" si="20"/>
        <v>1914</v>
      </c>
      <c r="F86" s="31"/>
      <c r="G86" s="32">
        <f t="shared" si="23"/>
        <v>63.766666666666666</v>
      </c>
      <c r="H86" s="45">
        <f t="shared" si="23"/>
        <v>63.733333333333334</v>
      </c>
      <c r="I86" s="45">
        <f t="shared" si="23"/>
        <v>63.7</v>
      </c>
      <c r="J86" s="45">
        <f t="shared" si="23"/>
        <v>63.666666666666664</v>
      </c>
      <c r="K86" s="45">
        <f t="shared" si="23"/>
        <v>63.633333333333333</v>
      </c>
      <c r="L86" s="45">
        <f t="shared" si="23"/>
        <v>63.6</v>
      </c>
      <c r="M86" s="32">
        <f t="shared" si="23"/>
        <v>63.56666666666667</v>
      </c>
      <c r="N86" s="45">
        <f t="shared" si="22"/>
        <v>63.533333333333331</v>
      </c>
      <c r="O86" s="45">
        <f t="shared" si="22"/>
        <v>63.5</v>
      </c>
      <c r="P86" s="45">
        <f t="shared" si="22"/>
        <v>63.466666666666669</v>
      </c>
      <c r="Q86" s="32">
        <f t="shared" si="22"/>
        <v>63.43333333333333</v>
      </c>
      <c r="R86" s="45">
        <f t="shared" si="22"/>
        <v>63.4</v>
      </c>
      <c r="S86" s="32">
        <f t="shared" si="22"/>
        <v>63.366666666666667</v>
      </c>
      <c r="T86" s="45">
        <f t="shared" si="22"/>
        <v>63.333333333333336</v>
      </c>
      <c r="U86" s="45">
        <f t="shared" si="22"/>
        <v>63.3</v>
      </c>
      <c r="V86" s="45">
        <f t="shared" si="22"/>
        <v>63.266666666666666</v>
      </c>
      <c r="W86" s="32">
        <f t="shared" si="22"/>
        <v>63.233333333333334</v>
      </c>
      <c r="X86" s="45">
        <f t="shared" si="22"/>
        <v>63.2</v>
      </c>
      <c r="Y86" s="32">
        <f t="shared" si="22"/>
        <v>63.166666666666664</v>
      </c>
      <c r="Z86" s="45">
        <f t="shared" si="22"/>
        <v>63.133333333333333</v>
      </c>
      <c r="AA86" s="45">
        <f t="shared" si="22"/>
        <v>63.1</v>
      </c>
      <c r="AB86" s="45">
        <f t="shared" si="22"/>
        <v>63.06666666666667</v>
      </c>
      <c r="AC86" s="32">
        <f t="shared" si="22"/>
        <v>63.033333333333331</v>
      </c>
      <c r="AD86" s="45">
        <f t="shared" si="22"/>
        <v>63</v>
      </c>
      <c r="AE86" s="45">
        <f t="shared" si="22"/>
        <v>62.966666666666669</v>
      </c>
      <c r="AF86" s="45">
        <f t="shared" si="22"/>
        <v>62.93333333333333</v>
      </c>
      <c r="AG86" s="45">
        <f t="shared" si="22"/>
        <v>62.9</v>
      </c>
      <c r="AH86" s="45">
        <f t="shared" si="22"/>
        <v>62.866666666666667</v>
      </c>
      <c r="AI86" s="33">
        <f t="shared" si="22"/>
        <v>62.833333333333336</v>
      </c>
    </row>
    <row r="87" spans="1:35" x14ac:dyDescent="0.3">
      <c r="A87" s="23">
        <v>67</v>
      </c>
      <c r="B87" s="40" t="s">
        <v>3</v>
      </c>
      <c r="C87" s="41">
        <v>67</v>
      </c>
      <c r="D87" s="23">
        <f t="shared" si="20"/>
        <v>1943</v>
      </c>
      <c r="F87" s="31"/>
      <c r="G87" s="32">
        <f t="shared" si="23"/>
        <v>64.733333333333334</v>
      </c>
      <c r="H87" s="45">
        <f t="shared" si="23"/>
        <v>64.7</v>
      </c>
      <c r="I87" s="45">
        <f t="shared" si="23"/>
        <v>64.666666666666671</v>
      </c>
      <c r="J87" s="45">
        <f t="shared" si="23"/>
        <v>64.63333333333334</v>
      </c>
      <c r="K87" s="45">
        <f t="shared" si="23"/>
        <v>64.599999999999994</v>
      </c>
      <c r="L87" s="45">
        <f t="shared" si="23"/>
        <v>64.566666666666663</v>
      </c>
      <c r="M87" s="32">
        <f t="shared" si="23"/>
        <v>64.533333333333331</v>
      </c>
      <c r="N87" s="45">
        <f t="shared" si="22"/>
        <v>64.5</v>
      </c>
      <c r="O87" s="45">
        <f t="shared" si="22"/>
        <v>64.466666666666669</v>
      </c>
      <c r="P87" s="45">
        <f t="shared" si="22"/>
        <v>64.433333333333337</v>
      </c>
      <c r="Q87" s="32">
        <f t="shared" si="22"/>
        <v>64.400000000000006</v>
      </c>
      <c r="R87" s="45">
        <f t="shared" si="22"/>
        <v>64.36666666666666</v>
      </c>
      <c r="S87" s="32">
        <f t="shared" si="22"/>
        <v>64.333333333333329</v>
      </c>
      <c r="T87" s="45">
        <f t="shared" si="22"/>
        <v>64.3</v>
      </c>
      <c r="U87" s="45">
        <f t="shared" si="22"/>
        <v>64.266666666666666</v>
      </c>
      <c r="V87" s="45">
        <f t="shared" si="22"/>
        <v>64.233333333333334</v>
      </c>
      <c r="W87" s="32">
        <f t="shared" si="22"/>
        <v>64.2</v>
      </c>
      <c r="X87" s="45">
        <f t="shared" si="22"/>
        <v>64.166666666666671</v>
      </c>
      <c r="Y87" s="32">
        <f t="shared" si="22"/>
        <v>64.13333333333334</v>
      </c>
      <c r="Z87" s="45">
        <f t="shared" si="22"/>
        <v>64.099999999999994</v>
      </c>
      <c r="AA87" s="45">
        <f t="shared" si="22"/>
        <v>64.066666666666663</v>
      </c>
      <c r="AB87" s="45">
        <f t="shared" si="22"/>
        <v>64.033333333333331</v>
      </c>
      <c r="AC87" s="32">
        <f t="shared" si="22"/>
        <v>64</v>
      </c>
      <c r="AD87" s="45">
        <f t="shared" si="22"/>
        <v>63.966666666666669</v>
      </c>
      <c r="AE87" s="45">
        <f t="shared" si="22"/>
        <v>63.93333333333333</v>
      </c>
      <c r="AF87" s="45">
        <f t="shared" si="22"/>
        <v>63.9</v>
      </c>
      <c r="AG87" s="45">
        <f t="shared" si="22"/>
        <v>63.866666666666667</v>
      </c>
      <c r="AH87" s="45">
        <f t="shared" si="22"/>
        <v>63.833333333333336</v>
      </c>
      <c r="AI87" s="33">
        <f t="shared" si="22"/>
        <v>63.8</v>
      </c>
    </row>
    <row r="88" spans="1:35" x14ac:dyDescent="0.3">
      <c r="B88" s="40"/>
      <c r="C88" s="41">
        <v>68</v>
      </c>
      <c r="D88" s="23">
        <f t="shared" si="20"/>
        <v>1972</v>
      </c>
      <c r="F88" s="31"/>
      <c r="G88" s="32">
        <f t="shared" si="23"/>
        <v>65.7</v>
      </c>
      <c r="H88" s="45">
        <f t="shared" si="23"/>
        <v>65.666666666666671</v>
      </c>
      <c r="I88" s="45">
        <f t="shared" si="23"/>
        <v>65.63333333333334</v>
      </c>
      <c r="J88" s="45">
        <f t="shared" si="23"/>
        <v>65.599999999999994</v>
      </c>
      <c r="K88" s="45">
        <f t="shared" si="23"/>
        <v>65.566666666666663</v>
      </c>
      <c r="L88" s="45">
        <f t="shared" si="23"/>
        <v>65.533333333333331</v>
      </c>
      <c r="M88" s="32">
        <f t="shared" si="23"/>
        <v>65.5</v>
      </c>
      <c r="N88" s="45">
        <f t="shared" si="22"/>
        <v>65.466666666666669</v>
      </c>
      <c r="O88" s="45">
        <f t="shared" si="22"/>
        <v>65.433333333333337</v>
      </c>
      <c r="P88" s="45">
        <f t="shared" si="22"/>
        <v>65.400000000000006</v>
      </c>
      <c r="Q88" s="32">
        <f t="shared" si="22"/>
        <v>65.36666666666666</v>
      </c>
      <c r="R88" s="45">
        <f t="shared" si="22"/>
        <v>65.333333333333329</v>
      </c>
      <c r="S88" s="32">
        <f t="shared" si="22"/>
        <v>65.3</v>
      </c>
      <c r="T88" s="45">
        <f t="shared" si="22"/>
        <v>65.266666666666666</v>
      </c>
      <c r="U88" s="45">
        <f t="shared" si="22"/>
        <v>65.233333333333334</v>
      </c>
      <c r="V88" s="45">
        <f t="shared" si="22"/>
        <v>65.2</v>
      </c>
      <c r="W88" s="32">
        <f t="shared" si="22"/>
        <v>65.166666666666671</v>
      </c>
      <c r="X88" s="45">
        <f t="shared" si="22"/>
        <v>65.13333333333334</v>
      </c>
      <c r="Y88" s="32">
        <f t="shared" si="22"/>
        <v>65.099999999999994</v>
      </c>
      <c r="Z88" s="45">
        <f t="shared" si="22"/>
        <v>65.066666666666663</v>
      </c>
      <c r="AA88" s="45">
        <f t="shared" si="22"/>
        <v>65.033333333333331</v>
      </c>
      <c r="AB88" s="45">
        <f t="shared" si="22"/>
        <v>65</v>
      </c>
      <c r="AC88" s="32">
        <f t="shared" si="22"/>
        <v>64.966666666666669</v>
      </c>
      <c r="AD88" s="45">
        <f t="shared" si="22"/>
        <v>64.933333333333337</v>
      </c>
      <c r="AE88" s="45">
        <f t="shared" si="22"/>
        <v>64.900000000000006</v>
      </c>
      <c r="AF88" s="45">
        <f t="shared" si="22"/>
        <v>64.86666666666666</v>
      </c>
      <c r="AG88" s="45">
        <f t="shared" si="22"/>
        <v>64.833333333333329</v>
      </c>
      <c r="AH88" s="45">
        <f t="shared" si="22"/>
        <v>64.8</v>
      </c>
      <c r="AI88" s="33">
        <f t="shared" si="22"/>
        <v>64.766666666666666</v>
      </c>
    </row>
    <row r="89" spans="1:35" x14ac:dyDescent="0.3">
      <c r="B89" s="40"/>
      <c r="C89" s="41">
        <v>69</v>
      </c>
      <c r="D89" s="23">
        <f t="shared" si="20"/>
        <v>2001</v>
      </c>
      <c r="F89" s="31"/>
      <c r="G89" s="32">
        <f t="shared" si="23"/>
        <v>66.666666666666671</v>
      </c>
      <c r="H89" s="45">
        <f t="shared" si="23"/>
        <v>66.63333333333334</v>
      </c>
      <c r="I89" s="45">
        <f t="shared" si="23"/>
        <v>66.599999999999994</v>
      </c>
      <c r="J89" s="45">
        <f t="shared" si="23"/>
        <v>66.566666666666663</v>
      </c>
      <c r="K89" s="45">
        <f t="shared" si="23"/>
        <v>66.533333333333331</v>
      </c>
      <c r="L89" s="45">
        <f t="shared" si="23"/>
        <v>66.5</v>
      </c>
      <c r="M89" s="32">
        <f t="shared" si="23"/>
        <v>66.466666666666669</v>
      </c>
      <c r="N89" s="45">
        <f t="shared" si="22"/>
        <v>66.433333333333337</v>
      </c>
      <c r="O89" s="45">
        <f t="shared" si="22"/>
        <v>66.400000000000006</v>
      </c>
      <c r="P89" s="45">
        <f t="shared" si="22"/>
        <v>66.36666666666666</v>
      </c>
      <c r="Q89" s="32">
        <f t="shared" si="22"/>
        <v>66.333333333333329</v>
      </c>
      <c r="R89" s="45">
        <f t="shared" si="22"/>
        <v>66.3</v>
      </c>
      <c r="S89" s="32">
        <f t="shared" si="22"/>
        <v>66.266666666666666</v>
      </c>
      <c r="T89" s="45">
        <f t="shared" si="22"/>
        <v>66.233333333333334</v>
      </c>
      <c r="U89" s="45">
        <f t="shared" si="22"/>
        <v>66.2</v>
      </c>
      <c r="V89" s="45">
        <f t="shared" si="22"/>
        <v>66.166666666666671</v>
      </c>
      <c r="W89" s="32">
        <f t="shared" si="22"/>
        <v>66.13333333333334</v>
      </c>
      <c r="X89" s="45">
        <f t="shared" si="22"/>
        <v>66.099999999999994</v>
      </c>
      <c r="Y89" s="32">
        <f t="shared" si="22"/>
        <v>66.066666666666663</v>
      </c>
      <c r="Z89" s="45">
        <f t="shared" si="22"/>
        <v>66.033333333333331</v>
      </c>
      <c r="AA89" s="45">
        <f t="shared" si="22"/>
        <v>66</v>
      </c>
      <c r="AB89" s="45">
        <f t="shared" si="22"/>
        <v>65.966666666666669</v>
      </c>
      <c r="AC89" s="32">
        <f t="shared" si="22"/>
        <v>65.933333333333337</v>
      </c>
      <c r="AD89" s="45">
        <f t="shared" si="22"/>
        <v>65.900000000000006</v>
      </c>
      <c r="AE89" s="45">
        <f t="shared" si="22"/>
        <v>65.86666666666666</v>
      </c>
      <c r="AF89" s="45">
        <f t="shared" si="22"/>
        <v>65.833333333333329</v>
      </c>
      <c r="AG89" s="45">
        <f t="shared" si="22"/>
        <v>65.8</v>
      </c>
      <c r="AH89" s="45">
        <f t="shared" si="22"/>
        <v>65.766666666666666</v>
      </c>
      <c r="AI89" s="33">
        <f t="shared" si="22"/>
        <v>65.733333333333334</v>
      </c>
    </row>
    <row r="90" spans="1:35" x14ac:dyDescent="0.3">
      <c r="B90" s="40"/>
      <c r="C90" s="41">
        <v>70</v>
      </c>
      <c r="D90" s="23">
        <f t="shared" si="20"/>
        <v>2030</v>
      </c>
      <c r="F90" s="31"/>
      <c r="G90" s="32">
        <f t="shared" si="23"/>
        <v>67.63333333333334</v>
      </c>
      <c r="H90" s="45">
        <f t="shared" si="23"/>
        <v>67.599999999999994</v>
      </c>
      <c r="I90" s="45">
        <f t="shared" si="23"/>
        <v>67.566666666666663</v>
      </c>
      <c r="J90" s="45">
        <f t="shared" si="23"/>
        <v>67.533333333333331</v>
      </c>
      <c r="K90" s="45">
        <f t="shared" si="23"/>
        <v>67.5</v>
      </c>
      <c r="L90" s="45">
        <f t="shared" si="23"/>
        <v>67.466666666666669</v>
      </c>
      <c r="M90" s="32">
        <f t="shared" si="23"/>
        <v>67.433333333333337</v>
      </c>
      <c r="N90" s="45">
        <f t="shared" si="22"/>
        <v>67.400000000000006</v>
      </c>
      <c r="O90" s="45">
        <f t="shared" si="22"/>
        <v>67.36666666666666</v>
      </c>
      <c r="P90" s="45">
        <f t="shared" si="22"/>
        <v>67.333333333333329</v>
      </c>
      <c r="Q90" s="32">
        <f t="shared" si="22"/>
        <v>67.3</v>
      </c>
      <c r="R90" s="45">
        <f t="shared" si="22"/>
        <v>67.266666666666666</v>
      </c>
      <c r="S90" s="32">
        <f t="shared" si="22"/>
        <v>67.233333333333334</v>
      </c>
      <c r="T90" s="45">
        <f t="shared" si="22"/>
        <v>67.2</v>
      </c>
      <c r="U90" s="45">
        <f t="shared" si="22"/>
        <v>67.166666666666671</v>
      </c>
      <c r="V90" s="45">
        <f t="shared" si="22"/>
        <v>67.13333333333334</v>
      </c>
      <c r="W90" s="32">
        <f t="shared" si="22"/>
        <v>67.099999999999994</v>
      </c>
      <c r="X90" s="45">
        <f t="shared" si="22"/>
        <v>67.066666666666663</v>
      </c>
      <c r="Y90" s="32">
        <f t="shared" si="22"/>
        <v>67.033333333333331</v>
      </c>
      <c r="Z90" s="45">
        <f t="shared" si="22"/>
        <v>67</v>
      </c>
      <c r="AA90" s="45">
        <f t="shared" si="22"/>
        <v>66.966666666666669</v>
      </c>
      <c r="AB90" s="45">
        <f t="shared" si="22"/>
        <v>66.933333333333337</v>
      </c>
      <c r="AC90" s="32">
        <f t="shared" si="22"/>
        <v>66.900000000000006</v>
      </c>
      <c r="AD90" s="45">
        <f t="shared" si="22"/>
        <v>66.86666666666666</v>
      </c>
      <c r="AE90" s="45">
        <f t="shared" si="22"/>
        <v>66.833333333333329</v>
      </c>
      <c r="AF90" s="45">
        <f t="shared" si="22"/>
        <v>66.8</v>
      </c>
      <c r="AG90" s="45">
        <f t="shared" si="22"/>
        <v>66.766666666666666</v>
      </c>
      <c r="AH90" s="45">
        <f t="shared" si="22"/>
        <v>66.733333333333334</v>
      </c>
      <c r="AI90" s="33">
        <f t="shared" si="22"/>
        <v>66.7</v>
      </c>
    </row>
    <row r="91" spans="1:35" x14ac:dyDescent="0.3">
      <c r="A91" s="23">
        <v>71</v>
      </c>
      <c r="B91" s="40" t="s">
        <v>3</v>
      </c>
      <c r="C91" s="41">
        <v>71</v>
      </c>
      <c r="D91" s="23">
        <f t="shared" si="20"/>
        <v>2059</v>
      </c>
      <c r="F91" s="31"/>
      <c r="G91" s="32">
        <f t="shared" si="23"/>
        <v>68.599999999999994</v>
      </c>
      <c r="H91" s="45">
        <f t="shared" si="23"/>
        <v>68.566666666666663</v>
      </c>
      <c r="I91" s="45">
        <f t="shared" si="23"/>
        <v>68.533333333333331</v>
      </c>
      <c r="J91" s="45">
        <f t="shared" si="23"/>
        <v>68.5</v>
      </c>
      <c r="K91" s="45">
        <f t="shared" si="23"/>
        <v>68.466666666666669</v>
      </c>
      <c r="L91" s="45">
        <f t="shared" si="23"/>
        <v>68.433333333333337</v>
      </c>
      <c r="M91" s="32">
        <f t="shared" si="23"/>
        <v>68.400000000000006</v>
      </c>
      <c r="N91" s="45">
        <f t="shared" si="22"/>
        <v>68.36666666666666</v>
      </c>
      <c r="O91" s="45">
        <f t="shared" si="22"/>
        <v>68.333333333333329</v>
      </c>
      <c r="P91" s="45">
        <f t="shared" si="22"/>
        <v>68.3</v>
      </c>
      <c r="Q91" s="32">
        <f t="shared" si="22"/>
        <v>68.266666666666666</v>
      </c>
      <c r="R91" s="45">
        <f t="shared" si="22"/>
        <v>68.233333333333334</v>
      </c>
      <c r="S91" s="32">
        <f t="shared" si="22"/>
        <v>68.2</v>
      </c>
      <c r="T91" s="45">
        <f t="shared" si="22"/>
        <v>68.166666666666671</v>
      </c>
      <c r="U91" s="45">
        <f t="shared" si="22"/>
        <v>68.13333333333334</v>
      </c>
      <c r="V91" s="45">
        <f t="shared" si="22"/>
        <v>68.099999999999994</v>
      </c>
      <c r="W91" s="32">
        <f t="shared" si="22"/>
        <v>68.066666666666663</v>
      </c>
      <c r="X91" s="45">
        <f t="shared" si="22"/>
        <v>68.033333333333331</v>
      </c>
      <c r="Y91" s="32">
        <f t="shared" si="22"/>
        <v>68</v>
      </c>
      <c r="Z91" s="45">
        <f t="shared" si="22"/>
        <v>67.966666666666669</v>
      </c>
      <c r="AA91" s="45">
        <f t="shared" si="22"/>
        <v>67.933333333333337</v>
      </c>
      <c r="AB91" s="45">
        <f t="shared" si="22"/>
        <v>67.900000000000006</v>
      </c>
      <c r="AC91" s="32">
        <f t="shared" si="22"/>
        <v>67.86666666666666</v>
      </c>
      <c r="AD91" s="45">
        <f t="shared" si="22"/>
        <v>67.833333333333329</v>
      </c>
      <c r="AE91" s="45">
        <f t="shared" si="22"/>
        <v>67.8</v>
      </c>
      <c r="AF91" s="45">
        <f t="shared" si="22"/>
        <v>67.766666666666666</v>
      </c>
      <c r="AG91" s="45">
        <f t="shared" si="22"/>
        <v>67.733333333333334</v>
      </c>
      <c r="AH91" s="45">
        <f t="shared" si="22"/>
        <v>67.7</v>
      </c>
      <c r="AI91" s="33">
        <f t="shared" si="22"/>
        <v>67.666666666666671</v>
      </c>
    </row>
    <row r="92" spans="1:35" x14ac:dyDescent="0.3">
      <c r="B92" s="40"/>
      <c r="C92" s="41">
        <v>72</v>
      </c>
      <c r="D92" s="23">
        <f t="shared" si="20"/>
        <v>2088</v>
      </c>
      <c r="F92" s="31"/>
      <c r="G92" s="32">
        <f t="shared" si="23"/>
        <v>69.566666666666663</v>
      </c>
      <c r="H92" s="45">
        <f t="shared" si="23"/>
        <v>69.533333333333331</v>
      </c>
      <c r="I92" s="45">
        <f t="shared" si="23"/>
        <v>69.5</v>
      </c>
      <c r="J92" s="45">
        <f t="shared" si="23"/>
        <v>69.466666666666669</v>
      </c>
      <c r="K92" s="45">
        <f t="shared" si="23"/>
        <v>69.433333333333337</v>
      </c>
      <c r="L92" s="45">
        <f t="shared" si="23"/>
        <v>69.400000000000006</v>
      </c>
      <c r="M92" s="32">
        <f t="shared" si="23"/>
        <v>69.36666666666666</v>
      </c>
      <c r="N92" s="45">
        <f t="shared" si="22"/>
        <v>69.333333333333329</v>
      </c>
      <c r="O92" s="45">
        <f t="shared" si="22"/>
        <v>69.3</v>
      </c>
      <c r="P92" s="45">
        <f t="shared" si="22"/>
        <v>69.266666666666666</v>
      </c>
      <c r="Q92" s="32">
        <f t="shared" si="22"/>
        <v>69.233333333333334</v>
      </c>
      <c r="R92" s="45">
        <f t="shared" si="22"/>
        <v>69.2</v>
      </c>
      <c r="S92" s="32">
        <f t="shared" si="22"/>
        <v>69.166666666666671</v>
      </c>
      <c r="T92" s="45">
        <f t="shared" si="22"/>
        <v>69.13333333333334</v>
      </c>
      <c r="U92" s="45">
        <f t="shared" si="22"/>
        <v>69.099999999999994</v>
      </c>
      <c r="V92" s="45">
        <f t="shared" si="22"/>
        <v>69.066666666666663</v>
      </c>
      <c r="W92" s="32">
        <f t="shared" si="22"/>
        <v>69.033333333333331</v>
      </c>
      <c r="X92" s="45">
        <f t="shared" si="22"/>
        <v>69</v>
      </c>
      <c r="Y92" s="32">
        <f t="shared" si="22"/>
        <v>68.966666666666669</v>
      </c>
      <c r="Z92" s="45">
        <f t="shared" si="22"/>
        <v>68.933333333333337</v>
      </c>
      <c r="AA92" s="45">
        <f t="shared" si="22"/>
        <v>68.900000000000006</v>
      </c>
      <c r="AB92" s="45">
        <f t="shared" si="22"/>
        <v>68.86666666666666</v>
      </c>
      <c r="AC92" s="32">
        <f t="shared" si="22"/>
        <v>68.833333333333329</v>
      </c>
      <c r="AD92" s="45">
        <f t="shared" si="22"/>
        <v>68.8</v>
      </c>
      <c r="AE92" s="45">
        <f t="shared" si="22"/>
        <v>68.766666666666666</v>
      </c>
      <c r="AF92" s="45">
        <f t="shared" si="22"/>
        <v>68.733333333333334</v>
      </c>
      <c r="AG92" s="45">
        <f t="shared" si="22"/>
        <v>68.7</v>
      </c>
      <c r="AH92" s="45">
        <f t="shared" si="22"/>
        <v>68.666666666666671</v>
      </c>
      <c r="AI92" s="33">
        <f t="shared" si="22"/>
        <v>68.63333333333334</v>
      </c>
    </row>
    <row r="93" spans="1:35" x14ac:dyDescent="0.3">
      <c r="A93" s="23">
        <v>73</v>
      </c>
      <c r="B93" s="40"/>
      <c r="C93" s="41">
        <v>73</v>
      </c>
      <c r="D93" s="23">
        <f t="shared" si="20"/>
        <v>2117</v>
      </c>
      <c r="F93" s="31"/>
      <c r="G93" s="32">
        <f t="shared" si="23"/>
        <v>70.533333333333331</v>
      </c>
      <c r="H93" s="45">
        <f t="shared" si="23"/>
        <v>70.5</v>
      </c>
      <c r="I93" s="45">
        <f t="shared" si="23"/>
        <v>70.466666666666669</v>
      </c>
      <c r="J93" s="45">
        <f t="shared" si="23"/>
        <v>70.433333333333337</v>
      </c>
      <c r="K93" s="45">
        <f t="shared" si="23"/>
        <v>70.400000000000006</v>
      </c>
      <c r="L93" s="45">
        <f t="shared" si="23"/>
        <v>70.36666666666666</v>
      </c>
      <c r="M93" s="32">
        <f t="shared" si="23"/>
        <v>70.333333333333329</v>
      </c>
      <c r="N93" s="45">
        <f t="shared" si="23"/>
        <v>70.3</v>
      </c>
      <c r="O93" s="45">
        <f t="shared" si="23"/>
        <v>70.266666666666666</v>
      </c>
      <c r="P93" s="45">
        <f t="shared" si="23"/>
        <v>70.233333333333334</v>
      </c>
      <c r="Q93" s="32">
        <f t="shared" si="23"/>
        <v>70.2</v>
      </c>
      <c r="R93" s="45">
        <f t="shared" si="23"/>
        <v>70.166666666666671</v>
      </c>
      <c r="S93" s="32">
        <f t="shared" si="23"/>
        <v>70.13333333333334</v>
      </c>
      <c r="T93" s="45">
        <f t="shared" si="23"/>
        <v>70.099999999999994</v>
      </c>
      <c r="U93" s="45">
        <f t="shared" si="23"/>
        <v>70.066666666666663</v>
      </c>
      <c r="V93" s="45">
        <f t="shared" si="23"/>
        <v>70.033333333333331</v>
      </c>
      <c r="W93" s="32">
        <f t="shared" ref="W93:AI102" si="24">($D93-W$4)/30</f>
        <v>70</v>
      </c>
      <c r="X93" s="45">
        <f t="shared" si="24"/>
        <v>69.966666666666669</v>
      </c>
      <c r="Y93" s="32">
        <f t="shared" si="24"/>
        <v>69.933333333333337</v>
      </c>
      <c r="Z93" s="45">
        <f t="shared" si="24"/>
        <v>69.900000000000006</v>
      </c>
      <c r="AA93" s="45">
        <f t="shared" si="24"/>
        <v>69.86666666666666</v>
      </c>
      <c r="AB93" s="45">
        <f t="shared" si="24"/>
        <v>69.833333333333329</v>
      </c>
      <c r="AC93" s="32">
        <f t="shared" si="24"/>
        <v>69.8</v>
      </c>
      <c r="AD93" s="45">
        <f t="shared" si="24"/>
        <v>69.766666666666666</v>
      </c>
      <c r="AE93" s="45">
        <f t="shared" si="24"/>
        <v>69.733333333333334</v>
      </c>
      <c r="AF93" s="45">
        <f t="shared" si="24"/>
        <v>69.7</v>
      </c>
      <c r="AG93" s="45">
        <f t="shared" si="24"/>
        <v>69.666666666666671</v>
      </c>
      <c r="AH93" s="45">
        <f t="shared" si="24"/>
        <v>69.63333333333334</v>
      </c>
      <c r="AI93" s="33">
        <f t="shared" si="24"/>
        <v>69.599999999999994</v>
      </c>
    </row>
    <row r="94" spans="1:35" x14ac:dyDescent="0.3">
      <c r="B94" s="40"/>
      <c r="C94" s="41">
        <v>74</v>
      </c>
      <c r="D94" s="23">
        <f t="shared" si="20"/>
        <v>2146</v>
      </c>
      <c r="F94" s="31"/>
      <c r="G94" s="32">
        <f t="shared" si="23"/>
        <v>71.5</v>
      </c>
      <c r="H94" s="45">
        <f t="shared" si="23"/>
        <v>71.466666666666669</v>
      </c>
      <c r="I94" s="45">
        <f t="shared" si="23"/>
        <v>71.433333333333337</v>
      </c>
      <c r="J94" s="45">
        <f t="shared" si="23"/>
        <v>71.400000000000006</v>
      </c>
      <c r="K94" s="45">
        <f t="shared" si="23"/>
        <v>71.36666666666666</v>
      </c>
      <c r="L94" s="45">
        <f t="shared" si="23"/>
        <v>71.333333333333329</v>
      </c>
      <c r="M94" s="32">
        <f t="shared" si="23"/>
        <v>71.3</v>
      </c>
      <c r="N94" s="45">
        <f t="shared" si="23"/>
        <v>71.266666666666666</v>
      </c>
      <c r="O94" s="45">
        <f t="shared" si="23"/>
        <v>71.233333333333334</v>
      </c>
      <c r="P94" s="45">
        <f t="shared" si="23"/>
        <v>71.2</v>
      </c>
      <c r="Q94" s="32">
        <f t="shared" si="23"/>
        <v>71.166666666666671</v>
      </c>
      <c r="R94" s="45">
        <f t="shared" si="23"/>
        <v>71.13333333333334</v>
      </c>
      <c r="S94" s="32">
        <f t="shared" si="23"/>
        <v>71.099999999999994</v>
      </c>
      <c r="T94" s="45">
        <f t="shared" si="23"/>
        <v>71.066666666666663</v>
      </c>
      <c r="U94" s="45">
        <f t="shared" si="23"/>
        <v>71.033333333333331</v>
      </c>
      <c r="V94" s="45">
        <f t="shared" si="23"/>
        <v>71</v>
      </c>
      <c r="W94" s="32">
        <f t="shared" si="24"/>
        <v>70.966666666666669</v>
      </c>
      <c r="X94" s="45">
        <f t="shared" si="24"/>
        <v>70.933333333333337</v>
      </c>
      <c r="Y94" s="32">
        <f t="shared" si="24"/>
        <v>70.900000000000006</v>
      </c>
      <c r="Z94" s="45">
        <f t="shared" si="24"/>
        <v>70.86666666666666</v>
      </c>
      <c r="AA94" s="45">
        <f t="shared" si="24"/>
        <v>70.833333333333329</v>
      </c>
      <c r="AB94" s="45">
        <f t="shared" si="24"/>
        <v>70.8</v>
      </c>
      <c r="AC94" s="32">
        <f t="shared" si="24"/>
        <v>70.766666666666666</v>
      </c>
      <c r="AD94" s="45">
        <f t="shared" si="24"/>
        <v>70.733333333333334</v>
      </c>
      <c r="AE94" s="45">
        <f t="shared" si="24"/>
        <v>70.7</v>
      </c>
      <c r="AF94" s="45">
        <f t="shared" si="24"/>
        <v>70.666666666666671</v>
      </c>
      <c r="AG94" s="45">
        <f t="shared" si="24"/>
        <v>70.63333333333334</v>
      </c>
      <c r="AH94" s="45">
        <f t="shared" si="24"/>
        <v>70.599999999999994</v>
      </c>
      <c r="AI94" s="33">
        <f t="shared" si="24"/>
        <v>70.566666666666663</v>
      </c>
    </row>
    <row r="95" spans="1:35" x14ac:dyDescent="0.3">
      <c r="B95" s="40"/>
      <c r="C95" s="41">
        <v>75</v>
      </c>
      <c r="D95" s="23">
        <f t="shared" si="20"/>
        <v>2175</v>
      </c>
      <c r="F95" s="31"/>
      <c r="G95" s="32">
        <f t="shared" si="23"/>
        <v>72.466666666666669</v>
      </c>
      <c r="H95" s="45">
        <f t="shared" si="23"/>
        <v>72.433333333333337</v>
      </c>
      <c r="I95" s="45">
        <f t="shared" si="23"/>
        <v>72.400000000000006</v>
      </c>
      <c r="J95" s="45">
        <f t="shared" si="23"/>
        <v>72.36666666666666</v>
      </c>
      <c r="K95" s="45">
        <f t="shared" si="23"/>
        <v>72.333333333333329</v>
      </c>
      <c r="L95" s="45">
        <f t="shared" si="23"/>
        <v>72.3</v>
      </c>
      <c r="M95" s="32">
        <f t="shared" si="23"/>
        <v>72.266666666666666</v>
      </c>
      <c r="N95" s="45">
        <f t="shared" si="23"/>
        <v>72.233333333333334</v>
      </c>
      <c r="O95" s="45">
        <f t="shared" si="23"/>
        <v>72.2</v>
      </c>
      <c r="P95" s="45">
        <f t="shared" si="23"/>
        <v>72.166666666666671</v>
      </c>
      <c r="Q95" s="32">
        <f t="shared" si="23"/>
        <v>72.13333333333334</v>
      </c>
      <c r="R95" s="45">
        <f t="shared" si="23"/>
        <v>72.099999999999994</v>
      </c>
      <c r="S95" s="32">
        <f t="shared" si="23"/>
        <v>72.066666666666663</v>
      </c>
      <c r="T95" s="45">
        <f t="shared" si="23"/>
        <v>72.033333333333331</v>
      </c>
      <c r="U95" s="45">
        <f t="shared" si="23"/>
        <v>72</v>
      </c>
      <c r="V95" s="45">
        <f t="shared" si="23"/>
        <v>71.966666666666669</v>
      </c>
      <c r="W95" s="32">
        <f t="shared" si="24"/>
        <v>71.933333333333337</v>
      </c>
      <c r="X95" s="45">
        <f t="shared" si="24"/>
        <v>71.900000000000006</v>
      </c>
      <c r="Y95" s="32">
        <f t="shared" si="24"/>
        <v>71.86666666666666</v>
      </c>
      <c r="Z95" s="45">
        <f t="shared" si="24"/>
        <v>71.833333333333329</v>
      </c>
      <c r="AA95" s="45">
        <f t="shared" si="24"/>
        <v>71.8</v>
      </c>
      <c r="AB95" s="45">
        <f t="shared" si="24"/>
        <v>71.766666666666666</v>
      </c>
      <c r="AC95" s="32">
        <f t="shared" si="24"/>
        <v>71.733333333333334</v>
      </c>
      <c r="AD95" s="45">
        <f t="shared" si="24"/>
        <v>71.7</v>
      </c>
      <c r="AE95" s="45">
        <f t="shared" si="24"/>
        <v>71.666666666666671</v>
      </c>
      <c r="AF95" s="45">
        <f t="shared" si="24"/>
        <v>71.63333333333334</v>
      </c>
      <c r="AG95" s="45">
        <f t="shared" si="24"/>
        <v>71.599999999999994</v>
      </c>
      <c r="AH95" s="45">
        <f t="shared" si="24"/>
        <v>71.566666666666663</v>
      </c>
      <c r="AI95" s="33">
        <f t="shared" si="24"/>
        <v>71.533333333333331</v>
      </c>
    </row>
    <row r="96" spans="1:35" x14ac:dyDescent="0.3">
      <c r="B96" s="40"/>
      <c r="C96" s="41">
        <v>76</v>
      </c>
      <c r="D96" s="23">
        <f t="shared" si="20"/>
        <v>2204</v>
      </c>
      <c r="F96" s="31"/>
      <c r="G96" s="32">
        <f t="shared" si="23"/>
        <v>73.433333333333337</v>
      </c>
      <c r="H96" s="45">
        <f t="shared" si="23"/>
        <v>73.400000000000006</v>
      </c>
      <c r="I96" s="45">
        <f t="shared" si="23"/>
        <v>73.36666666666666</v>
      </c>
      <c r="J96" s="45">
        <f t="shared" si="23"/>
        <v>73.333333333333329</v>
      </c>
      <c r="K96" s="45">
        <f t="shared" si="23"/>
        <v>73.3</v>
      </c>
      <c r="L96" s="45">
        <f t="shared" si="23"/>
        <v>73.266666666666666</v>
      </c>
      <c r="M96" s="32">
        <f t="shared" si="23"/>
        <v>73.233333333333334</v>
      </c>
      <c r="N96" s="45">
        <f t="shared" si="23"/>
        <v>73.2</v>
      </c>
      <c r="O96" s="45">
        <f t="shared" si="23"/>
        <v>73.166666666666671</v>
      </c>
      <c r="P96" s="45">
        <f t="shared" si="23"/>
        <v>73.13333333333334</v>
      </c>
      <c r="Q96" s="32">
        <f t="shared" si="23"/>
        <v>73.099999999999994</v>
      </c>
      <c r="R96" s="45">
        <f t="shared" si="23"/>
        <v>73.066666666666663</v>
      </c>
      <c r="S96" s="32">
        <f t="shared" si="23"/>
        <v>73.033333333333331</v>
      </c>
      <c r="T96" s="45">
        <f t="shared" si="23"/>
        <v>73</v>
      </c>
      <c r="U96" s="45">
        <f t="shared" si="23"/>
        <v>72.966666666666669</v>
      </c>
      <c r="V96" s="45">
        <f t="shared" si="23"/>
        <v>72.933333333333337</v>
      </c>
      <c r="W96" s="32">
        <f t="shared" si="24"/>
        <v>72.900000000000006</v>
      </c>
      <c r="X96" s="45">
        <f t="shared" si="24"/>
        <v>72.86666666666666</v>
      </c>
      <c r="Y96" s="32">
        <f t="shared" si="24"/>
        <v>72.833333333333329</v>
      </c>
      <c r="Z96" s="45">
        <f t="shared" si="24"/>
        <v>72.8</v>
      </c>
      <c r="AA96" s="45">
        <f t="shared" si="24"/>
        <v>72.766666666666666</v>
      </c>
      <c r="AB96" s="45">
        <f t="shared" si="24"/>
        <v>72.733333333333334</v>
      </c>
      <c r="AC96" s="32">
        <f t="shared" si="24"/>
        <v>72.7</v>
      </c>
      <c r="AD96" s="45">
        <f t="shared" si="24"/>
        <v>72.666666666666671</v>
      </c>
      <c r="AE96" s="45">
        <f t="shared" si="24"/>
        <v>72.63333333333334</v>
      </c>
      <c r="AF96" s="45">
        <f t="shared" si="24"/>
        <v>72.599999999999994</v>
      </c>
      <c r="AG96" s="45">
        <f t="shared" si="24"/>
        <v>72.566666666666663</v>
      </c>
      <c r="AH96" s="45">
        <f t="shared" si="24"/>
        <v>72.533333333333331</v>
      </c>
      <c r="AI96" s="33">
        <f t="shared" si="24"/>
        <v>72.5</v>
      </c>
    </row>
    <row r="97" spans="1:35" x14ac:dyDescent="0.3">
      <c r="B97" s="40"/>
      <c r="C97" s="41">
        <v>77</v>
      </c>
      <c r="D97" s="23">
        <f t="shared" si="20"/>
        <v>2233</v>
      </c>
      <c r="F97" s="31"/>
      <c r="G97" s="32">
        <f t="shared" si="23"/>
        <v>74.400000000000006</v>
      </c>
      <c r="H97" s="45">
        <f t="shared" si="23"/>
        <v>74.36666666666666</v>
      </c>
      <c r="I97" s="45">
        <f t="shared" si="23"/>
        <v>74.333333333333329</v>
      </c>
      <c r="J97" s="45">
        <f t="shared" si="23"/>
        <v>74.3</v>
      </c>
      <c r="K97" s="45">
        <f t="shared" si="23"/>
        <v>74.266666666666666</v>
      </c>
      <c r="L97" s="45">
        <f t="shared" si="23"/>
        <v>74.233333333333334</v>
      </c>
      <c r="M97" s="32">
        <f t="shared" si="23"/>
        <v>74.2</v>
      </c>
      <c r="N97" s="45">
        <f t="shared" si="23"/>
        <v>74.166666666666671</v>
      </c>
      <c r="O97" s="45">
        <f t="shared" si="23"/>
        <v>74.13333333333334</v>
      </c>
      <c r="P97" s="45">
        <f t="shared" si="23"/>
        <v>74.099999999999994</v>
      </c>
      <c r="Q97" s="32">
        <f t="shared" si="23"/>
        <v>74.066666666666663</v>
      </c>
      <c r="R97" s="45">
        <f t="shared" si="23"/>
        <v>74.033333333333331</v>
      </c>
      <c r="S97" s="32">
        <f t="shared" si="23"/>
        <v>74</v>
      </c>
      <c r="T97" s="45">
        <f t="shared" si="23"/>
        <v>73.966666666666669</v>
      </c>
      <c r="U97" s="45">
        <f t="shared" si="23"/>
        <v>73.933333333333337</v>
      </c>
      <c r="V97" s="45">
        <f t="shared" si="23"/>
        <v>73.900000000000006</v>
      </c>
      <c r="W97" s="32">
        <f t="shared" si="24"/>
        <v>73.86666666666666</v>
      </c>
      <c r="X97" s="45">
        <f t="shared" si="24"/>
        <v>73.833333333333329</v>
      </c>
      <c r="Y97" s="32">
        <f t="shared" si="24"/>
        <v>73.8</v>
      </c>
      <c r="Z97" s="45">
        <f t="shared" si="24"/>
        <v>73.766666666666666</v>
      </c>
      <c r="AA97" s="45">
        <f t="shared" si="24"/>
        <v>73.733333333333334</v>
      </c>
      <c r="AB97" s="45">
        <f t="shared" si="24"/>
        <v>73.7</v>
      </c>
      <c r="AC97" s="32">
        <f t="shared" si="24"/>
        <v>73.666666666666671</v>
      </c>
      <c r="AD97" s="45">
        <f t="shared" si="24"/>
        <v>73.63333333333334</v>
      </c>
      <c r="AE97" s="45">
        <f t="shared" si="24"/>
        <v>73.599999999999994</v>
      </c>
      <c r="AF97" s="45">
        <f t="shared" si="24"/>
        <v>73.566666666666663</v>
      </c>
      <c r="AG97" s="45">
        <f t="shared" si="24"/>
        <v>73.533333333333331</v>
      </c>
      <c r="AH97" s="45">
        <f t="shared" si="24"/>
        <v>73.5</v>
      </c>
      <c r="AI97" s="33">
        <f t="shared" si="24"/>
        <v>73.466666666666669</v>
      </c>
    </row>
    <row r="98" spans="1:35" x14ac:dyDescent="0.3">
      <c r="B98" s="40"/>
      <c r="C98" s="41">
        <v>78</v>
      </c>
      <c r="D98" s="23">
        <f t="shared" si="20"/>
        <v>2262</v>
      </c>
      <c r="F98" s="31"/>
      <c r="G98" s="32">
        <f t="shared" si="23"/>
        <v>75.36666666666666</v>
      </c>
      <c r="H98" s="45">
        <f t="shared" si="23"/>
        <v>75.333333333333329</v>
      </c>
      <c r="I98" s="45">
        <f t="shared" si="23"/>
        <v>75.3</v>
      </c>
      <c r="J98" s="45">
        <f t="shared" si="23"/>
        <v>75.266666666666666</v>
      </c>
      <c r="K98" s="45">
        <f t="shared" si="23"/>
        <v>75.233333333333334</v>
      </c>
      <c r="L98" s="45">
        <f t="shared" si="23"/>
        <v>75.2</v>
      </c>
      <c r="M98" s="32">
        <f t="shared" si="23"/>
        <v>75.166666666666671</v>
      </c>
      <c r="N98" s="45">
        <f t="shared" si="23"/>
        <v>75.13333333333334</v>
      </c>
      <c r="O98" s="45">
        <f t="shared" si="23"/>
        <v>75.099999999999994</v>
      </c>
      <c r="P98" s="45">
        <f t="shared" si="23"/>
        <v>75.066666666666663</v>
      </c>
      <c r="Q98" s="32">
        <f t="shared" si="23"/>
        <v>75.033333333333331</v>
      </c>
      <c r="R98" s="45">
        <f t="shared" si="23"/>
        <v>75</v>
      </c>
      <c r="S98" s="32">
        <f t="shared" si="23"/>
        <v>74.966666666666669</v>
      </c>
      <c r="T98" s="45">
        <f t="shared" si="23"/>
        <v>74.933333333333337</v>
      </c>
      <c r="U98" s="45">
        <f t="shared" si="23"/>
        <v>74.900000000000006</v>
      </c>
      <c r="V98" s="45">
        <f t="shared" si="23"/>
        <v>74.86666666666666</v>
      </c>
      <c r="W98" s="32">
        <f t="shared" si="24"/>
        <v>74.833333333333329</v>
      </c>
      <c r="X98" s="45">
        <f t="shared" si="24"/>
        <v>74.8</v>
      </c>
      <c r="Y98" s="32">
        <f t="shared" si="24"/>
        <v>74.766666666666666</v>
      </c>
      <c r="Z98" s="45">
        <f t="shared" si="24"/>
        <v>74.733333333333334</v>
      </c>
      <c r="AA98" s="45">
        <f t="shared" si="24"/>
        <v>74.7</v>
      </c>
      <c r="AB98" s="45">
        <f t="shared" si="24"/>
        <v>74.666666666666671</v>
      </c>
      <c r="AC98" s="32">
        <f t="shared" si="24"/>
        <v>74.63333333333334</v>
      </c>
      <c r="AD98" s="45">
        <f t="shared" si="24"/>
        <v>74.599999999999994</v>
      </c>
      <c r="AE98" s="45">
        <f t="shared" si="24"/>
        <v>74.566666666666663</v>
      </c>
      <c r="AF98" s="45">
        <f t="shared" si="24"/>
        <v>74.533333333333331</v>
      </c>
      <c r="AG98" s="45">
        <f t="shared" si="24"/>
        <v>74.5</v>
      </c>
      <c r="AH98" s="45">
        <f t="shared" si="24"/>
        <v>74.466666666666669</v>
      </c>
      <c r="AI98" s="33">
        <f t="shared" si="24"/>
        <v>74.433333333333337</v>
      </c>
    </row>
    <row r="99" spans="1:35" x14ac:dyDescent="0.3">
      <c r="A99" s="23">
        <v>79</v>
      </c>
      <c r="B99" s="40" t="s">
        <v>3</v>
      </c>
      <c r="C99" s="41">
        <v>79</v>
      </c>
      <c r="D99" s="23">
        <f t="shared" si="20"/>
        <v>2291</v>
      </c>
      <c r="F99" s="31"/>
      <c r="G99" s="32">
        <f t="shared" si="23"/>
        <v>76.333333333333329</v>
      </c>
      <c r="H99" s="45">
        <f t="shared" si="23"/>
        <v>76.3</v>
      </c>
      <c r="I99" s="45">
        <f t="shared" si="23"/>
        <v>76.266666666666666</v>
      </c>
      <c r="J99" s="45">
        <f t="shared" si="23"/>
        <v>76.233333333333334</v>
      </c>
      <c r="K99" s="45">
        <f t="shared" si="23"/>
        <v>76.2</v>
      </c>
      <c r="L99" s="45">
        <f t="shared" si="23"/>
        <v>76.166666666666671</v>
      </c>
      <c r="M99" s="32">
        <f t="shared" si="23"/>
        <v>76.13333333333334</v>
      </c>
      <c r="N99" s="45">
        <f t="shared" si="23"/>
        <v>76.099999999999994</v>
      </c>
      <c r="O99" s="45">
        <f t="shared" si="23"/>
        <v>76.066666666666663</v>
      </c>
      <c r="P99" s="45">
        <f t="shared" si="23"/>
        <v>76.033333333333331</v>
      </c>
      <c r="Q99" s="32">
        <f t="shared" si="23"/>
        <v>76</v>
      </c>
      <c r="R99" s="45">
        <f t="shared" si="23"/>
        <v>75.966666666666669</v>
      </c>
      <c r="S99" s="32">
        <f t="shared" si="23"/>
        <v>75.933333333333337</v>
      </c>
      <c r="T99" s="45">
        <f t="shared" si="23"/>
        <v>75.900000000000006</v>
      </c>
      <c r="U99" s="45">
        <f t="shared" si="23"/>
        <v>75.86666666666666</v>
      </c>
      <c r="V99" s="45">
        <f t="shared" si="23"/>
        <v>75.833333333333329</v>
      </c>
      <c r="W99" s="32">
        <f t="shared" si="24"/>
        <v>75.8</v>
      </c>
      <c r="X99" s="45">
        <f t="shared" si="24"/>
        <v>75.766666666666666</v>
      </c>
      <c r="Y99" s="32">
        <f t="shared" si="24"/>
        <v>75.733333333333334</v>
      </c>
      <c r="Z99" s="45">
        <f t="shared" si="24"/>
        <v>75.7</v>
      </c>
      <c r="AA99" s="45">
        <f t="shared" si="24"/>
        <v>75.666666666666671</v>
      </c>
      <c r="AB99" s="45">
        <f t="shared" si="24"/>
        <v>75.63333333333334</v>
      </c>
      <c r="AC99" s="32">
        <f t="shared" si="24"/>
        <v>75.599999999999994</v>
      </c>
      <c r="AD99" s="45">
        <f t="shared" si="24"/>
        <v>75.566666666666663</v>
      </c>
      <c r="AE99" s="45">
        <f t="shared" si="24"/>
        <v>75.533333333333331</v>
      </c>
      <c r="AF99" s="45">
        <f t="shared" si="24"/>
        <v>75.5</v>
      </c>
      <c r="AG99" s="45">
        <f t="shared" si="24"/>
        <v>75.466666666666669</v>
      </c>
      <c r="AH99" s="45">
        <f t="shared" si="24"/>
        <v>75.433333333333337</v>
      </c>
      <c r="AI99" s="33">
        <f t="shared" si="24"/>
        <v>75.400000000000006</v>
      </c>
    </row>
    <row r="100" spans="1:35" x14ac:dyDescent="0.3">
      <c r="B100" s="40"/>
      <c r="C100" s="41">
        <v>80</v>
      </c>
      <c r="D100" s="23">
        <f t="shared" si="20"/>
        <v>2320</v>
      </c>
      <c r="F100" s="31"/>
      <c r="G100" s="32">
        <f t="shared" si="23"/>
        <v>77.3</v>
      </c>
      <c r="H100" s="45">
        <f t="shared" si="23"/>
        <v>77.266666666666666</v>
      </c>
      <c r="I100" s="45">
        <f t="shared" si="23"/>
        <v>77.233333333333334</v>
      </c>
      <c r="J100" s="45">
        <f t="shared" si="23"/>
        <v>77.2</v>
      </c>
      <c r="K100" s="45">
        <f t="shared" si="23"/>
        <v>77.166666666666671</v>
      </c>
      <c r="L100" s="45">
        <f t="shared" si="23"/>
        <v>77.13333333333334</v>
      </c>
      <c r="M100" s="32">
        <f t="shared" si="23"/>
        <v>77.099999999999994</v>
      </c>
      <c r="N100" s="45">
        <f t="shared" si="23"/>
        <v>77.066666666666663</v>
      </c>
      <c r="O100" s="45">
        <f t="shared" si="23"/>
        <v>77.033333333333331</v>
      </c>
      <c r="P100" s="45">
        <f t="shared" si="23"/>
        <v>77</v>
      </c>
      <c r="Q100" s="32">
        <f t="shared" si="23"/>
        <v>76.966666666666669</v>
      </c>
      <c r="R100" s="45">
        <f t="shared" si="23"/>
        <v>76.933333333333337</v>
      </c>
      <c r="S100" s="32">
        <f t="shared" si="23"/>
        <v>76.900000000000006</v>
      </c>
      <c r="T100" s="45">
        <f t="shared" si="23"/>
        <v>76.86666666666666</v>
      </c>
      <c r="U100" s="45">
        <f t="shared" si="23"/>
        <v>76.833333333333329</v>
      </c>
      <c r="V100" s="45">
        <f t="shared" si="23"/>
        <v>76.8</v>
      </c>
      <c r="W100" s="32">
        <f t="shared" si="24"/>
        <v>76.766666666666666</v>
      </c>
      <c r="X100" s="45">
        <f t="shared" si="24"/>
        <v>76.733333333333334</v>
      </c>
      <c r="Y100" s="32">
        <f t="shared" si="24"/>
        <v>76.7</v>
      </c>
      <c r="Z100" s="45">
        <f t="shared" si="24"/>
        <v>76.666666666666671</v>
      </c>
      <c r="AA100" s="45">
        <f t="shared" si="24"/>
        <v>76.63333333333334</v>
      </c>
      <c r="AB100" s="45">
        <f t="shared" si="24"/>
        <v>76.599999999999994</v>
      </c>
      <c r="AC100" s="32">
        <f t="shared" si="24"/>
        <v>76.566666666666663</v>
      </c>
      <c r="AD100" s="45">
        <f t="shared" si="24"/>
        <v>76.533333333333331</v>
      </c>
      <c r="AE100" s="45">
        <f t="shared" si="24"/>
        <v>76.5</v>
      </c>
      <c r="AF100" s="45">
        <f t="shared" si="24"/>
        <v>76.466666666666669</v>
      </c>
      <c r="AG100" s="45">
        <f t="shared" si="24"/>
        <v>76.433333333333337</v>
      </c>
      <c r="AH100" s="45">
        <f t="shared" si="24"/>
        <v>76.400000000000006</v>
      </c>
      <c r="AI100" s="33">
        <f t="shared" si="24"/>
        <v>76.36666666666666</v>
      </c>
    </row>
    <row r="101" spans="1:35" x14ac:dyDescent="0.3">
      <c r="B101" s="40"/>
      <c r="C101" s="41">
        <v>81</v>
      </c>
      <c r="D101" s="23">
        <f t="shared" si="20"/>
        <v>2349</v>
      </c>
      <c r="F101" s="31"/>
      <c r="G101" s="32">
        <f t="shared" si="23"/>
        <v>78.266666666666666</v>
      </c>
      <c r="H101" s="45">
        <f t="shared" si="23"/>
        <v>78.233333333333334</v>
      </c>
      <c r="I101" s="45">
        <f t="shared" si="23"/>
        <v>78.2</v>
      </c>
      <c r="J101" s="45">
        <f t="shared" si="23"/>
        <v>78.166666666666671</v>
      </c>
      <c r="K101" s="45">
        <f t="shared" si="23"/>
        <v>78.13333333333334</v>
      </c>
      <c r="L101" s="45">
        <f t="shared" si="23"/>
        <v>78.099999999999994</v>
      </c>
      <c r="M101" s="32">
        <f t="shared" si="23"/>
        <v>78.066666666666663</v>
      </c>
      <c r="N101" s="45">
        <f t="shared" si="23"/>
        <v>78.033333333333331</v>
      </c>
      <c r="O101" s="45">
        <f t="shared" si="23"/>
        <v>78</v>
      </c>
      <c r="P101" s="45">
        <f t="shared" si="23"/>
        <v>77.966666666666669</v>
      </c>
      <c r="Q101" s="32">
        <f t="shared" si="23"/>
        <v>77.933333333333337</v>
      </c>
      <c r="R101" s="45">
        <f t="shared" si="23"/>
        <v>77.900000000000006</v>
      </c>
      <c r="S101" s="32">
        <f t="shared" si="23"/>
        <v>77.86666666666666</v>
      </c>
      <c r="T101" s="45">
        <f t="shared" si="23"/>
        <v>77.833333333333329</v>
      </c>
      <c r="U101" s="45">
        <f t="shared" si="23"/>
        <v>77.8</v>
      </c>
      <c r="V101" s="45">
        <f t="shared" si="23"/>
        <v>77.766666666666666</v>
      </c>
      <c r="W101" s="32">
        <f t="shared" si="24"/>
        <v>77.733333333333334</v>
      </c>
      <c r="X101" s="45">
        <f t="shared" si="24"/>
        <v>77.7</v>
      </c>
      <c r="Y101" s="32">
        <f t="shared" si="24"/>
        <v>77.666666666666671</v>
      </c>
      <c r="Z101" s="45">
        <f t="shared" si="24"/>
        <v>77.63333333333334</v>
      </c>
      <c r="AA101" s="45">
        <f t="shared" si="24"/>
        <v>77.599999999999994</v>
      </c>
      <c r="AB101" s="45">
        <f t="shared" si="24"/>
        <v>77.566666666666663</v>
      </c>
      <c r="AC101" s="32">
        <f t="shared" si="24"/>
        <v>77.533333333333331</v>
      </c>
      <c r="AD101" s="45">
        <f t="shared" si="24"/>
        <v>77.5</v>
      </c>
      <c r="AE101" s="45">
        <f t="shared" si="24"/>
        <v>77.466666666666669</v>
      </c>
      <c r="AF101" s="45">
        <f t="shared" si="24"/>
        <v>77.433333333333337</v>
      </c>
      <c r="AG101" s="45">
        <f t="shared" si="24"/>
        <v>77.400000000000006</v>
      </c>
      <c r="AH101" s="45">
        <f t="shared" si="24"/>
        <v>77.36666666666666</v>
      </c>
      <c r="AI101" s="33">
        <f t="shared" si="24"/>
        <v>77.333333333333329</v>
      </c>
    </row>
    <row r="102" spans="1:35" x14ac:dyDescent="0.3">
      <c r="B102" s="40"/>
      <c r="C102" s="41">
        <v>82</v>
      </c>
      <c r="D102" s="23">
        <f t="shared" si="20"/>
        <v>2378</v>
      </c>
      <c r="F102" s="31"/>
      <c r="G102" s="32">
        <f t="shared" si="23"/>
        <v>79.233333333333334</v>
      </c>
      <c r="H102" s="45">
        <f t="shared" si="23"/>
        <v>79.2</v>
      </c>
      <c r="I102" s="45">
        <f t="shared" si="23"/>
        <v>79.166666666666671</v>
      </c>
      <c r="J102" s="45">
        <f t="shared" si="23"/>
        <v>79.13333333333334</v>
      </c>
      <c r="K102" s="45">
        <f t="shared" si="23"/>
        <v>79.099999999999994</v>
      </c>
      <c r="L102" s="45">
        <f t="shared" si="23"/>
        <v>79.066666666666663</v>
      </c>
      <c r="M102" s="32">
        <f t="shared" si="23"/>
        <v>79.033333333333331</v>
      </c>
      <c r="N102" s="45">
        <f t="shared" si="23"/>
        <v>79</v>
      </c>
      <c r="O102" s="45">
        <f t="shared" si="23"/>
        <v>78.966666666666669</v>
      </c>
      <c r="P102" s="45">
        <f t="shared" si="23"/>
        <v>78.933333333333337</v>
      </c>
      <c r="Q102" s="32">
        <f t="shared" si="23"/>
        <v>78.900000000000006</v>
      </c>
      <c r="R102" s="45">
        <f t="shared" si="23"/>
        <v>78.86666666666666</v>
      </c>
      <c r="S102" s="32">
        <f t="shared" si="23"/>
        <v>78.833333333333329</v>
      </c>
      <c r="T102" s="45">
        <f t="shared" si="23"/>
        <v>78.8</v>
      </c>
      <c r="U102" s="45">
        <f t="shared" si="23"/>
        <v>78.766666666666666</v>
      </c>
      <c r="V102" s="45">
        <f t="shared" si="23"/>
        <v>78.733333333333334</v>
      </c>
      <c r="W102" s="32">
        <f t="shared" si="24"/>
        <v>78.7</v>
      </c>
      <c r="X102" s="45">
        <f t="shared" si="24"/>
        <v>78.666666666666671</v>
      </c>
      <c r="Y102" s="32">
        <f t="shared" si="24"/>
        <v>78.63333333333334</v>
      </c>
      <c r="Z102" s="45">
        <f t="shared" si="24"/>
        <v>78.599999999999994</v>
      </c>
      <c r="AA102" s="45">
        <f t="shared" si="24"/>
        <v>78.566666666666663</v>
      </c>
      <c r="AB102" s="45">
        <f t="shared" si="24"/>
        <v>78.533333333333331</v>
      </c>
      <c r="AC102" s="32">
        <f t="shared" si="24"/>
        <v>78.5</v>
      </c>
      <c r="AD102" s="45">
        <f t="shared" si="24"/>
        <v>78.466666666666669</v>
      </c>
      <c r="AE102" s="45">
        <f t="shared" si="24"/>
        <v>78.433333333333337</v>
      </c>
      <c r="AF102" s="45">
        <f t="shared" si="24"/>
        <v>78.400000000000006</v>
      </c>
      <c r="AG102" s="45">
        <f t="shared" si="24"/>
        <v>78.36666666666666</v>
      </c>
      <c r="AH102" s="45">
        <f t="shared" si="24"/>
        <v>78.333333333333329</v>
      </c>
      <c r="AI102" s="33">
        <f t="shared" si="24"/>
        <v>78.3</v>
      </c>
    </row>
    <row r="103" spans="1:35" x14ac:dyDescent="0.3">
      <c r="A103" s="23">
        <v>83</v>
      </c>
      <c r="B103" s="40" t="s">
        <v>3</v>
      </c>
      <c r="C103" s="41">
        <v>83</v>
      </c>
      <c r="D103" s="23">
        <f t="shared" si="20"/>
        <v>2407</v>
      </c>
      <c r="F103" s="31"/>
      <c r="G103" s="32">
        <f t="shared" si="23"/>
        <v>80.2</v>
      </c>
      <c r="H103" s="45">
        <f t="shared" si="23"/>
        <v>80.166666666666671</v>
      </c>
      <c r="I103" s="45">
        <f t="shared" si="23"/>
        <v>80.13333333333334</v>
      </c>
      <c r="J103" s="45">
        <f t="shared" si="23"/>
        <v>80.099999999999994</v>
      </c>
      <c r="K103" s="45">
        <f t="shared" si="23"/>
        <v>80.066666666666663</v>
      </c>
      <c r="L103" s="45">
        <f t="shared" si="23"/>
        <v>80.033333333333331</v>
      </c>
      <c r="M103" s="32">
        <f t="shared" si="23"/>
        <v>80</v>
      </c>
      <c r="N103" s="45">
        <f t="shared" si="23"/>
        <v>79.966666666666669</v>
      </c>
      <c r="O103" s="45">
        <f t="shared" si="23"/>
        <v>79.933333333333337</v>
      </c>
      <c r="P103" s="45">
        <f t="shared" ref="P103:AI109" si="25">($D103-P$4)/30</f>
        <v>79.900000000000006</v>
      </c>
      <c r="Q103" s="32">
        <f t="shared" si="25"/>
        <v>79.86666666666666</v>
      </c>
      <c r="R103" s="45">
        <f t="shared" si="25"/>
        <v>79.833333333333329</v>
      </c>
      <c r="S103" s="32">
        <f t="shared" si="25"/>
        <v>79.8</v>
      </c>
      <c r="T103" s="45">
        <f t="shared" si="25"/>
        <v>79.766666666666666</v>
      </c>
      <c r="U103" s="45">
        <f t="shared" si="25"/>
        <v>79.733333333333334</v>
      </c>
      <c r="V103" s="45">
        <f t="shared" si="25"/>
        <v>79.7</v>
      </c>
      <c r="W103" s="32">
        <f t="shared" si="25"/>
        <v>79.666666666666671</v>
      </c>
      <c r="X103" s="45">
        <f t="shared" si="25"/>
        <v>79.63333333333334</v>
      </c>
      <c r="Y103" s="32">
        <f t="shared" si="25"/>
        <v>79.599999999999994</v>
      </c>
      <c r="Z103" s="45">
        <f t="shared" si="25"/>
        <v>79.566666666666663</v>
      </c>
      <c r="AA103" s="45">
        <f t="shared" si="25"/>
        <v>79.533333333333331</v>
      </c>
      <c r="AB103" s="45">
        <f t="shared" si="25"/>
        <v>79.5</v>
      </c>
      <c r="AC103" s="32">
        <f t="shared" si="25"/>
        <v>79.466666666666669</v>
      </c>
      <c r="AD103" s="45">
        <f t="shared" si="25"/>
        <v>79.433333333333337</v>
      </c>
      <c r="AE103" s="45">
        <f t="shared" si="25"/>
        <v>79.400000000000006</v>
      </c>
      <c r="AF103" s="45">
        <f t="shared" si="25"/>
        <v>79.36666666666666</v>
      </c>
      <c r="AG103" s="45">
        <f t="shared" si="25"/>
        <v>79.333333333333329</v>
      </c>
      <c r="AH103" s="45">
        <f t="shared" si="25"/>
        <v>79.3</v>
      </c>
      <c r="AI103" s="33">
        <f t="shared" si="25"/>
        <v>79.266666666666666</v>
      </c>
    </row>
    <row r="104" spans="1:35" x14ac:dyDescent="0.3">
      <c r="B104" s="40"/>
      <c r="C104" s="41">
        <v>84</v>
      </c>
      <c r="D104" s="23">
        <f t="shared" si="20"/>
        <v>2436</v>
      </c>
      <c r="F104" s="31"/>
      <c r="G104" s="32">
        <f t="shared" ref="G104:V109" si="26">($D104-G$4)/30</f>
        <v>81.166666666666671</v>
      </c>
      <c r="H104" s="45">
        <f t="shared" si="26"/>
        <v>81.13333333333334</v>
      </c>
      <c r="I104" s="45">
        <f t="shared" si="26"/>
        <v>81.099999999999994</v>
      </c>
      <c r="J104" s="45">
        <f t="shared" si="26"/>
        <v>81.066666666666663</v>
      </c>
      <c r="K104" s="45">
        <f t="shared" si="26"/>
        <v>81.033333333333331</v>
      </c>
      <c r="L104" s="45">
        <f t="shared" si="26"/>
        <v>81</v>
      </c>
      <c r="M104" s="32">
        <f t="shared" si="26"/>
        <v>80.966666666666669</v>
      </c>
      <c r="N104" s="45">
        <f t="shared" si="26"/>
        <v>80.933333333333337</v>
      </c>
      <c r="O104" s="45">
        <f t="shared" si="26"/>
        <v>80.900000000000006</v>
      </c>
      <c r="P104" s="45">
        <f t="shared" si="26"/>
        <v>80.86666666666666</v>
      </c>
      <c r="Q104" s="32">
        <f t="shared" si="26"/>
        <v>80.833333333333329</v>
      </c>
      <c r="R104" s="45">
        <f t="shared" si="26"/>
        <v>80.8</v>
      </c>
      <c r="S104" s="32">
        <f t="shared" si="26"/>
        <v>80.766666666666666</v>
      </c>
      <c r="T104" s="45">
        <f t="shared" si="26"/>
        <v>80.733333333333334</v>
      </c>
      <c r="U104" s="45">
        <f t="shared" si="26"/>
        <v>80.7</v>
      </c>
      <c r="V104" s="45">
        <f t="shared" si="26"/>
        <v>80.666666666666671</v>
      </c>
      <c r="W104" s="32">
        <f t="shared" si="25"/>
        <v>80.63333333333334</v>
      </c>
      <c r="X104" s="45">
        <f t="shared" si="25"/>
        <v>80.599999999999994</v>
      </c>
      <c r="Y104" s="32">
        <f t="shared" si="25"/>
        <v>80.566666666666663</v>
      </c>
      <c r="Z104" s="45">
        <f t="shared" si="25"/>
        <v>80.533333333333331</v>
      </c>
      <c r="AA104" s="45">
        <f t="shared" si="25"/>
        <v>80.5</v>
      </c>
      <c r="AB104" s="45">
        <f t="shared" si="25"/>
        <v>80.466666666666669</v>
      </c>
      <c r="AC104" s="32">
        <f t="shared" si="25"/>
        <v>80.433333333333337</v>
      </c>
      <c r="AD104" s="45">
        <f t="shared" si="25"/>
        <v>80.400000000000006</v>
      </c>
      <c r="AE104" s="45">
        <f t="shared" si="25"/>
        <v>80.36666666666666</v>
      </c>
      <c r="AF104" s="45">
        <f t="shared" si="25"/>
        <v>80.333333333333329</v>
      </c>
      <c r="AG104" s="45">
        <f t="shared" si="25"/>
        <v>80.3</v>
      </c>
      <c r="AH104" s="45">
        <f t="shared" si="25"/>
        <v>80.266666666666666</v>
      </c>
      <c r="AI104" s="33">
        <f t="shared" si="25"/>
        <v>80.233333333333334</v>
      </c>
    </row>
    <row r="105" spans="1:35" x14ac:dyDescent="0.3">
      <c r="B105" s="40"/>
      <c r="C105" s="41">
        <v>85</v>
      </c>
      <c r="D105" s="23">
        <f t="shared" si="20"/>
        <v>2465</v>
      </c>
      <c r="F105" s="31"/>
      <c r="G105" s="32">
        <f t="shared" si="26"/>
        <v>82.13333333333334</v>
      </c>
      <c r="H105" s="45">
        <f t="shared" si="26"/>
        <v>82.1</v>
      </c>
      <c r="I105" s="45">
        <f t="shared" si="26"/>
        <v>82.066666666666663</v>
      </c>
      <c r="J105" s="45">
        <f t="shared" si="26"/>
        <v>82.033333333333331</v>
      </c>
      <c r="K105" s="45">
        <f t="shared" si="26"/>
        <v>82</v>
      </c>
      <c r="L105" s="45">
        <f t="shared" si="26"/>
        <v>81.966666666666669</v>
      </c>
      <c r="M105" s="32">
        <f t="shared" si="26"/>
        <v>81.933333333333337</v>
      </c>
      <c r="N105" s="45">
        <f t="shared" si="26"/>
        <v>81.900000000000006</v>
      </c>
      <c r="O105" s="45">
        <f t="shared" si="26"/>
        <v>81.86666666666666</v>
      </c>
      <c r="P105" s="45">
        <f t="shared" si="26"/>
        <v>81.833333333333329</v>
      </c>
      <c r="Q105" s="32">
        <f t="shared" si="26"/>
        <v>81.8</v>
      </c>
      <c r="R105" s="45">
        <f t="shared" si="26"/>
        <v>81.766666666666666</v>
      </c>
      <c r="S105" s="32">
        <f t="shared" si="26"/>
        <v>81.733333333333334</v>
      </c>
      <c r="T105" s="45">
        <f t="shared" si="26"/>
        <v>81.7</v>
      </c>
      <c r="U105" s="45">
        <f t="shared" si="26"/>
        <v>81.666666666666671</v>
      </c>
      <c r="V105" s="45">
        <f t="shared" si="26"/>
        <v>81.63333333333334</v>
      </c>
      <c r="W105" s="32">
        <f t="shared" si="25"/>
        <v>81.599999999999994</v>
      </c>
      <c r="X105" s="45">
        <f t="shared" si="25"/>
        <v>81.566666666666663</v>
      </c>
      <c r="Y105" s="32">
        <f t="shared" si="25"/>
        <v>81.533333333333331</v>
      </c>
      <c r="Z105" s="45">
        <f t="shared" si="25"/>
        <v>81.5</v>
      </c>
      <c r="AA105" s="45">
        <f t="shared" si="25"/>
        <v>81.466666666666669</v>
      </c>
      <c r="AB105" s="45">
        <f t="shared" si="25"/>
        <v>81.433333333333337</v>
      </c>
      <c r="AC105" s="32">
        <f t="shared" si="25"/>
        <v>81.400000000000006</v>
      </c>
      <c r="AD105" s="45">
        <f t="shared" si="25"/>
        <v>81.36666666666666</v>
      </c>
      <c r="AE105" s="45">
        <f t="shared" si="25"/>
        <v>81.333333333333329</v>
      </c>
      <c r="AF105" s="45">
        <f t="shared" si="25"/>
        <v>81.3</v>
      </c>
      <c r="AG105" s="45">
        <f t="shared" si="25"/>
        <v>81.266666666666666</v>
      </c>
      <c r="AH105" s="45">
        <f t="shared" si="25"/>
        <v>81.233333333333334</v>
      </c>
      <c r="AI105" s="33">
        <f t="shared" si="25"/>
        <v>81.2</v>
      </c>
    </row>
    <row r="106" spans="1:35" x14ac:dyDescent="0.3">
      <c r="B106" s="40"/>
      <c r="C106" s="41">
        <v>86</v>
      </c>
      <c r="D106" s="23">
        <f t="shared" si="20"/>
        <v>2494</v>
      </c>
      <c r="F106" s="31"/>
      <c r="G106" s="32">
        <f t="shared" si="26"/>
        <v>83.1</v>
      </c>
      <c r="H106" s="45">
        <f t="shared" si="26"/>
        <v>83.066666666666663</v>
      </c>
      <c r="I106" s="45">
        <f t="shared" si="26"/>
        <v>83.033333333333331</v>
      </c>
      <c r="J106" s="45">
        <f t="shared" si="26"/>
        <v>83</v>
      </c>
      <c r="K106" s="45">
        <f t="shared" si="26"/>
        <v>82.966666666666669</v>
      </c>
      <c r="L106" s="45">
        <f t="shared" si="26"/>
        <v>82.933333333333337</v>
      </c>
      <c r="M106" s="32">
        <f t="shared" si="26"/>
        <v>82.9</v>
      </c>
      <c r="N106" s="45">
        <f t="shared" si="26"/>
        <v>82.86666666666666</v>
      </c>
      <c r="O106" s="45">
        <f t="shared" si="26"/>
        <v>82.833333333333329</v>
      </c>
      <c r="P106" s="45">
        <f t="shared" si="26"/>
        <v>82.8</v>
      </c>
      <c r="Q106" s="32">
        <f t="shared" si="26"/>
        <v>82.766666666666666</v>
      </c>
      <c r="R106" s="45">
        <f t="shared" si="26"/>
        <v>82.733333333333334</v>
      </c>
      <c r="S106" s="32">
        <f t="shared" si="26"/>
        <v>82.7</v>
      </c>
      <c r="T106" s="45">
        <f t="shared" si="26"/>
        <v>82.666666666666671</v>
      </c>
      <c r="U106" s="45">
        <f t="shared" si="26"/>
        <v>82.63333333333334</v>
      </c>
      <c r="V106" s="45">
        <f t="shared" si="26"/>
        <v>82.6</v>
      </c>
      <c r="W106" s="32">
        <f t="shared" si="25"/>
        <v>82.566666666666663</v>
      </c>
      <c r="X106" s="45">
        <f t="shared" si="25"/>
        <v>82.533333333333331</v>
      </c>
      <c r="Y106" s="32">
        <f t="shared" si="25"/>
        <v>82.5</v>
      </c>
      <c r="Z106" s="45">
        <f t="shared" si="25"/>
        <v>82.466666666666669</v>
      </c>
      <c r="AA106" s="45">
        <f t="shared" si="25"/>
        <v>82.433333333333337</v>
      </c>
      <c r="AB106" s="45">
        <f t="shared" si="25"/>
        <v>82.4</v>
      </c>
      <c r="AC106" s="32">
        <f t="shared" si="25"/>
        <v>82.36666666666666</v>
      </c>
      <c r="AD106" s="45">
        <f t="shared" si="25"/>
        <v>82.333333333333329</v>
      </c>
      <c r="AE106" s="45">
        <f t="shared" si="25"/>
        <v>82.3</v>
      </c>
      <c r="AF106" s="45">
        <f t="shared" si="25"/>
        <v>82.266666666666666</v>
      </c>
      <c r="AG106" s="45">
        <f t="shared" si="25"/>
        <v>82.233333333333334</v>
      </c>
      <c r="AH106" s="45">
        <f t="shared" si="25"/>
        <v>82.2</v>
      </c>
      <c r="AI106" s="33">
        <f t="shared" si="25"/>
        <v>82.166666666666671</v>
      </c>
    </row>
    <row r="107" spans="1:35" x14ac:dyDescent="0.3">
      <c r="B107" s="40"/>
      <c r="C107" s="41">
        <v>87</v>
      </c>
      <c r="D107" s="23">
        <f t="shared" si="20"/>
        <v>2523</v>
      </c>
      <c r="F107" s="31"/>
      <c r="G107" s="32">
        <f t="shared" si="26"/>
        <v>84.066666666666663</v>
      </c>
      <c r="H107" s="45">
        <f t="shared" si="26"/>
        <v>84.033333333333331</v>
      </c>
      <c r="I107" s="45">
        <f t="shared" si="26"/>
        <v>84</v>
      </c>
      <c r="J107" s="45">
        <f t="shared" si="26"/>
        <v>83.966666666666669</v>
      </c>
      <c r="K107" s="45">
        <f t="shared" si="26"/>
        <v>83.933333333333337</v>
      </c>
      <c r="L107" s="45">
        <f t="shared" si="26"/>
        <v>83.9</v>
      </c>
      <c r="M107" s="32">
        <f t="shared" si="26"/>
        <v>83.86666666666666</v>
      </c>
      <c r="N107" s="45">
        <f t="shared" si="26"/>
        <v>83.833333333333329</v>
      </c>
      <c r="O107" s="45">
        <f t="shared" si="26"/>
        <v>83.8</v>
      </c>
      <c r="P107" s="45">
        <f t="shared" si="26"/>
        <v>83.766666666666666</v>
      </c>
      <c r="Q107" s="32">
        <f t="shared" si="26"/>
        <v>83.733333333333334</v>
      </c>
      <c r="R107" s="45">
        <f t="shared" si="26"/>
        <v>83.7</v>
      </c>
      <c r="S107" s="32">
        <f t="shared" si="26"/>
        <v>83.666666666666671</v>
      </c>
      <c r="T107" s="45">
        <f t="shared" si="26"/>
        <v>83.63333333333334</v>
      </c>
      <c r="U107" s="45">
        <f t="shared" si="26"/>
        <v>83.6</v>
      </c>
      <c r="V107" s="45">
        <f t="shared" si="26"/>
        <v>83.566666666666663</v>
      </c>
      <c r="W107" s="32">
        <f t="shared" si="25"/>
        <v>83.533333333333331</v>
      </c>
      <c r="X107" s="45">
        <f t="shared" si="25"/>
        <v>83.5</v>
      </c>
      <c r="Y107" s="32">
        <f t="shared" si="25"/>
        <v>83.466666666666669</v>
      </c>
      <c r="Z107" s="45">
        <f t="shared" si="25"/>
        <v>83.433333333333337</v>
      </c>
      <c r="AA107" s="45">
        <f t="shared" si="25"/>
        <v>83.4</v>
      </c>
      <c r="AB107" s="45">
        <f t="shared" si="25"/>
        <v>83.36666666666666</v>
      </c>
      <c r="AC107" s="32">
        <f t="shared" si="25"/>
        <v>83.333333333333329</v>
      </c>
      <c r="AD107" s="45">
        <f t="shared" si="25"/>
        <v>83.3</v>
      </c>
      <c r="AE107" s="45">
        <f t="shared" si="25"/>
        <v>83.266666666666666</v>
      </c>
      <c r="AF107" s="45">
        <f t="shared" si="25"/>
        <v>83.233333333333334</v>
      </c>
      <c r="AG107" s="45">
        <f t="shared" si="25"/>
        <v>83.2</v>
      </c>
      <c r="AH107" s="45">
        <f t="shared" si="25"/>
        <v>83.166666666666671</v>
      </c>
      <c r="AI107" s="33">
        <f t="shared" si="25"/>
        <v>83.13333333333334</v>
      </c>
    </row>
    <row r="108" spans="1:35" x14ac:dyDescent="0.3">
      <c r="B108" s="40"/>
      <c r="C108" s="41">
        <v>88</v>
      </c>
      <c r="D108" s="23">
        <f t="shared" si="20"/>
        <v>2552</v>
      </c>
      <c r="F108" s="31"/>
      <c r="G108" s="32">
        <f t="shared" si="26"/>
        <v>85.033333333333331</v>
      </c>
      <c r="H108" s="45">
        <f t="shared" si="26"/>
        <v>85</v>
      </c>
      <c r="I108" s="45">
        <f t="shared" si="26"/>
        <v>84.966666666666669</v>
      </c>
      <c r="J108" s="45">
        <f t="shared" si="26"/>
        <v>84.933333333333337</v>
      </c>
      <c r="K108" s="45">
        <f t="shared" si="26"/>
        <v>84.9</v>
      </c>
      <c r="L108" s="45">
        <f t="shared" si="26"/>
        <v>84.86666666666666</v>
      </c>
      <c r="M108" s="32">
        <f t="shared" si="26"/>
        <v>84.833333333333329</v>
      </c>
      <c r="N108" s="45">
        <f t="shared" si="26"/>
        <v>84.8</v>
      </c>
      <c r="O108" s="45">
        <f t="shared" si="26"/>
        <v>84.766666666666666</v>
      </c>
      <c r="P108" s="45">
        <f t="shared" si="26"/>
        <v>84.733333333333334</v>
      </c>
      <c r="Q108" s="32">
        <f t="shared" si="26"/>
        <v>84.7</v>
      </c>
      <c r="R108" s="45">
        <f t="shared" si="26"/>
        <v>84.666666666666671</v>
      </c>
      <c r="S108" s="32">
        <f t="shared" si="26"/>
        <v>84.63333333333334</v>
      </c>
      <c r="T108" s="45">
        <f t="shared" si="26"/>
        <v>84.6</v>
      </c>
      <c r="U108" s="45">
        <f t="shared" si="26"/>
        <v>84.566666666666663</v>
      </c>
      <c r="V108" s="45">
        <f t="shared" si="26"/>
        <v>84.533333333333331</v>
      </c>
      <c r="W108" s="32">
        <f t="shared" si="25"/>
        <v>84.5</v>
      </c>
      <c r="X108" s="45">
        <f t="shared" si="25"/>
        <v>84.466666666666669</v>
      </c>
      <c r="Y108" s="32">
        <f t="shared" si="25"/>
        <v>84.433333333333337</v>
      </c>
      <c r="Z108" s="45">
        <f t="shared" si="25"/>
        <v>84.4</v>
      </c>
      <c r="AA108" s="45">
        <f t="shared" si="25"/>
        <v>84.36666666666666</v>
      </c>
      <c r="AB108" s="45">
        <f t="shared" si="25"/>
        <v>84.333333333333329</v>
      </c>
      <c r="AC108" s="32">
        <f t="shared" si="25"/>
        <v>84.3</v>
      </c>
      <c r="AD108" s="45">
        <f t="shared" si="25"/>
        <v>84.266666666666666</v>
      </c>
      <c r="AE108" s="45">
        <f t="shared" si="25"/>
        <v>84.233333333333334</v>
      </c>
      <c r="AF108" s="45">
        <f t="shared" si="25"/>
        <v>84.2</v>
      </c>
      <c r="AG108" s="45">
        <f t="shared" si="25"/>
        <v>84.166666666666671</v>
      </c>
      <c r="AH108" s="45">
        <f t="shared" si="25"/>
        <v>84.13333333333334</v>
      </c>
      <c r="AI108" s="33">
        <f t="shared" si="25"/>
        <v>84.1</v>
      </c>
    </row>
    <row r="109" spans="1:35" ht="19.2" thickBot="1" x14ac:dyDescent="0.35">
      <c r="A109" s="23">
        <v>89</v>
      </c>
      <c r="B109" s="42" t="s">
        <v>3</v>
      </c>
      <c r="C109" s="43">
        <v>89</v>
      </c>
      <c r="D109" s="23">
        <f t="shared" si="20"/>
        <v>2581</v>
      </c>
      <c r="F109" s="34"/>
      <c r="G109" s="35">
        <f t="shared" si="26"/>
        <v>86</v>
      </c>
      <c r="H109" s="47">
        <f t="shared" si="26"/>
        <v>85.966666666666669</v>
      </c>
      <c r="I109" s="47">
        <f t="shared" si="26"/>
        <v>85.933333333333337</v>
      </c>
      <c r="J109" s="47">
        <f t="shared" si="26"/>
        <v>85.9</v>
      </c>
      <c r="K109" s="47">
        <f t="shared" si="26"/>
        <v>85.86666666666666</v>
      </c>
      <c r="L109" s="47">
        <f t="shared" si="26"/>
        <v>85.833333333333329</v>
      </c>
      <c r="M109" s="35">
        <f t="shared" si="26"/>
        <v>85.8</v>
      </c>
      <c r="N109" s="47">
        <f t="shared" si="26"/>
        <v>85.766666666666666</v>
      </c>
      <c r="O109" s="47">
        <f t="shared" si="26"/>
        <v>85.733333333333334</v>
      </c>
      <c r="P109" s="47">
        <f t="shared" si="26"/>
        <v>85.7</v>
      </c>
      <c r="Q109" s="35">
        <f t="shared" si="26"/>
        <v>85.666666666666671</v>
      </c>
      <c r="R109" s="47">
        <f t="shared" si="26"/>
        <v>85.63333333333334</v>
      </c>
      <c r="S109" s="35">
        <f t="shared" si="26"/>
        <v>85.6</v>
      </c>
      <c r="T109" s="47">
        <f t="shared" si="26"/>
        <v>85.566666666666663</v>
      </c>
      <c r="U109" s="47">
        <f t="shared" si="26"/>
        <v>85.533333333333331</v>
      </c>
      <c r="V109" s="47">
        <f t="shared" si="26"/>
        <v>85.5</v>
      </c>
      <c r="W109" s="35">
        <f t="shared" si="25"/>
        <v>85.466666666666669</v>
      </c>
      <c r="X109" s="47">
        <f t="shared" si="25"/>
        <v>85.433333333333337</v>
      </c>
      <c r="Y109" s="35">
        <f t="shared" si="25"/>
        <v>85.4</v>
      </c>
      <c r="Z109" s="47">
        <f t="shared" si="25"/>
        <v>85.36666666666666</v>
      </c>
      <c r="AA109" s="47">
        <f t="shared" si="25"/>
        <v>85.333333333333329</v>
      </c>
      <c r="AB109" s="47">
        <f t="shared" si="25"/>
        <v>85.3</v>
      </c>
      <c r="AC109" s="35">
        <f t="shared" si="25"/>
        <v>85.266666666666666</v>
      </c>
      <c r="AD109" s="47">
        <f t="shared" si="25"/>
        <v>85.233333333333334</v>
      </c>
      <c r="AE109" s="47">
        <f t="shared" si="25"/>
        <v>85.2</v>
      </c>
      <c r="AF109" s="47">
        <f t="shared" si="25"/>
        <v>85.166666666666671</v>
      </c>
      <c r="AG109" s="47">
        <f t="shared" si="25"/>
        <v>85.13333333333334</v>
      </c>
      <c r="AH109" s="47">
        <f t="shared" si="25"/>
        <v>85.1</v>
      </c>
      <c r="AI109" s="36">
        <f t="shared" si="25"/>
        <v>85.066666666666663</v>
      </c>
    </row>
    <row r="114" spans="1:1" x14ac:dyDescent="0.3">
      <c r="A114" s="23">
        <v>97</v>
      </c>
    </row>
    <row r="115" spans="1:1" x14ac:dyDescent="0.3">
      <c r="A115" s="23">
        <v>101</v>
      </c>
    </row>
    <row r="116" spans="1:1" x14ac:dyDescent="0.3">
      <c r="A116" s="23">
        <v>103</v>
      </c>
    </row>
    <row r="117" spans="1:1" x14ac:dyDescent="0.3">
      <c r="A117" s="23">
        <v>107</v>
      </c>
    </row>
    <row r="118" spans="1:1" x14ac:dyDescent="0.3">
      <c r="A118" s="23">
        <v>109</v>
      </c>
    </row>
    <row r="119" spans="1:1" x14ac:dyDescent="0.3">
      <c r="A119" s="23">
        <v>113</v>
      </c>
    </row>
    <row r="120" spans="1:1" x14ac:dyDescent="0.3">
      <c r="A120" s="23">
        <v>127</v>
      </c>
    </row>
    <row r="121" spans="1:1" x14ac:dyDescent="0.3">
      <c r="A121" s="23">
        <v>131</v>
      </c>
    </row>
    <row r="122" spans="1:1" x14ac:dyDescent="0.3">
      <c r="A122" s="23">
        <v>137</v>
      </c>
    </row>
    <row r="123" spans="1:1" x14ac:dyDescent="0.3">
      <c r="A123" s="23">
        <v>139</v>
      </c>
    </row>
    <row r="124" spans="1:1" x14ac:dyDescent="0.3">
      <c r="A124" s="23">
        <v>149</v>
      </c>
    </row>
    <row r="125" spans="1:1" x14ac:dyDescent="0.3">
      <c r="A125" s="23">
        <v>151</v>
      </c>
    </row>
    <row r="126" spans="1:1" x14ac:dyDescent="0.3">
      <c r="A126" s="23">
        <v>157</v>
      </c>
    </row>
    <row r="127" spans="1:1" x14ac:dyDescent="0.3">
      <c r="A127" s="23">
        <v>163</v>
      </c>
    </row>
    <row r="128" spans="1:1" x14ac:dyDescent="0.3">
      <c r="A128" s="23">
        <v>167</v>
      </c>
    </row>
    <row r="129" spans="1:1" x14ac:dyDescent="0.3">
      <c r="A129" s="23">
        <v>173</v>
      </c>
    </row>
    <row r="130" spans="1:1" x14ac:dyDescent="0.3">
      <c r="A130" s="23">
        <v>179</v>
      </c>
    </row>
    <row r="131" spans="1:1" x14ac:dyDescent="0.3">
      <c r="A131" s="23">
        <v>181</v>
      </c>
    </row>
    <row r="132" spans="1:1" x14ac:dyDescent="0.3">
      <c r="A132" s="23">
        <v>191</v>
      </c>
    </row>
    <row r="133" spans="1:1" x14ac:dyDescent="0.3">
      <c r="A133" s="23">
        <v>193</v>
      </c>
    </row>
    <row r="134" spans="1:1" x14ac:dyDescent="0.3">
      <c r="A134" s="23">
        <v>197</v>
      </c>
    </row>
    <row r="135" spans="1:1" x14ac:dyDescent="0.3">
      <c r="A135" s="23">
        <v>199</v>
      </c>
    </row>
  </sheetData>
  <conditionalFormatting sqref="G6">
    <cfRule type="expression" dxfId="157" priority="158">
      <formula>MOD(G6,1)&lt;&gt;0</formula>
    </cfRule>
  </conditionalFormatting>
  <conditionalFormatting sqref="G7:G34">
    <cfRule type="expression" dxfId="156" priority="157">
      <formula>MOD(G7,1)&lt;&gt;0</formula>
    </cfRule>
  </conditionalFormatting>
  <conditionalFormatting sqref="M6:M34">
    <cfRule type="expression" dxfId="155" priority="156">
      <formula>MOD(M6,1)&lt;&gt;0</formula>
    </cfRule>
  </conditionalFormatting>
  <conditionalFormatting sqref="Q6:Q34">
    <cfRule type="expression" dxfId="154" priority="155">
      <formula>MOD(Q6,1)&lt;&gt;0</formula>
    </cfRule>
  </conditionalFormatting>
  <conditionalFormatting sqref="S6:S34">
    <cfRule type="expression" dxfId="153" priority="154">
      <formula>MOD(S6,1)&lt;&gt;0</formula>
    </cfRule>
  </conditionalFormatting>
  <conditionalFormatting sqref="W6:W34">
    <cfRule type="expression" dxfId="152" priority="153">
      <formula>MOD(W6,1)&lt;&gt;0</formula>
    </cfRule>
  </conditionalFormatting>
  <conditionalFormatting sqref="Y6:Y34">
    <cfRule type="expression" dxfId="151" priority="152">
      <formula>MOD(Y6,1)&lt;&gt;0</formula>
    </cfRule>
  </conditionalFormatting>
  <conditionalFormatting sqref="AC6:AC34">
    <cfRule type="expression" dxfId="150" priority="151">
      <formula>MOD(AC6,1)&lt;&gt;0</formula>
    </cfRule>
  </conditionalFormatting>
  <conditionalFormatting sqref="AI6:AI34">
    <cfRule type="expression" dxfId="149" priority="150">
      <formula>MOD(AI6,1)&lt;&gt;0</formula>
    </cfRule>
  </conditionalFormatting>
  <conditionalFormatting sqref="AH81:AH89">
    <cfRule type="expression" dxfId="148" priority="2">
      <formula>MOD(AH81,1)=0</formula>
    </cfRule>
  </conditionalFormatting>
  <conditionalFormatting sqref="H15:H34">
    <cfRule type="expression" dxfId="147" priority="147">
      <formula>MOD(H15,1)=0</formula>
    </cfRule>
  </conditionalFormatting>
  <conditionalFormatting sqref="H6:H14">
    <cfRule type="expression" dxfId="146" priority="146">
      <formula>MOD(H6,1)=0</formula>
    </cfRule>
  </conditionalFormatting>
  <conditionalFormatting sqref="I15:I34">
    <cfRule type="expression" dxfId="145" priority="145">
      <formula>MOD(I15,1)=0</formula>
    </cfRule>
  </conditionalFormatting>
  <conditionalFormatting sqref="I6:I14">
    <cfRule type="expression" dxfId="144" priority="144">
      <formula>MOD(I6,1)=0</formula>
    </cfRule>
  </conditionalFormatting>
  <conditionalFormatting sqref="J15:J34">
    <cfRule type="expression" dxfId="143" priority="143">
      <formula>MOD(J15,1)=0</formula>
    </cfRule>
  </conditionalFormatting>
  <conditionalFormatting sqref="J6:J14">
    <cfRule type="expression" dxfId="142" priority="142">
      <formula>MOD(J6,1)=0</formula>
    </cfRule>
  </conditionalFormatting>
  <conditionalFormatting sqref="K15:K34">
    <cfRule type="expression" dxfId="141" priority="141">
      <formula>MOD(K15,1)=0</formula>
    </cfRule>
  </conditionalFormatting>
  <conditionalFormatting sqref="K6:K14">
    <cfRule type="expression" dxfId="140" priority="140">
      <formula>MOD(K6,1)=0</formula>
    </cfRule>
  </conditionalFormatting>
  <conditionalFormatting sqref="L15:L34">
    <cfRule type="expression" dxfId="139" priority="139">
      <formula>MOD(L15,1)=0</formula>
    </cfRule>
  </conditionalFormatting>
  <conditionalFormatting sqref="L6:L14">
    <cfRule type="expression" dxfId="138" priority="138">
      <formula>MOD(L6,1)=0</formula>
    </cfRule>
  </conditionalFormatting>
  <conditionalFormatting sqref="N15:N34">
    <cfRule type="expression" dxfId="137" priority="137">
      <formula>MOD(N15,1)=0</formula>
    </cfRule>
  </conditionalFormatting>
  <conditionalFormatting sqref="N6:N14">
    <cfRule type="expression" dxfId="136" priority="136">
      <formula>MOD(N6,1)=0</formula>
    </cfRule>
  </conditionalFormatting>
  <conditionalFormatting sqref="O15:O34">
    <cfRule type="expression" dxfId="135" priority="135">
      <formula>MOD(O15,1)=0</formula>
    </cfRule>
  </conditionalFormatting>
  <conditionalFormatting sqref="O6:O14">
    <cfRule type="expression" dxfId="134" priority="134">
      <formula>MOD(O6,1)=0</formula>
    </cfRule>
  </conditionalFormatting>
  <conditionalFormatting sqref="P15:P34">
    <cfRule type="expression" dxfId="133" priority="133">
      <formula>MOD(P15,1)=0</formula>
    </cfRule>
  </conditionalFormatting>
  <conditionalFormatting sqref="P6:P14">
    <cfRule type="expression" dxfId="132" priority="132">
      <formula>MOD(P6,1)=0</formula>
    </cfRule>
  </conditionalFormatting>
  <conditionalFormatting sqref="R15:R34">
    <cfRule type="expression" dxfId="131" priority="131">
      <formula>MOD(R15,1)=0</formula>
    </cfRule>
  </conditionalFormatting>
  <conditionalFormatting sqref="R6:R14">
    <cfRule type="expression" dxfId="130" priority="130">
      <formula>MOD(R6,1)=0</formula>
    </cfRule>
  </conditionalFormatting>
  <conditionalFormatting sqref="T15:T34">
    <cfRule type="expression" dxfId="129" priority="129">
      <formula>MOD(T15,1)=0</formula>
    </cfRule>
  </conditionalFormatting>
  <conditionalFormatting sqref="T6:T14">
    <cfRule type="expression" dxfId="128" priority="128">
      <formula>MOD(T6,1)=0</formula>
    </cfRule>
  </conditionalFormatting>
  <conditionalFormatting sqref="U14:U33">
    <cfRule type="expression" dxfId="127" priority="127">
      <formula>MOD(U14,1)=0</formula>
    </cfRule>
  </conditionalFormatting>
  <conditionalFormatting sqref="U5:U13">
    <cfRule type="expression" dxfId="126" priority="126">
      <formula>MOD(U5,1)=0</formula>
    </cfRule>
  </conditionalFormatting>
  <conditionalFormatting sqref="V15:V34">
    <cfRule type="expression" dxfId="125" priority="125">
      <formula>MOD(V15,1)=0</formula>
    </cfRule>
  </conditionalFormatting>
  <conditionalFormatting sqref="V6:V14">
    <cfRule type="expression" dxfId="124" priority="124">
      <formula>MOD(V6,1)=0</formula>
    </cfRule>
  </conditionalFormatting>
  <conditionalFormatting sqref="X15:X34">
    <cfRule type="expression" dxfId="123" priority="123">
      <formula>MOD(X15,1)=0</formula>
    </cfRule>
  </conditionalFormatting>
  <conditionalFormatting sqref="X6:X14">
    <cfRule type="expression" dxfId="122" priority="122">
      <formula>MOD(X6,1)=0</formula>
    </cfRule>
  </conditionalFormatting>
  <conditionalFormatting sqref="Z15:Z34">
    <cfRule type="expression" dxfId="121" priority="121">
      <formula>MOD(Z15,1)=0</formula>
    </cfRule>
  </conditionalFormatting>
  <conditionalFormatting sqref="Z6:Z14">
    <cfRule type="expression" dxfId="120" priority="120">
      <formula>MOD(Z6,1)=0</formula>
    </cfRule>
  </conditionalFormatting>
  <conditionalFormatting sqref="AA15:AA34">
    <cfRule type="expression" dxfId="119" priority="119">
      <formula>MOD(AA15,1)=0</formula>
    </cfRule>
  </conditionalFormatting>
  <conditionalFormatting sqref="AA6:AA14">
    <cfRule type="expression" dxfId="118" priority="118">
      <formula>MOD(AA6,1)=0</formula>
    </cfRule>
  </conditionalFormatting>
  <conditionalFormatting sqref="AB15:AB34">
    <cfRule type="expression" dxfId="117" priority="117">
      <formula>MOD(AB15,1)=0</formula>
    </cfRule>
  </conditionalFormatting>
  <conditionalFormatting sqref="AB6:AB14">
    <cfRule type="expression" dxfId="116" priority="116">
      <formula>MOD(AB6,1)=0</formula>
    </cfRule>
  </conditionalFormatting>
  <conditionalFormatting sqref="AD15:AD34">
    <cfRule type="expression" dxfId="115" priority="115">
      <formula>MOD(AD15,1)=0</formula>
    </cfRule>
  </conditionalFormatting>
  <conditionalFormatting sqref="AD6:AD14">
    <cfRule type="expression" dxfId="114" priority="114">
      <formula>MOD(AD6,1)=0</formula>
    </cfRule>
  </conditionalFormatting>
  <conditionalFormatting sqref="AE15:AE34">
    <cfRule type="expression" dxfId="113" priority="113">
      <formula>MOD(AE15,1)=0</formula>
    </cfRule>
  </conditionalFormatting>
  <conditionalFormatting sqref="AE6:AE14">
    <cfRule type="expression" dxfId="112" priority="112">
      <formula>MOD(AE6,1)=0</formula>
    </cfRule>
  </conditionalFormatting>
  <conditionalFormatting sqref="AF15:AF34">
    <cfRule type="expression" dxfId="111" priority="111">
      <formula>MOD(AF15,1)=0</formula>
    </cfRule>
  </conditionalFormatting>
  <conditionalFormatting sqref="AF6:AF14">
    <cfRule type="expression" dxfId="110" priority="110">
      <formula>MOD(AF6,1)=0</formula>
    </cfRule>
  </conditionalFormatting>
  <conditionalFormatting sqref="AG15:AG34">
    <cfRule type="expression" dxfId="109" priority="109">
      <formula>MOD(AG15,1)=0</formula>
    </cfRule>
  </conditionalFormatting>
  <conditionalFormatting sqref="AG6:AG14">
    <cfRule type="expression" dxfId="108" priority="108">
      <formula>MOD(AG6,1)=0</formula>
    </cfRule>
  </conditionalFormatting>
  <conditionalFormatting sqref="AH15:AH34">
    <cfRule type="expression" dxfId="107" priority="107">
      <formula>MOD(AH15,1)=0</formula>
    </cfRule>
  </conditionalFormatting>
  <conditionalFormatting sqref="AH6:AH14">
    <cfRule type="expression" dxfId="106" priority="106">
      <formula>MOD(AH6,1)=0</formula>
    </cfRule>
  </conditionalFormatting>
  <conditionalFormatting sqref="U34">
    <cfRule type="expression" dxfId="105" priority="105">
      <formula>MOD(U34,1)=0</formula>
    </cfRule>
  </conditionalFormatting>
  <conditionalFormatting sqref="G41">
    <cfRule type="expression" dxfId="104" priority="104">
      <formula>MOD(G41,1)&lt;&gt;0</formula>
    </cfRule>
  </conditionalFormatting>
  <conditionalFormatting sqref="G42:G69">
    <cfRule type="expression" dxfId="103" priority="103">
      <formula>MOD(G42,1)&lt;&gt;0</formula>
    </cfRule>
  </conditionalFormatting>
  <conditionalFormatting sqref="M41:M69">
    <cfRule type="expression" dxfId="102" priority="102">
      <formula>MOD(M41,1)&lt;&gt;0</formula>
    </cfRule>
  </conditionalFormatting>
  <conditionalFormatting sqref="Q41:Q69">
    <cfRule type="expression" dxfId="101" priority="101">
      <formula>MOD(Q41,1)&lt;&gt;0</formula>
    </cfRule>
  </conditionalFormatting>
  <conditionalFormatting sqref="S41:S69">
    <cfRule type="expression" dxfId="100" priority="100">
      <formula>MOD(S41,1)&lt;&gt;0</formula>
    </cfRule>
  </conditionalFormatting>
  <conditionalFormatting sqref="W41:W69">
    <cfRule type="expression" dxfId="99" priority="99">
      <formula>MOD(W41,1)&lt;&gt;0</formula>
    </cfRule>
  </conditionalFormatting>
  <conditionalFormatting sqref="Y41:Y69">
    <cfRule type="expression" dxfId="98" priority="98">
      <formula>MOD(Y41,1)&lt;&gt;0</formula>
    </cfRule>
  </conditionalFormatting>
  <conditionalFormatting sqref="AC41:AC69">
    <cfRule type="expression" dxfId="97" priority="97">
      <formula>MOD(AC41,1)&lt;&gt;0</formula>
    </cfRule>
  </conditionalFormatting>
  <conditionalFormatting sqref="AI41:AI69">
    <cfRule type="expression" dxfId="96" priority="96">
      <formula>MOD(AI41,1)&lt;&gt;0</formula>
    </cfRule>
  </conditionalFormatting>
  <conditionalFormatting sqref="H50:H69">
    <cfRule type="expression" dxfId="95" priority="95">
      <formula>MOD(H50,1)=0</formula>
    </cfRule>
  </conditionalFormatting>
  <conditionalFormatting sqref="H41:H49">
    <cfRule type="expression" dxfId="94" priority="94">
      <formula>MOD(H41,1)=0</formula>
    </cfRule>
  </conditionalFormatting>
  <conditionalFormatting sqref="I50:I69">
    <cfRule type="expression" dxfId="93" priority="93">
      <formula>MOD(I50,1)=0</formula>
    </cfRule>
  </conditionalFormatting>
  <conditionalFormatting sqref="I41:I49">
    <cfRule type="expression" dxfId="92" priority="92">
      <formula>MOD(I41,1)=0</formula>
    </cfRule>
  </conditionalFormatting>
  <conditionalFormatting sqref="J50:J69">
    <cfRule type="expression" dxfId="91" priority="91">
      <formula>MOD(J50,1)=0</formula>
    </cfRule>
  </conditionalFormatting>
  <conditionalFormatting sqref="J41:J49">
    <cfRule type="expression" dxfId="90" priority="90">
      <formula>MOD(J41,1)=0</formula>
    </cfRule>
  </conditionalFormatting>
  <conditionalFormatting sqref="K50:K69">
    <cfRule type="expression" dxfId="89" priority="89">
      <formula>MOD(K50,1)=0</formula>
    </cfRule>
  </conditionalFormatting>
  <conditionalFormatting sqref="K41:K49">
    <cfRule type="expression" dxfId="88" priority="88">
      <formula>MOD(K41,1)=0</formula>
    </cfRule>
  </conditionalFormatting>
  <conditionalFormatting sqref="L50:L69">
    <cfRule type="expression" dxfId="87" priority="87">
      <formula>MOD(L50,1)=0</formula>
    </cfRule>
  </conditionalFormatting>
  <conditionalFormatting sqref="L41:L49">
    <cfRule type="expression" dxfId="86" priority="86">
      <formula>MOD(L41,1)=0</formula>
    </cfRule>
  </conditionalFormatting>
  <conditionalFormatting sqref="N50:N69">
    <cfRule type="expression" dxfId="85" priority="85">
      <formula>MOD(N50,1)=0</formula>
    </cfRule>
  </conditionalFormatting>
  <conditionalFormatting sqref="N41:N49">
    <cfRule type="expression" dxfId="84" priority="84">
      <formula>MOD(N41,1)=0</formula>
    </cfRule>
  </conditionalFormatting>
  <conditionalFormatting sqref="O50:O69">
    <cfRule type="expression" dxfId="83" priority="83">
      <formula>MOD(O50,1)=0</formula>
    </cfRule>
  </conditionalFormatting>
  <conditionalFormatting sqref="O41:O49">
    <cfRule type="expression" dxfId="82" priority="82">
      <formula>MOD(O41,1)=0</formula>
    </cfRule>
  </conditionalFormatting>
  <conditionalFormatting sqref="P50:P69">
    <cfRule type="expression" dxfId="81" priority="81">
      <formula>MOD(P50,1)=0</formula>
    </cfRule>
  </conditionalFormatting>
  <conditionalFormatting sqref="P41:P49">
    <cfRule type="expression" dxfId="80" priority="80">
      <formula>MOD(P41,1)=0</formula>
    </cfRule>
  </conditionalFormatting>
  <conditionalFormatting sqref="R50:R69">
    <cfRule type="expression" dxfId="79" priority="79">
      <formula>MOD(R50,1)=0</formula>
    </cfRule>
  </conditionalFormatting>
  <conditionalFormatting sqref="R41:R49">
    <cfRule type="expression" dxfId="78" priority="78">
      <formula>MOD(R41,1)=0</formula>
    </cfRule>
  </conditionalFormatting>
  <conditionalFormatting sqref="T50:T69">
    <cfRule type="expression" dxfId="77" priority="77">
      <formula>MOD(T50,1)=0</formula>
    </cfRule>
  </conditionalFormatting>
  <conditionalFormatting sqref="T41:T49">
    <cfRule type="expression" dxfId="76" priority="76">
      <formula>MOD(T41,1)=0</formula>
    </cfRule>
  </conditionalFormatting>
  <conditionalFormatting sqref="U49:U68">
    <cfRule type="expression" dxfId="75" priority="75">
      <formula>MOD(U49,1)=0</formula>
    </cfRule>
  </conditionalFormatting>
  <conditionalFormatting sqref="U40:U48">
    <cfRule type="expression" dxfId="74" priority="74">
      <formula>MOD(U40,1)=0</formula>
    </cfRule>
  </conditionalFormatting>
  <conditionalFormatting sqref="V50:V69">
    <cfRule type="expression" dxfId="73" priority="73">
      <formula>MOD(V50,1)=0</formula>
    </cfRule>
  </conditionalFormatting>
  <conditionalFormatting sqref="V41:V49">
    <cfRule type="expression" dxfId="72" priority="72">
      <formula>MOD(V41,1)=0</formula>
    </cfRule>
  </conditionalFormatting>
  <conditionalFormatting sqref="X50:X69">
    <cfRule type="expression" dxfId="71" priority="71">
      <formula>MOD(X50,1)=0</formula>
    </cfRule>
  </conditionalFormatting>
  <conditionalFormatting sqref="X41:X49">
    <cfRule type="expression" dxfId="70" priority="70">
      <formula>MOD(X41,1)=0</formula>
    </cfRule>
  </conditionalFormatting>
  <conditionalFormatting sqref="Z50:Z69">
    <cfRule type="expression" dxfId="69" priority="69">
      <formula>MOD(Z50,1)=0</formula>
    </cfRule>
  </conditionalFormatting>
  <conditionalFormatting sqref="Z41:Z49">
    <cfRule type="expression" dxfId="68" priority="68">
      <formula>MOD(Z41,1)=0</formula>
    </cfRule>
  </conditionalFormatting>
  <conditionalFormatting sqref="AA50:AA69">
    <cfRule type="expression" dxfId="67" priority="67">
      <formula>MOD(AA50,1)=0</formula>
    </cfRule>
  </conditionalFormatting>
  <conditionalFormatting sqref="AA41:AA49">
    <cfRule type="expression" dxfId="66" priority="66">
      <formula>MOD(AA41,1)=0</formula>
    </cfRule>
  </conditionalFormatting>
  <conditionalFormatting sqref="AB50:AB69">
    <cfRule type="expression" dxfId="65" priority="65">
      <formula>MOD(AB50,1)=0</formula>
    </cfRule>
  </conditionalFormatting>
  <conditionalFormatting sqref="AB41:AB49">
    <cfRule type="expression" dxfId="64" priority="64">
      <formula>MOD(AB41,1)=0</formula>
    </cfRule>
  </conditionalFormatting>
  <conditionalFormatting sqref="AD50:AD69">
    <cfRule type="expression" dxfId="63" priority="63">
      <formula>MOD(AD50,1)=0</formula>
    </cfRule>
  </conditionalFormatting>
  <conditionalFormatting sqref="AD41:AD49">
    <cfRule type="expression" dxfId="62" priority="62">
      <formula>MOD(AD41,1)=0</formula>
    </cfRule>
  </conditionalFormatting>
  <conditionalFormatting sqref="AE50:AE69">
    <cfRule type="expression" dxfId="61" priority="61">
      <formula>MOD(AE50,1)=0</formula>
    </cfRule>
  </conditionalFormatting>
  <conditionalFormatting sqref="AE41:AE49">
    <cfRule type="expression" dxfId="60" priority="60">
      <formula>MOD(AE41,1)=0</formula>
    </cfRule>
  </conditionalFormatting>
  <conditionalFormatting sqref="AF50:AF69">
    <cfRule type="expression" dxfId="59" priority="59">
      <formula>MOD(AF50,1)=0</formula>
    </cfRule>
  </conditionalFormatting>
  <conditionalFormatting sqref="AF41:AF49">
    <cfRule type="expression" dxfId="58" priority="58">
      <formula>MOD(AF41,1)=0</formula>
    </cfRule>
  </conditionalFormatting>
  <conditionalFormatting sqref="AG50:AG69">
    <cfRule type="expression" dxfId="57" priority="57">
      <formula>MOD(AG50,1)=0</formula>
    </cfRule>
  </conditionalFormatting>
  <conditionalFormatting sqref="AG41:AG49">
    <cfRule type="expression" dxfId="56" priority="56">
      <formula>MOD(AG41,1)=0</formula>
    </cfRule>
  </conditionalFormatting>
  <conditionalFormatting sqref="AH50:AH69">
    <cfRule type="expression" dxfId="55" priority="55">
      <formula>MOD(AH50,1)=0</formula>
    </cfRule>
  </conditionalFormatting>
  <conditionalFormatting sqref="AH41:AH49">
    <cfRule type="expression" dxfId="54" priority="54">
      <formula>MOD(AH41,1)=0</formula>
    </cfRule>
  </conditionalFormatting>
  <conditionalFormatting sqref="U69">
    <cfRule type="expression" dxfId="53" priority="53">
      <formula>MOD(U69,1)=0</formula>
    </cfRule>
  </conditionalFormatting>
  <conditionalFormatting sqref="G81">
    <cfRule type="expression" dxfId="52" priority="52">
      <formula>MOD(G81,1)&lt;&gt;0</formula>
    </cfRule>
  </conditionalFormatting>
  <conditionalFormatting sqref="G82:G109">
    <cfRule type="expression" dxfId="51" priority="51">
      <formula>MOD(G82,1)&lt;&gt;0</formula>
    </cfRule>
  </conditionalFormatting>
  <conditionalFormatting sqref="M81:M109">
    <cfRule type="expression" dxfId="50" priority="50">
      <formula>MOD(M81,1)&lt;&gt;0</formula>
    </cfRule>
  </conditionalFormatting>
  <conditionalFormatting sqref="Q81:Q109">
    <cfRule type="expression" dxfId="49" priority="49">
      <formula>MOD(Q81,1)&lt;&gt;0</formula>
    </cfRule>
  </conditionalFormatting>
  <conditionalFormatting sqref="S81:S109">
    <cfRule type="expression" dxfId="48" priority="48">
      <formula>MOD(S81,1)&lt;&gt;0</formula>
    </cfRule>
  </conditionalFormatting>
  <conditionalFormatting sqref="W81:W109">
    <cfRule type="expression" dxfId="47" priority="47">
      <formula>MOD(W81,1)&lt;&gt;0</formula>
    </cfRule>
  </conditionalFormatting>
  <conditionalFormatting sqref="Y81:Y109">
    <cfRule type="expression" dxfId="46" priority="46">
      <formula>MOD(Y81,1)&lt;&gt;0</formula>
    </cfRule>
  </conditionalFormatting>
  <conditionalFormatting sqref="AC81:AC109">
    <cfRule type="expression" dxfId="45" priority="45">
      <formula>MOD(AC81,1)&lt;&gt;0</formula>
    </cfRule>
  </conditionalFormatting>
  <conditionalFormatting sqref="AI81:AI109">
    <cfRule type="expression" dxfId="44" priority="44">
      <formula>MOD(AI81,1)&lt;&gt;0</formula>
    </cfRule>
  </conditionalFormatting>
  <conditionalFormatting sqref="H90:H109">
    <cfRule type="expression" dxfId="43" priority="43">
      <formula>MOD(H90,1)=0</formula>
    </cfRule>
  </conditionalFormatting>
  <conditionalFormatting sqref="H81:H89">
    <cfRule type="expression" dxfId="42" priority="42">
      <formula>MOD(H81,1)=0</formula>
    </cfRule>
  </conditionalFormatting>
  <conditionalFormatting sqref="I90:I109">
    <cfRule type="expression" dxfId="41" priority="41">
      <formula>MOD(I90,1)=0</formula>
    </cfRule>
  </conditionalFormatting>
  <conditionalFormatting sqref="I81:I89">
    <cfRule type="expression" dxfId="40" priority="40">
      <formula>MOD(I81,1)=0</formula>
    </cfRule>
  </conditionalFormatting>
  <conditionalFormatting sqref="J90:J109">
    <cfRule type="expression" dxfId="39" priority="39">
      <formula>MOD(J90,1)=0</formula>
    </cfRule>
  </conditionalFormatting>
  <conditionalFormatting sqref="J81:J89">
    <cfRule type="expression" dxfId="38" priority="38">
      <formula>MOD(J81,1)=0</formula>
    </cfRule>
  </conditionalFormatting>
  <conditionalFormatting sqref="K90:K109">
    <cfRule type="expression" dxfId="37" priority="37">
      <formula>MOD(K90,1)=0</formula>
    </cfRule>
  </conditionalFormatting>
  <conditionalFormatting sqref="K81:K89">
    <cfRule type="expression" dxfId="36" priority="36">
      <formula>MOD(K81,1)=0</formula>
    </cfRule>
  </conditionalFormatting>
  <conditionalFormatting sqref="L90:L109">
    <cfRule type="expression" dxfId="35" priority="35">
      <formula>MOD(L90,1)=0</formula>
    </cfRule>
  </conditionalFormatting>
  <conditionalFormatting sqref="L81:L89">
    <cfRule type="expression" dxfId="34" priority="34">
      <formula>MOD(L81,1)=0</formula>
    </cfRule>
  </conditionalFormatting>
  <conditionalFormatting sqref="N90:N109">
    <cfRule type="expression" dxfId="33" priority="33">
      <formula>MOD(N90,1)=0</formula>
    </cfRule>
  </conditionalFormatting>
  <conditionalFormatting sqref="N81:N89">
    <cfRule type="expression" dxfId="32" priority="32">
      <formula>MOD(N81,1)=0</formula>
    </cfRule>
  </conditionalFormatting>
  <conditionalFormatting sqref="O90:O109">
    <cfRule type="expression" dxfId="31" priority="31">
      <formula>MOD(O90,1)=0</formula>
    </cfRule>
  </conditionalFormatting>
  <conditionalFormatting sqref="O81:O89">
    <cfRule type="expression" dxfId="30" priority="30">
      <formula>MOD(O81,1)=0</formula>
    </cfRule>
  </conditionalFormatting>
  <conditionalFormatting sqref="P90:P109">
    <cfRule type="expression" dxfId="29" priority="29">
      <formula>MOD(P90,1)=0</formula>
    </cfRule>
  </conditionalFormatting>
  <conditionalFormatting sqref="P81:P89">
    <cfRule type="expression" dxfId="28" priority="28">
      <formula>MOD(P81,1)=0</formula>
    </cfRule>
  </conditionalFormatting>
  <conditionalFormatting sqref="R90:R109">
    <cfRule type="expression" dxfId="27" priority="27">
      <formula>MOD(R90,1)=0</formula>
    </cfRule>
  </conditionalFormatting>
  <conditionalFormatting sqref="R81:R89">
    <cfRule type="expression" dxfId="26" priority="26">
      <formula>MOD(R81,1)=0</formula>
    </cfRule>
  </conditionalFormatting>
  <conditionalFormatting sqref="T90:T109">
    <cfRule type="expression" dxfId="25" priority="25">
      <formula>MOD(T90,1)=0</formula>
    </cfRule>
  </conditionalFormatting>
  <conditionalFormatting sqref="T81:T89">
    <cfRule type="expression" dxfId="24" priority="24">
      <formula>MOD(T81,1)=0</formula>
    </cfRule>
  </conditionalFormatting>
  <conditionalFormatting sqref="U89:U108">
    <cfRule type="expression" dxfId="23" priority="23">
      <formula>MOD(U89,1)=0</formula>
    </cfRule>
  </conditionalFormatting>
  <conditionalFormatting sqref="U80:U88">
    <cfRule type="expression" dxfId="22" priority="22">
      <formula>MOD(U80,1)=0</formula>
    </cfRule>
  </conditionalFormatting>
  <conditionalFormatting sqref="V90:V109">
    <cfRule type="expression" dxfId="21" priority="21">
      <formula>MOD(V90,1)=0</formula>
    </cfRule>
  </conditionalFormatting>
  <conditionalFormatting sqref="V81:V89">
    <cfRule type="expression" dxfId="20" priority="20">
      <formula>MOD(V81,1)=0</formula>
    </cfRule>
  </conditionalFormatting>
  <conditionalFormatting sqref="X90:X109">
    <cfRule type="expression" dxfId="19" priority="19">
      <formula>MOD(X90,1)=0</formula>
    </cfRule>
  </conditionalFormatting>
  <conditionalFormatting sqref="X81:X89">
    <cfRule type="expression" dxfId="18" priority="18">
      <formula>MOD(X81,1)=0</formula>
    </cfRule>
  </conditionalFormatting>
  <conditionalFormatting sqref="Z90:Z109">
    <cfRule type="expression" dxfId="17" priority="17">
      <formula>MOD(Z90,1)=0</formula>
    </cfRule>
  </conditionalFormatting>
  <conditionalFormatting sqref="Z81:Z89">
    <cfRule type="expression" dxfId="16" priority="16">
      <formula>MOD(Z81,1)=0</formula>
    </cfRule>
  </conditionalFormatting>
  <conditionalFormatting sqref="AA90:AA109">
    <cfRule type="expression" dxfId="15" priority="15">
      <formula>MOD(AA90,1)=0</formula>
    </cfRule>
  </conditionalFormatting>
  <conditionalFormatting sqref="AA81:AA89">
    <cfRule type="expression" dxfId="14" priority="14">
      <formula>MOD(AA81,1)=0</formula>
    </cfRule>
  </conditionalFormatting>
  <conditionalFormatting sqref="AB90:AB109">
    <cfRule type="expression" dxfId="13" priority="13">
      <formula>MOD(AB90,1)=0</formula>
    </cfRule>
  </conditionalFormatting>
  <conditionalFormatting sqref="AB81:AB89">
    <cfRule type="expression" dxfId="12" priority="12">
      <formula>MOD(AB81,1)=0</formula>
    </cfRule>
  </conditionalFormatting>
  <conditionalFormatting sqref="AD90:AD109">
    <cfRule type="expression" dxfId="11" priority="11">
      <formula>MOD(AD90,1)=0</formula>
    </cfRule>
  </conditionalFormatting>
  <conditionalFormatting sqref="AD81:AD89">
    <cfRule type="expression" dxfId="10" priority="10">
      <formula>MOD(AD81,1)=0</formula>
    </cfRule>
  </conditionalFormatting>
  <conditionalFormatting sqref="AE90:AE109">
    <cfRule type="expression" dxfId="9" priority="9">
      <formula>MOD(AE90,1)=0</formula>
    </cfRule>
  </conditionalFormatting>
  <conditionalFormatting sqref="AE81:AE89">
    <cfRule type="expression" dxfId="8" priority="8">
      <formula>MOD(AE81,1)=0</formula>
    </cfRule>
  </conditionalFormatting>
  <conditionalFormatting sqref="AF90:AF109">
    <cfRule type="expression" dxfId="7" priority="7">
      <formula>MOD(AF90,1)=0</formula>
    </cfRule>
  </conditionalFormatting>
  <conditionalFormatting sqref="AF81:AF89">
    <cfRule type="expression" dxfId="6" priority="6">
      <formula>MOD(AF81,1)=0</formula>
    </cfRule>
  </conditionalFormatting>
  <conditionalFormatting sqref="AG90:AG109">
    <cfRule type="expression" dxfId="5" priority="5">
      <formula>MOD(AG90,1)=0</formula>
    </cfRule>
  </conditionalFormatting>
  <conditionalFormatting sqref="AG81:AG89">
    <cfRule type="expression" dxfId="4" priority="4">
      <formula>MOD(AG81,1)=0</formula>
    </cfRule>
  </conditionalFormatting>
  <conditionalFormatting sqref="AH90:AH109">
    <cfRule type="expression" dxfId="3" priority="3">
      <formula>MOD(AH90,1)=0</formula>
    </cfRule>
  </conditionalFormatting>
  <conditionalFormatting sqref="U109">
    <cfRule type="expression" dxfId="2" priority="1">
      <formula>MOD(U109,1)=0</formula>
    </cfRule>
  </conditionalFormatting>
  <pageMargins left="0.25" right="0.25" top="0.25" bottom="0.25" header="0.25" footer="0.2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3444-072F-454A-8ABE-F1712752353C}">
  <dimension ref="A1:AU122"/>
  <sheetViews>
    <sheetView showGridLines="0" zoomScale="70" zoomScaleNormal="70" workbookViewId="0">
      <selection activeCell="G6" sqref="G6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39" width="9.21875" style="23"/>
    <col min="40" max="40" width="11.5546875" style="77" bestFit="1" customWidth="1"/>
    <col min="41" max="16384" width="9.21875" style="23"/>
  </cols>
  <sheetData>
    <row r="1" spans="1:47" x14ac:dyDescent="0.3">
      <c r="H1" s="26" t="s">
        <v>4</v>
      </c>
      <c r="AL1" s="72" t="s">
        <v>14</v>
      </c>
      <c r="AM1" s="67"/>
      <c r="AN1" s="75" t="s">
        <v>15</v>
      </c>
      <c r="AO1" s="67"/>
      <c r="AP1" s="67"/>
      <c r="AQ1" s="67"/>
      <c r="AR1" s="67"/>
      <c r="AS1" s="67"/>
      <c r="AT1" s="67"/>
      <c r="AU1" s="53"/>
    </row>
    <row r="2" spans="1:47" x14ac:dyDescent="0.3">
      <c r="F2" s="73" t="s">
        <v>16</v>
      </c>
      <c r="AL2" s="54" t="s">
        <v>5</v>
      </c>
      <c r="AM2" s="25"/>
      <c r="AN2" s="69"/>
      <c r="AO2" s="25" t="s">
        <v>13</v>
      </c>
      <c r="AP2" s="25"/>
      <c r="AQ2" s="25"/>
      <c r="AR2" s="25"/>
      <c r="AS2" s="25"/>
      <c r="AT2" s="25"/>
      <c r="AU2" s="55"/>
    </row>
    <row r="3" spans="1:47" x14ac:dyDescent="0.3">
      <c r="AL3" s="68">
        <v>17</v>
      </c>
      <c r="AM3" s="25"/>
      <c r="AN3" s="69"/>
      <c r="AP3" s="25"/>
      <c r="AQ3" s="25"/>
      <c r="AR3" s="25"/>
      <c r="AS3" s="25"/>
      <c r="AT3" s="25"/>
      <c r="AU3" s="55"/>
    </row>
    <row r="4" spans="1:47" ht="19.2" thickBot="1" x14ac:dyDescent="0.35">
      <c r="D4" s="74">
        <f>AL3</f>
        <v>17</v>
      </c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  <c r="AL4" s="54" t="s">
        <v>6</v>
      </c>
      <c r="AM4" s="25" t="s">
        <v>7</v>
      </c>
      <c r="AN4" s="69" t="s">
        <v>8</v>
      </c>
      <c r="AO4" s="25" t="s">
        <v>9</v>
      </c>
      <c r="AP4" s="25" t="s">
        <v>12</v>
      </c>
      <c r="AQ4" s="25"/>
      <c r="AR4" s="25"/>
      <c r="AS4" s="25"/>
      <c r="AT4" s="25"/>
      <c r="AU4" s="55"/>
    </row>
    <row r="5" spans="1:47" ht="19.8" thickTop="1" thickBot="1" x14ac:dyDescent="0.35">
      <c r="B5" s="38" t="s">
        <v>10</v>
      </c>
      <c r="C5" s="39">
        <v>0</v>
      </c>
      <c r="D5" s="23">
        <f t="shared" ref="D5:D34" si="0">C5*$D$4</f>
        <v>0</v>
      </c>
      <c r="F5" s="49"/>
      <c r="G5" s="50"/>
      <c r="H5" s="51"/>
      <c r="I5" s="51"/>
      <c r="J5" s="51"/>
      <c r="K5" s="51"/>
      <c r="L5" s="51"/>
      <c r="M5" s="50"/>
      <c r="N5" s="51"/>
      <c r="O5" s="51"/>
      <c r="P5" s="51"/>
      <c r="Q5" s="50"/>
      <c r="R5" s="51"/>
      <c r="S5" s="50"/>
      <c r="T5" s="51"/>
      <c r="U5" s="48"/>
      <c r="V5" s="51"/>
      <c r="W5" s="50"/>
      <c r="X5" s="51"/>
      <c r="Y5" s="50"/>
      <c r="Z5" s="51"/>
      <c r="AA5" s="51"/>
      <c r="AB5" s="51"/>
      <c r="AC5" s="50"/>
      <c r="AD5" s="51"/>
      <c r="AE5" s="51"/>
      <c r="AF5" s="51"/>
      <c r="AG5" s="51"/>
      <c r="AH5" s="51"/>
      <c r="AI5" s="52"/>
      <c r="AL5" s="54">
        <f>D4</f>
        <v>17</v>
      </c>
      <c r="AM5" s="25">
        <f>C5</f>
        <v>0</v>
      </c>
      <c r="AN5" s="69">
        <f t="shared" ref="AN5:AN33" si="1">SUM(F5:AI5)</f>
        <v>0</v>
      </c>
      <c r="AO5" s="66">
        <f>AL3</f>
        <v>17</v>
      </c>
      <c r="AP5" s="25" t="str">
        <f>B5</f>
        <v xml:space="preserve"> </v>
      </c>
      <c r="AQ5" s="25"/>
      <c r="AR5" s="25"/>
      <c r="AS5" s="25"/>
      <c r="AT5" s="25"/>
      <c r="AU5" s="55"/>
    </row>
    <row r="6" spans="1:47" x14ac:dyDescent="0.3">
      <c r="A6" s="23">
        <v>1</v>
      </c>
      <c r="B6" s="40" t="s">
        <v>11</v>
      </c>
      <c r="C6" s="41">
        <v>1</v>
      </c>
      <c r="D6" s="23">
        <f t="shared" si="0"/>
        <v>17</v>
      </c>
      <c r="F6" s="58"/>
      <c r="G6" s="59" t="str">
        <f>IF((MOD(($D6-G$4),30)=0),G$4,"")</f>
        <v/>
      </c>
      <c r="H6" s="60" t="str">
        <f t="shared" ref="H6:AI17" si="2">IF((MOD(($D6-H$4),30)=0),H$4,"")</f>
        <v/>
      </c>
      <c r="I6" s="60" t="str">
        <f t="shared" si="2"/>
        <v/>
      </c>
      <c r="J6" s="60" t="str">
        <f t="shared" si="2"/>
        <v/>
      </c>
      <c r="K6" s="60" t="str">
        <f t="shared" si="2"/>
        <v/>
      </c>
      <c r="L6" s="60" t="str">
        <f t="shared" si="2"/>
        <v/>
      </c>
      <c r="M6" s="59" t="str">
        <f t="shared" si="2"/>
        <v/>
      </c>
      <c r="N6" s="60" t="str">
        <f t="shared" si="2"/>
        <v/>
      </c>
      <c r="O6" s="60" t="str">
        <f t="shared" si="2"/>
        <v/>
      </c>
      <c r="P6" s="60" t="str">
        <f t="shared" si="2"/>
        <v/>
      </c>
      <c r="Q6" s="59" t="str">
        <f t="shared" si="2"/>
        <v/>
      </c>
      <c r="R6" s="60" t="str">
        <f t="shared" si="2"/>
        <v/>
      </c>
      <c r="S6" s="59" t="str">
        <f t="shared" si="2"/>
        <v/>
      </c>
      <c r="T6" s="60" t="str">
        <f t="shared" si="2"/>
        <v/>
      </c>
      <c r="U6" s="60" t="str">
        <f t="shared" si="2"/>
        <v/>
      </c>
      <c r="V6" s="60" t="str">
        <f t="shared" si="2"/>
        <v/>
      </c>
      <c r="W6" s="59">
        <f t="shared" si="2"/>
        <v>17</v>
      </c>
      <c r="X6" s="60" t="str">
        <f t="shared" si="2"/>
        <v/>
      </c>
      <c r="Y6" s="59" t="str">
        <f t="shared" si="2"/>
        <v/>
      </c>
      <c r="Z6" s="60" t="str">
        <f t="shared" si="2"/>
        <v/>
      </c>
      <c r="AA6" s="60" t="str">
        <f t="shared" si="2"/>
        <v/>
      </c>
      <c r="AB6" s="60" t="str">
        <f t="shared" si="2"/>
        <v/>
      </c>
      <c r="AC6" s="59" t="str">
        <f t="shared" si="2"/>
        <v/>
      </c>
      <c r="AD6" s="60" t="str">
        <f t="shared" si="2"/>
        <v/>
      </c>
      <c r="AE6" s="60" t="str">
        <f t="shared" si="2"/>
        <v/>
      </c>
      <c r="AF6" s="60" t="str">
        <f t="shared" si="2"/>
        <v/>
      </c>
      <c r="AG6" s="60" t="str">
        <f t="shared" si="2"/>
        <v/>
      </c>
      <c r="AH6" s="60" t="str">
        <f t="shared" si="2"/>
        <v/>
      </c>
      <c r="AI6" s="61" t="str">
        <f t="shared" si="2"/>
        <v/>
      </c>
      <c r="AL6" s="54">
        <f>AL5</f>
        <v>17</v>
      </c>
      <c r="AM6" s="25">
        <f t="shared" ref="AM6:AM34" si="3">C6</f>
        <v>1</v>
      </c>
      <c r="AN6" s="69">
        <f t="shared" si="1"/>
        <v>17</v>
      </c>
      <c r="AO6" s="25">
        <f>AO5</f>
        <v>17</v>
      </c>
      <c r="AP6" s="25" t="str">
        <f t="shared" ref="AP6:AP34" si="4">B6</f>
        <v>#P</v>
      </c>
      <c r="AQ6" s="25"/>
      <c r="AR6" s="25"/>
      <c r="AS6" s="25"/>
      <c r="AT6" s="25"/>
      <c r="AU6" s="55"/>
    </row>
    <row r="7" spans="1:47" x14ac:dyDescent="0.3">
      <c r="A7" s="23">
        <v>2</v>
      </c>
      <c r="B7" s="71" t="s">
        <v>10</v>
      </c>
      <c r="C7" s="41">
        <v>2</v>
      </c>
      <c r="D7" s="23">
        <f t="shared" si="0"/>
        <v>34</v>
      </c>
      <c r="F7" s="58"/>
      <c r="G7" s="59" t="str">
        <f t="shared" ref="G7:V34" si="5">IF((MOD(($D7-G$4),30)=0),G$4,"")</f>
        <v/>
      </c>
      <c r="H7" s="60" t="str">
        <f t="shared" si="5"/>
        <v/>
      </c>
      <c r="I7" s="60" t="str">
        <f t="shared" si="5"/>
        <v/>
      </c>
      <c r="J7" s="60">
        <f t="shared" si="5"/>
        <v>4</v>
      </c>
      <c r="K7" s="60" t="str">
        <f t="shared" si="5"/>
        <v/>
      </c>
      <c r="L7" s="60" t="str">
        <f t="shared" si="5"/>
        <v/>
      </c>
      <c r="M7" s="59" t="str">
        <f t="shared" si="5"/>
        <v/>
      </c>
      <c r="N7" s="60" t="str">
        <f t="shared" si="5"/>
        <v/>
      </c>
      <c r="O7" s="60" t="str">
        <f t="shared" si="5"/>
        <v/>
      </c>
      <c r="P7" s="60" t="str">
        <f t="shared" si="5"/>
        <v/>
      </c>
      <c r="Q7" s="59" t="str">
        <f t="shared" si="5"/>
        <v/>
      </c>
      <c r="R7" s="60" t="str">
        <f t="shared" si="5"/>
        <v/>
      </c>
      <c r="S7" s="59" t="str">
        <f t="shared" si="5"/>
        <v/>
      </c>
      <c r="T7" s="60" t="str">
        <f t="shared" si="5"/>
        <v/>
      </c>
      <c r="U7" s="60" t="str">
        <f t="shared" si="5"/>
        <v/>
      </c>
      <c r="V7" s="60" t="str">
        <f t="shared" si="5"/>
        <v/>
      </c>
      <c r="W7" s="59" t="str">
        <f t="shared" si="2"/>
        <v/>
      </c>
      <c r="X7" s="60" t="str">
        <f t="shared" si="2"/>
        <v/>
      </c>
      <c r="Y7" s="59" t="str">
        <f t="shared" si="2"/>
        <v/>
      </c>
      <c r="Z7" s="60" t="str">
        <f t="shared" si="2"/>
        <v/>
      </c>
      <c r="AA7" s="60" t="str">
        <f t="shared" si="2"/>
        <v/>
      </c>
      <c r="AB7" s="60" t="str">
        <f t="shared" si="2"/>
        <v/>
      </c>
      <c r="AC7" s="59" t="str">
        <f t="shared" si="2"/>
        <v/>
      </c>
      <c r="AD7" s="60" t="str">
        <f t="shared" si="2"/>
        <v/>
      </c>
      <c r="AE7" s="60" t="str">
        <f t="shared" si="2"/>
        <v/>
      </c>
      <c r="AF7" s="60" t="str">
        <f t="shared" si="2"/>
        <v/>
      </c>
      <c r="AG7" s="60" t="str">
        <f t="shared" si="2"/>
        <v/>
      </c>
      <c r="AH7" s="60" t="str">
        <f t="shared" si="2"/>
        <v/>
      </c>
      <c r="AI7" s="61" t="str">
        <f t="shared" si="2"/>
        <v/>
      </c>
      <c r="AL7" s="54">
        <f t="shared" ref="AL7:AL34" si="6">AL6</f>
        <v>17</v>
      </c>
      <c r="AM7" s="25">
        <f t="shared" si="3"/>
        <v>2</v>
      </c>
      <c r="AN7" s="69">
        <f t="shared" si="1"/>
        <v>4</v>
      </c>
      <c r="AO7" s="25">
        <f t="shared" ref="AO7:AO34" si="7">AO6</f>
        <v>17</v>
      </c>
      <c r="AP7" s="25" t="str">
        <f t="shared" si="4"/>
        <v xml:space="preserve"> </v>
      </c>
      <c r="AQ7" s="25"/>
      <c r="AR7" s="25"/>
      <c r="AS7" s="25"/>
      <c r="AT7" s="25"/>
      <c r="AU7" s="55"/>
    </row>
    <row r="8" spans="1:47" x14ac:dyDescent="0.3">
      <c r="A8" s="23">
        <v>3</v>
      </c>
      <c r="B8" s="78" t="s">
        <v>10</v>
      </c>
      <c r="C8" s="41">
        <v>3</v>
      </c>
      <c r="D8" s="23">
        <f t="shared" si="0"/>
        <v>51</v>
      </c>
      <c r="F8" s="58"/>
      <c r="G8" s="59" t="str">
        <f t="shared" si="5"/>
        <v/>
      </c>
      <c r="H8" s="60" t="str">
        <f t="shared" si="5"/>
        <v/>
      </c>
      <c r="I8" s="60" t="str">
        <f t="shared" si="5"/>
        <v/>
      </c>
      <c r="J8" s="60" t="str">
        <f t="shared" si="5"/>
        <v/>
      </c>
      <c r="K8" s="60" t="str">
        <f t="shared" si="5"/>
        <v/>
      </c>
      <c r="L8" s="60" t="str">
        <f t="shared" si="5"/>
        <v/>
      </c>
      <c r="M8" s="59" t="str">
        <f t="shared" si="5"/>
        <v/>
      </c>
      <c r="N8" s="60" t="str">
        <f t="shared" si="2"/>
        <v/>
      </c>
      <c r="O8" s="60" t="str">
        <f t="shared" si="2"/>
        <v/>
      </c>
      <c r="P8" s="60" t="str">
        <f t="shared" si="2"/>
        <v/>
      </c>
      <c r="Q8" s="59" t="str">
        <f t="shared" si="2"/>
        <v/>
      </c>
      <c r="R8" s="60" t="str">
        <f t="shared" si="2"/>
        <v/>
      </c>
      <c r="S8" s="59" t="str">
        <f t="shared" si="2"/>
        <v/>
      </c>
      <c r="T8" s="60" t="str">
        <f t="shared" si="2"/>
        <v/>
      </c>
      <c r="U8" s="60" t="str">
        <f t="shared" si="2"/>
        <v/>
      </c>
      <c r="V8" s="60" t="str">
        <f t="shared" si="2"/>
        <v/>
      </c>
      <c r="W8" s="59" t="str">
        <f t="shared" si="2"/>
        <v/>
      </c>
      <c r="X8" s="60" t="str">
        <f t="shared" si="2"/>
        <v/>
      </c>
      <c r="Y8" s="59" t="str">
        <f t="shared" si="2"/>
        <v/>
      </c>
      <c r="Z8" s="60" t="str">
        <f t="shared" si="2"/>
        <v/>
      </c>
      <c r="AA8" s="60">
        <f t="shared" si="2"/>
        <v>21</v>
      </c>
      <c r="AB8" s="60" t="str">
        <f t="shared" si="2"/>
        <v/>
      </c>
      <c r="AC8" s="59" t="str">
        <f t="shared" si="2"/>
        <v/>
      </c>
      <c r="AD8" s="60" t="str">
        <f t="shared" si="2"/>
        <v/>
      </c>
      <c r="AE8" s="60" t="str">
        <f t="shared" si="2"/>
        <v/>
      </c>
      <c r="AF8" s="60" t="str">
        <f t="shared" si="2"/>
        <v/>
      </c>
      <c r="AG8" s="60" t="str">
        <f t="shared" si="2"/>
        <v/>
      </c>
      <c r="AH8" s="60" t="str">
        <f t="shared" si="2"/>
        <v/>
      </c>
      <c r="AI8" s="61" t="str">
        <f t="shared" si="2"/>
        <v/>
      </c>
      <c r="AL8" s="54">
        <f t="shared" si="6"/>
        <v>17</v>
      </c>
      <c r="AM8" s="25">
        <f t="shared" si="3"/>
        <v>3</v>
      </c>
      <c r="AN8" s="69">
        <f t="shared" si="1"/>
        <v>21</v>
      </c>
      <c r="AO8" s="25">
        <f t="shared" si="7"/>
        <v>17</v>
      </c>
      <c r="AP8" s="25" t="str">
        <f t="shared" si="4"/>
        <v xml:space="preserve"> </v>
      </c>
      <c r="AQ8" s="25"/>
      <c r="AR8" s="25"/>
      <c r="AS8" s="25"/>
      <c r="AT8" s="25"/>
      <c r="AU8" s="55"/>
    </row>
    <row r="9" spans="1:47" x14ac:dyDescent="0.3">
      <c r="B9" s="40" t="s">
        <v>10</v>
      </c>
      <c r="C9" s="41">
        <v>4</v>
      </c>
      <c r="D9" s="23">
        <f t="shared" si="0"/>
        <v>68</v>
      </c>
      <c r="F9" s="58"/>
      <c r="G9" s="59" t="str">
        <f t="shared" si="5"/>
        <v/>
      </c>
      <c r="H9" s="60" t="str">
        <f t="shared" si="5"/>
        <v/>
      </c>
      <c r="I9" s="60" t="str">
        <f t="shared" si="5"/>
        <v/>
      </c>
      <c r="J9" s="60" t="str">
        <f t="shared" si="5"/>
        <v/>
      </c>
      <c r="K9" s="60" t="str">
        <f t="shared" si="5"/>
        <v/>
      </c>
      <c r="L9" s="60" t="str">
        <f t="shared" si="5"/>
        <v/>
      </c>
      <c r="M9" s="59" t="str">
        <f t="shared" si="5"/>
        <v/>
      </c>
      <c r="N9" s="60">
        <f t="shared" si="2"/>
        <v>8</v>
      </c>
      <c r="O9" s="60" t="str">
        <f t="shared" si="2"/>
        <v/>
      </c>
      <c r="P9" s="60" t="str">
        <f t="shared" si="2"/>
        <v/>
      </c>
      <c r="Q9" s="59" t="str">
        <f t="shared" si="2"/>
        <v/>
      </c>
      <c r="R9" s="60" t="str">
        <f t="shared" si="2"/>
        <v/>
      </c>
      <c r="S9" s="59" t="str">
        <f t="shared" si="2"/>
        <v/>
      </c>
      <c r="T9" s="60" t="str">
        <f t="shared" si="2"/>
        <v/>
      </c>
      <c r="U9" s="60" t="str">
        <f t="shared" si="2"/>
        <v/>
      </c>
      <c r="V9" s="60" t="str">
        <f t="shared" si="2"/>
        <v/>
      </c>
      <c r="W9" s="59" t="str">
        <f t="shared" si="2"/>
        <v/>
      </c>
      <c r="X9" s="60" t="str">
        <f t="shared" si="2"/>
        <v/>
      </c>
      <c r="Y9" s="59" t="str">
        <f t="shared" si="2"/>
        <v/>
      </c>
      <c r="Z9" s="60" t="str">
        <f t="shared" si="2"/>
        <v/>
      </c>
      <c r="AA9" s="60" t="str">
        <f t="shared" si="2"/>
        <v/>
      </c>
      <c r="AB9" s="60" t="str">
        <f t="shared" si="2"/>
        <v/>
      </c>
      <c r="AC9" s="59" t="str">
        <f t="shared" si="2"/>
        <v/>
      </c>
      <c r="AD9" s="60" t="str">
        <f t="shared" si="2"/>
        <v/>
      </c>
      <c r="AE9" s="60" t="str">
        <f t="shared" si="2"/>
        <v/>
      </c>
      <c r="AF9" s="60" t="str">
        <f t="shared" si="2"/>
        <v/>
      </c>
      <c r="AG9" s="60" t="str">
        <f t="shared" si="2"/>
        <v/>
      </c>
      <c r="AH9" s="60" t="str">
        <f t="shared" si="2"/>
        <v/>
      </c>
      <c r="AI9" s="61" t="str">
        <f t="shared" si="2"/>
        <v/>
      </c>
      <c r="AL9" s="54">
        <f t="shared" si="6"/>
        <v>17</v>
      </c>
      <c r="AM9" s="25">
        <f t="shared" si="3"/>
        <v>4</v>
      </c>
      <c r="AN9" s="69">
        <f t="shared" si="1"/>
        <v>8</v>
      </c>
      <c r="AO9" s="25">
        <f t="shared" si="7"/>
        <v>17</v>
      </c>
      <c r="AP9" s="25" t="str">
        <f t="shared" si="4"/>
        <v xml:space="preserve"> </v>
      </c>
      <c r="AQ9" s="25"/>
      <c r="AR9" s="25"/>
      <c r="AS9" s="25"/>
      <c r="AT9" s="25"/>
      <c r="AU9" s="55"/>
    </row>
    <row r="10" spans="1:47" x14ac:dyDescent="0.3">
      <c r="A10" s="23">
        <v>5</v>
      </c>
      <c r="B10" s="71" t="s">
        <v>10</v>
      </c>
      <c r="C10" s="41">
        <v>5</v>
      </c>
      <c r="D10" s="23">
        <f t="shared" si="0"/>
        <v>85</v>
      </c>
      <c r="F10" s="58"/>
      <c r="G10" s="59" t="str">
        <f t="shared" si="5"/>
        <v/>
      </c>
      <c r="H10" s="60" t="str">
        <f t="shared" si="5"/>
        <v/>
      </c>
      <c r="I10" s="60" t="str">
        <f t="shared" si="5"/>
        <v/>
      </c>
      <c r="J10" s="60" t="str">
        <f t="shared" si="5"/>
        <v/>
      </c>
      <c r="K10" s="60" t="str">
        <f t="shared" si="5"/>
        <v/>
      </c>
      <c r="L10" s="60" t="str">
        <f t="shared" si="5"/>
        <v/>
      </c>
      <c r="M10" s="59" t="str">
        <f t="shared" si="5"/>
        <v/>
      </c>
      <c r="N10" s="60" t="str">
        <f t="shared" si="2"/>
        <v/>
      </c>
      <c r="O10" s="60" t="str">
        <f t="shared" si="2"/>
        <v/>
      </c>
      <c r="P10" s="60" t="str">
        <f t="shared" si="2"/>
        <v/>
      </c>
      <c r="Q10" s="59" t="str">
        <f t="shared" si="2"/>
        <v/>
      </c>
      <c r="R10" s="60" t="str">
        <f t="shared" si="2"/>
        <v/>
      </c>
      <c r="S10" s="59" t="str">
        <f t="shared" si="2"/>
        <v/>
      </c>
      <c r="T10" s="60" t="str">
        <f t="shared" si="2"/>
        <v/>
      </c>
      <c r="U10" s="60" t="str">
        <f t="shared" si="2"/>
        <v/>
      </c>
      <c r="V10" s="60" t="str">
        <f t="shared" si="2"/>
        <v/>
      </c>
      <c r="W10" s="59" t="str">
        <f t="shared" si="2"/>
        <v/>
      </c>
      <c r="X10" s="60" t="str">
        <f t="shared" si="2"/>
        <v/>
      </c>
      <c r="Y10" s="59" t="str">
        <f t="shared" si="2"/>
        <v/>
      </c>
      <c r="Z10" s="60" t="str">
        <f t="shared" si="2"/>
        <v/>
      </c>
      <c r="AA10" s="60" t="str">
        <f t="shared" si="2"/>
        <v/>
      </c>
      <c r="AB10" s="60" t="str">
        <f t="shared" si="2"/>
        <v/>
      </c>
      <c r="AC10" s="59" t="str">
        <f t="shared" si="2"/>
        <v/>
      </c>
      <c r="AD10" s="60" t="str">
        <f t="shared" si="2"/>
        <v/>
      </c>
      <c r="AE10" s="60">
        <f t="shared" si="2"/>
        <v>25</v>
      </c>
      <c r="AF10" s="60" t="str">
        <f t="shared" si="2"/>
        <v/>
      </c>
      <c r="AG10" s="60" t="str">
        <f t="shared" si="2"/>
        <v/>
      </c>
      <c r="AH10" s="60" t="str">
        <f t="shared" si="2"/>
        <v/>
      </c>
      <c r="AI10" s="61" t="str">
        <f t="shared" si="2"/>
        <v/>
      </c>
      <c r="AL10" s="54">
        <f t="shared" si="6"/>
        <v>17</v>
      </c>
      <c r="AM10" s="25">
        <f t="shared" si="3"/>
        <v>5</v>
      </c>
      <c r="AN10" s="69">
        <f t="shared" si="1"/>
        <v>25</v>
      </c>
      <c r="AO10" s="25">
        <f t="shared" si="7"/>
        <v>17</v>
      </c>
      <c r="AP10" s="25" t="str">
        <f t="shared" si="4"/>
        <v xml:space="preserve"> </v>
      </c>
      <c r="AQ10" s="25"/>
      <c r="AR10" s="25"/>
      <c r="AS10" s="25"/>
      <c r="AT10" s="25"/>
      <c r="AU10" s="55"/>
    </row>
    <row r="11" spans="1:47" x14ac:dyDescent="0.3">
      <c r="B11" s="40" t="s">
        <v>10</v>
      </c>
      <c r="C11" s="41">
        <v>6</v>
      </c>
      <c r="D11" s="23">
        <f t="shared" si="0"/>
        <v>102</v>
      </c>
      <c r="F11" s="58"/>
      <c r="G11" s="59" t="str">
        <f t="shared" si="5"/>
        <v/>
      </c>
      <c r="H11" s="60" t="str">
        <f t="shared" si="5"/>
        <v/>
      </c>
      <c r="I11" s="60" t="str">
        <f t="shared" si="5"/>
        <v/>
      </c>
      <c r="J11" s="60" t="str">
        <f t="shared" si="5"/>
        <v/>
      </c>
      <c r="K11" s="60" t="str">
        <f t="shared" si="5"/>
        <v/>
      </c>
      <c r="L11" s="60" t="str">
        <f t="shared" si="5"/>
        <v/>
      </c>
      <c r="M11" s="59" t="str">
        <f t="shared" si="5"/>
        <v/>
      </c>
      <c r="N11" s="60" t="str">
        <f t="shared" si="2"/>
        <v/>
      </c>
      <c r="O11" s="60" t="str">
        <f t="shared" si="2"/>
        <v/>
      </c>
      <c r="P11" s="60" t="str">
        <f t="shared" si="2"/>
        <v/>
      </c>
      <c r="Q11" s="59" t="str">
        <f t="shared" si="2"/>
        <v/>
      </c>
      <c r="R11" s="60">
        <f t="shared" si="2"/>
        <v>12</v>
      </c>
      <c r="S11" s="59" t="str">
        <f t="shared" si="2"/>
        <v/>
      </c>
      <c r="T11" s="60" t="str">
        <f t="shared" si="2"/>
        <v/>
      </c>
      <c r="U11" s="60" t="str">
        <f t="shared" si="2"/>
        <v/>
      </c>
      <c r="V11" s="60" t="str">
        <f t="shared" si="2"/>
        <v/>
      </c>
      <c r="W11" s="59" t="str">
        <f t="shared" si="2"/>
        <v/>
      </c>
      <c r="X11" s="60" t="str">
        <f t="shared" si="2"/>
        <v/>
      </c>
      <c r="Y11" s="59" t="str">
        <f t="shared" si="2"/>
        <v/>
      </c>
      <c r="Z11" s="60" t="str">
        <f t="shared" si="2"/>
        <v/>
      </c>
      <c r="AA11" s="60" t="str">
        <f t="shared" si="2"/>
        <v/>
      </c>
      <c r="AB11" s="60" t="str">
        <f t="shared" si="2"/>
        <v/>
      </c>
      <c r="AC11" s="59" t="str">
        <f t="shared" si="2"/>
        <v/>
      </c>
      <c r="AD11" s="60" t="str">
        <f t="shared" si="2"/>
        <v/>
      </c>
      <c r="AE11" s="60" t="str">
        <f t="shared" si="2"/>
        <v/>
      </c>
      <c r="AF11" s="60" t="str">
        <f t="shared" si="2"/>
        <v/>
      </c>
      <c r="AG11" s="60" t="str">
        <f t="shared" si="2"/>
        <v/>
      </c>
      <c r="AH11" s="60" t="str">
        <f t="shared" si="2"/>
        <v/>
      </c>
      <c r="AI11" s="61" t="str">
        <f t="shared" si="2"/>
        <v/>
      </c>
      <c r="AL11" s="54">
        <f t="shared" si="6"/>
        <v>17</v>
      </c>
      <c r="AM11" s="25">
        <f t="shared" si="3"/>
        <v>6</v>
      </c>
      <c r="AN11" s="69">
        <f t="shared" si="1"/>
        <v>12</v>
      </c>
      <c r="AO11" s="25">
        <f t="shared" si="7"/>
        <v>17</v>
      </c>
      <c r="AP11" s="25" t="str">
        <f t="shared" si="4"/>
        <v xml:space="preserve"> </v>
      </c>
      <c r="AQ11" s="25"/>
      <c r="AR11" s="25"/>
      <c r="AS11" s="25"/>
      <c r="AT11" s="25"/>
      <c r="AU11" s="55"/>
    </row>
    <row r="12" spans="1:47" x14ac:dyDescent="0.3">
      <c r="A12" s="23">
        <v>7</v>
      </c>
      <c r="B12" s="40" t="s">
        <v>11</v>
      </c>
      <c r="C12" s="41">
        <v>7</v>
      </c>
      <c r="D12" s="23">
        <f t="shared" si="0"/>
        <v>119</v>
      </c>
      <c r="F12" s="58"/>
      <c r="G12" s="59" t="str">
        <f t="shared" si="5"/>
        <v/>
      </c>
      <c r="H12" s="60" t="str">
        <f t="shared" si="5"/>
        <v/>
      </c>
      <c r="I12" s="60" t="str">
        <f t="shared" si="5"/>
        <v/>
      </c>
      <c r="J12" s="60" t="str">
        <f t="shared" si="5"/>
        <v/>
      </c>
      <c r="K12" s="60" t="str">
        <f t="shared" si="5"/>
        <v/>
      </c>
      <c r="L12" s="60" t="str">
        <f t="shared" si="5"/>
        <v/>
      </c>
      <c r="M12" s="59" t="str">
        <f t="shared" si="5"/>
        <v/>
      </c>
      <c r="N12" s="60" t="str">
        <f t="shared" si="2"/>
        <v/>
      </c>
      <c r="O12" s="60" t="str">
        <f t="shared" si="2"/>
        <v/>
      </c>
      <c r="P12" s="60" t="str">
        <f t="shared" si="2"/>
        <v/>
      </c>
      <c r="Q12" s="59" t="str">
        <f t="shared" si="2"/>
        <v/>
      </c>
      <c r="R12" s="60" t="str">
        <f t="shared" si="2"/>
        <v/>
      </c>
      <c r="S12" s="59" t="str">
        <f t="shared" si="2"/>
        <v/>
      </c>
      <c r="T12" s="60" t="str">
        <f t="shared" si="2"/>
        <v/>
      </c>
      <c r="U12" s="60" t="str">
        <f t="shared" si="2"/>
        <v/>
      </c>
      <c r="V12" s="60" t="str">
        <f t="shared" si="2"/>
        <v/>
      </c>
      <c r="W12" s="59" t="str">
        <f t="shared" si="2"/>
        <v/>
      </c>
      <c r="X12" s="60" t="str">
        <f t="shared" si="2"/>
        <v/>
      </c>
      <c r="Y12" s="59" t="str">
        <f t="shared" si="2"/>
        <v/>
      </c>
      <c r="Z12" s="60" t="str">
        <f t="shared" si="2"/>
        <v/>
      </c>
      <c r="AA12" s="60" t="str">
        <f t="shared" si="2"/>
        <v/>
      </c>
      <c r="AB12" s="60" t="str">
        <f t="shared" si="2"/>
        <v/>
      </c>
      <c r="AC12" s="59" t="str">
        <f t="shared" si="2"/>
        <v/>
      </c>
      <c r="AD12" s="60" t="str">
        <f t="shared" si="2"/>
        <v/>
      </c>
      <c r="AE12" s="60" t="str">
        <f t="shared" si="2"/>
        <v/>
      </c>
      <c r="AF12" s="60" t="str">
        <f t="shared" si="2"/>
        <v/>
      </c>
      <c r="AG12" s="60" t="str">
        <f t="shared" si="2"/>
        <v/>
      </c>
      <c r="AH12" s="60" t="str">
        <f t="shared" si="2"/>
        <v/>
      </c>
      <c r="AI12" s="61">
        <f t="shared" si="2"/>
        <v>29</v>
      </c>
      <c r="AL12" s="54">
        <f t="shared" si="6"/>
        <v>17</v>
      </c>
      <c r="AM12" s="25">
        <f t="shared" si="3"/>
        <v>7</v>
      </c>
      <c r="AN12" s="69">
        <f t="shared" si="1"/>
        <v>29</v>
      </c>
      <c r="AO12" s="25">
        <f t="shared" si="7"/>
        <v>17</v>
      </c>
      <c r="AP12" s="25" t="str">
        <f t="shared" si="4"/>
        <v>#P</v>
      </c>
      <c r="AQ12" s="25"/>
      <c r="AR12" s="25"/>
      <c r="AS12" s="25"/>
      <c r="AT12" s="25"/>
      <c r="AU12" s="55"/>
    </row>
    <row r="13" spans="1:47" x14ac:dyDescent="0.3">
      <c r="B13" s="40" t="s">
        <v>10</v>
      </c>
      <c r="C13" s="41">
        <v>8</v>
      </c>
      <c r="D13" s="23">
        <f t="shared" si="0"/>
        <v>136</v>
      </c>
      <c r="F13" s="58"/>
      <c r="G13" s="59" t="str">
        <f t="shared" si="5"/>
        <v/>
      </c>
      <c r="H13" s="60" t="str">
        <f t="shared" si="5"/>
        <v/>
      </c>
      <c r="I13" s="60" t="str">
        <f t="shared" si="5"/>
        <v/>
      </c>
      <c r="J13" s="60" t="str">
        <f t="shared" si="5"/>
        <v/>
      </c>
      <c r="K13" s="60" t="str">
        <f t="shared" si="5"/>
        <v/>
      </c>
      <c r="L13" s="60" t="str">
        <f t="shared" si="5"/>
        <v/>
      </c>
      <c r="M13" s="59" t="str">
        <f t="shared" si="5"/>
        <v/>
      </c>
      <c r="N13" s="60" t="str">
        <f t="shared" si="2"/>
        <v/>
      </c>
      <c r="O13" s="60" t="str">
        <f t="shared" si="2"/>
        <v/>
      </c>
      <c r="P13" s="60" t="str">
        <f t="shared" si="2"/>
        <v/>
      </c>
      <c r="Q13" s="59" t="str">
        <f t="shared" si="2"/>
        <v/>
      </c>
      <c r="R13" s="60" t="str">
        <f t="shared" si="2"/>
        <v/>
      </c>
      <c r="S13" s="59" t="str">
        <f t="shared" si="2"/>
        <v/>
      </c>
      <c r="T13" s="60" t="str">
        <f t="shared" si="2"/>
        <v/>
      </c>
      <c r="U13" s="60" t="str">
        <f t="shared" si="2"/>
        <v/>
      </c>
      <c r="V13" s="60">
        <f t="shared" si="2"/>
        <v>16</v>
      </c>
      <c r="W13" s="59" t="str">
        <f t="shared" si="2"/>
        <v/>
      </c>
      <c r="X13" s="60" t="str">
        <f t="shared" si="2"/>
        <v/>
      </c>
      <c r="Y13" s="59" t="str">
        <f t="shared" si="2"/>
        <v/>
      </c>
      <c r="Z13" s="60" t="str">
        <f t="shared" si="2"/>
        <v/>
      </c>
      <c r="AA13" s="60" t="str">
        <f t="shared" si="2"/>
        <v/>
      </c>
      <c r="AB13" s="60" t="str">
        <f t="shared" si="2"/>
        <v/>
      </c>
      <c r="AC13" s="59" t="str">
        <f t="shared" si="2"/>
        <v/>
      </c>
      <c r="AD13" s="60" t="str">
        <f t="shared" si="2"/>
        <v/>
      </c>
      <c r="AE13" s="60" t="str">
        <f t="shared" si="2"/>
        <v/>
      </c>
      <c r="AF13" s="60" t="str">
        <f t="shared" si="2"/>
        <v/>
      </c>
      <c r="AG13" s="60" t="str">
        <f t="shared" si="2"/>
        <v/>
      </c>
      <c r="AH13" s="60" t="str">
        <f t="shared" si="2"/>
        <v/>
      </c>
      <c r="AI13" s="61" t="str">
        <f t="shared" si="2"/>
        <v/>
      </c>
      <c r="AL13" s="54">
        <f t="shared" si="6"/>
        <v>17</v>
      </c>
      <c r="AM13" s="25">
        <f t="shared" si="3"/>
        <v>8</v>
      </c>
      <c r="AN13" s="69">
        <f t="shared" si="1"/>
        <v>16</v>
      </c>
      <c r="AO13" s="25">
        <f t="shared" si="7"/>
        <v>17</v>
      </c>
      <c r="AP13" s="25" t="str">
        <f t="shared" si="4"/>
        <v xml:space="preserve"> </v>
      </c>
      <c r="AQ13" s="25"/>
      <c r="AR13" s="25"/>
      <c r="AS13" s="25"/>
      <c r="AT13" s="25"/>
      <c r="AU13" s="55"/>
    </row>
    <row r="14" spans="1:47" x14ac:dyDescent="0.3">
      <c r="B14" s="40" t="s">
        <v>10</v>
      </c>
      <c r="C14" s="41">
        <v>9</v>
      </c>
      <c r="D14" s="23">
        <f t="shared" si="0"/>
        <v>153</v>
      </c>
      <c r="F14" s="58"/>
      <c r="G14" s="59" t="str">
        <f t="shared" si="5"/>
        <v/>
      </c>
      <c r="H14" s="60" t="str">
        <f t="shared" si="5"/>
        <v/>
      </c>
      <c r="I14" s="60">
        <f t="shared" si="5"/>
        <v>3</v>
      </c>
      <c r="J14" s="60" t="str">
        <f t="shared" si="5"/>
        <v/>
      </c>
      <c r="K14" s="60" t="str">
        <f t="shared" si="5"/>
        <v/>
      </c>
      <c r="L14" s="60" t="str">
        <f t="shared" si="5"/>
        <v/>
      </c>
      <c r="M14" s="59" t="str">
        <f t="shared" si="5"/>
        <v/>
      </c>
      <c r="N14" s="60" t="str">
        <f t="shared" si="2"/>
        <v/>
      </c>
      <c r="O14" s="60" t="str">
        <f t="shared" si="2"/>
        <v/>
      </c>
      <c r="P14" s="60" t="str">
        <f t="shared" si="2"/>
        <v/>
      </c>
      <c r="Q14" s="59" t="str">
        <f t="shared" si="2"/>
        <v/>
      </c>
      <c r="R14" s="60" t="str">
        <f t="shared" si="2"/>
        <v/>
      </c>
      <c r="S14" s="59" t="str">
        <f t="shared" si="2"/>
        <v/>
      </c>
      <c r="T14" s="60" t="str">
        <f t="shared" si="2"/>
        <v/>
      </c>
      <c r="U14" s="60" t="str">
        <f t="shared" si="2"/>
        <v/>
      </c>
      <c r="V14" s="60" t="str">
        <f t="shared" si="2"/>
        <v/>
      </c>
      <c r="W14" s="59" t="str">
        <f t="shared" si="2"/>
        <v/>
      </c>
      <c r="X14" s="60" t="str">
        <f t="shared" si="2"/>
        <v/>
      </c>
      <c r="Y14" s="59" t="str">
        <f t="shared" si="2"/>
        <v/>
      </c>
      <c r="Z14" s="60" t="str">
        <f t="shared" si="2"/>
        <v/>
      </c>
      <c r="AA14" s="60" t="str">
        <f t="shared" si="2"/>
        <v/>
      </c>
      <c r="AB14" s="60" t="str">
        <f t="shared" si="2"/>
        <v/>
      </c>
      <c r="AC14" s="59" t="str">
        <f t="shared" si="2"/>
        <v/>
      </c>
      <c r="AD14" s="60" t="str">
        <f t="shared" si="2"/>
        <v/>
      </c>
      <c r="AE14" s="60" t="str">
        <f t="shared" si="2"/>
        <v/>
      </c>
      <c r="AF14" s="60" t="str">
        <f t="shared" si="2"/>
        <v/>
      </c>
      <c r="AG14" s="60" t="str">
        <f t="shared" si="2"/>
        <v/>
      </c>
      <c r="AH14" s="60" t="str">
        <f t="shared" si="2"/>
        <v/>
      </c>
      <c r="AI14" s="61" t="str">
        <f t="shared" si="2"/>
        <v/>
      </c>
      <c r="AL14" s="54">
        <f t="shared" si="6"/>
        <v>17</v>
      </c>
      <c r="AM14" s="25">
        <f t="shared" si="3"/>
        <v>9</v>
      </c>
      <c r="AN14" s="69">
        <f t="shared" si="1"/>
        <v>3</v>
      </c>
      <c r="AO14" s="25">
        <f t="shared" si="7"/>
        <v>17</v>
      </c>
      <c r="AP14" s="25" t="str">
        <f t="shared" si="4"/>
        <v xml:space="preserve"> </v>
      </c>
      <c r="AQ14" s="25"/>
      <c r="AR14" s="25"/>
      <c r="AS14" s="25"/>
      <c r="AT14" s="25"/>
      <c r="AU14" s="55"/>
    </row>
    <row r="15" spans="1:47" x14ac:dyDescent="0.3">
      <c r="B15" s="40" t="s">
        <v>10</v>
      </c>
      <c r="C15" s="41">
        <v>10</v>
      </c>
      <c r="D15" s="23">
        <f t="shared" si="0"/>
        <v>170</v>
      </c>
      <c r="F15" s="58"/>
      <c r="G15" s="59" t="str">
        <f t="shared" si="5"/>
        <v/>
      </c>
      <c r="H15" s="60" t="str">
        <f t="shared" si="5"/>
        <v/>
      </c>
      <c r="I15" s="60" t="str">
        <f t="shared" si="5"/>
        <v/>
      </c>
      <c r="J15" s="60" t="str">
        <f t="shared" si="5"/>
        <v/>
      </c>
      <c r="K15" s="60" t="str">
        <f t="shared" si="5"/>
        <v/>
      </c>
      <c r="L15" s="60" t="str">
        <f t="shared" si="5"/>
        <v/>
      </c>
      <c r="M15" s="59" t="str">
        <f t="shared" si="5"/>
        <v/>
      </c>
      <c r="N15" s="60" t="str">
        <f t="shared" si="2"/>
        <v/>
      </c>
      <c r="O15" s="60" t="str">
        <f t="shared" si="2"/>
        <v/>
      </c>
      <c r="P15" s="60" t="str">
        <f t="shared" si="2"/>
        <v/>
      </c>
      <c r="Q15" s="59" t="str">
        <f t="shared" si="2"/>
        <v/>
      </c>
      <c r="R15" s="60" t="str">
        <f t="shared" si="2"/>
        <v/>
      </c>
      <c r="S15" s="59" t="str">
        <f t="shared" si="2"/>
        <v/>
      </c>
      <c r="T15" s="60" t="str">
        <f t="shared" si="2"/>
        <v/>
      </c>
      <c r="U15" s="60" t="str">
        <f t="shared" si="2"/>
        <v/>
      </c>
      <c r="V15" s="60" t="str">
        <f t="shared" si="2"/>
        <v/>
      </c>
      <c r="W15" s="59" t="str">
        <f t="shared" si="2"/>
        <v/>
      </c>
      <c r="X15" s="60" t="str">
        <f t="shared" si="2"/>
        <v/>
      </c>
      <c r="Y15" s="59" t="str">
        <f t="shared" si="2"/>
        <v/>
      </c>
      <c r="Z15" s="60">
        <f t="shared" si="2"/>
        <v>20</v>
      </c>
      <c r="AA15" s="60" t="str">
        <f t="shared" si="2"/>
        <v/>
      </c>
      <c r="AB15" s="60" t="str">
        <f t="shared" si="2"/>
        <v/>
      </c>
      <c r="AC15" s="59" t="str">
        <f t="shared" si="2"/>
        <v/>
      </c>
      <c r="AD15" s="60" t="str">
        <f t="shared" si="2"/>
        <v/>
      </c>
      <c r="AE15" s="60" t="str">
        <f t="shared" si="2"/>
        <v/>
      </c>
      <c r="AF15" s="60" t="str">
        <f t="shared" si="2"/>
        <v/>
      </c>
      <c r="AG15" s="60" t="str">
        <f t="shared" si="2"/>
        <v/>
      </c>
      <c r="AH15" s="60" t="str">
        <f t="shared" si="2"/>
        <v/>
      </c>
      <c r="AI15" s="61" t="str">
        <f t="shared" si="2"/>
        <v/>
      </c>
      <c r="AL15" s="54">
        <f t="shared" si="6"/>
        <v>17</v>
      </c>
      <c r="AM15" s="25">
        <f t="shared" si="3"/>
        <v>10</v>
      </c>
      <c r="AN15" s="69">
        <f t="shared" si="1"/>
        <v>20</v>
      </c>
      <c r="AO15" s="25">
        <f t="shared" si="7"/>
        <v>17</v>
      </c>
      <c r="AP15" s="25" t="str">
        <f t="shared" si="4"/>
        <v xml:space="preserve"> </v>
      </c>
      <c r="AQ15" s="25"/>
      <c r="AR15" s="25"/>
      <c r="AS15" s="25"/>
      <c r="AT15" s="25"/>
      <c r="AU15" s="55"/>
    </row>
    <row r="16" spans="1:47" x14ac:dyDescent="0.3">
      <c r="A16" s="23">
        <v>11</v>
      </c>
      <c r="B16" s="40" t="s">
        <v>11</v>
      </c>
      <c r="C16" s="41">
        <v>11</v>
      </c>
      <c r="D16" s="23">
        <f t="shared" si="0"/>
        <v>187</v>
      </c>
      <c r="F16" s="58"/>
      <c r="G16" s="59" t="str">
        <f t="shared" si="5"/>
        <v/>
      </c>
      <c r="H16" s="60" t="str">
        <f t="shared" si="5"/>
        <v/>
      </c>
      <c r="I16" s="60" t="str">
        <f t="shared" si="5"/>
        <v/>
      </c>
      <c r="J16" s="60" t="str">
        <f t="shared" si="5"/>
        <v/>
      </c>
      <c r="K16" s="60" t="str">
        <f t="shared" si="5"/>
        <v/>
      </c>
      <c r="L16" s="60" t="str">
        <f t="shared" si="5"/>
        <v/>
      </c>
      <c r="M16" s="59">
        <f t="shared" si="5"/>
        <v>7</v>
      </c>
      <c r="N16" s="60" t="str">
        <f t="shared" si="2"/>
        <v/>
      </c>
      <c r="O16" s="60" t="str">
        <f t="shared" si="2"/>
        <v/>
      </c>
      <c r="P16" s="60" t="str">
        <f t="shared" si="2"/>
        <v/>
      </c>
      <c r="Q16" s="59" t="str">
        <f t="shared" si="2"/>
        <v/>
      </c>
      <c r="R16" s="60" t="str">
        <f t="shared" si="2"/>
        <v/>
      </c>
      <c r="S16" s="59" t="str">
        <f t="shared" si="2"/>
        <v/>
      </c>
      <c r="T16" s="60" t="str">
        <f t="shared" si="2"/>
        <v/>
      </c>
      <c r="U16" s="60" t="str">
        <f t="shared" si="2"/>
        <v/>
      </c>
      <c r="V16" s="60" t="str">
        <f t="shared" si="2"/>
        <v/>
      </c>
      <c r="W16" s="59" t="str">
        <f t="shared" si="2"/>
        <v/>
      </c>
      <c r="X16" s="60" t="str">
        <f t="shared" si="2"/>
        <v/>
      </c>
      <c r="Y16" s="59" t="str">
        <f t="shared" si="2"/>
        <v/>
      </c>
      <c r="Z16" s="60" t="str">
        <f t="shared" si="2"/>
        <v/>
      </c>
      <c r="AA16" s="60" t="str">
        <f t="shared" si="2"/>
        <v/>
      </c>
      <c r="AB16" s="60" t="str">
        <f t="shared" si="2"/>
        <v/>
      </c>
      <c r="AC16" s="59" t="str">
        <f t="shared" si="2"/>
        <v/>
      </c>
      <c r="AD16" s="60" t="str">
        <f t="shared" si="2"/>
        <v/>
      </c>
      <c r="AE16" s="60" t="str">
        <f t="shared" si="2"/>
        <v/>
      </c>
      <c r="AF16" s="60" t="str">
        <f t="shared" si="2"/>
        <v/>
      </c>
      <c r="AG16" s="60" t="str">
        <f t="shared" si="2"/>
        <v/>
      </c>
      <c r="AH16" s="60" t="str">
        <f t="shared" si="2"/>
        <v/>
      </c>
      <c r="AI16" s="61" t="str">
        <f t="shared" si="2"/>
        <v/>
      </c>
      <c r="AL16" s="54">
        <f t="shared" si="6"/>
        <v>17</v>
      </c>
      <c r="AM16" s="25">
        <f t="shared" si="3"/>
        <v>11</v>
      </c>
      <c r="AN16" s="69">
        <f t="shared" si="1"/>
        <v>7</v>
      </c>
      <c r="AO16" s="25">
        <f t="shared" si="7"/>
        <v>17</v>
      </c>
      <c r="AP16" s="25" t="str">
        <f t="shared" si="4"/>
        <v>#P</v>
      </c>
      <c r="AQ16" s="25"/>
      <c r="AR16" s="25"/>
      <c r="AS16" s="25"/>
      <c r="AT16" s="25"/>
      <c r="AU16" s="55"/>
    </row>
    <row r="17" spans="1:47" x14ac:dyDescent="0.3">
      <c r="B17" s="40" t="s">
        <v>10</v>
      </c>
      <c r="C17" s="41">
        <v>12</v>
      </c>
      <c r="D17" s="23">
        <f t="shared" si="0"/>
        <v>204</v>
      </c>
      <c r="F17" s="58"/>
      <c r="G17" s="59" t="str">
        <f t="shared" si="5"/>
        <v/>
      </c>
      <c r="H17" s="60" t="str">
        <f t="shared" si="5"/>
        <v/>
      </c>
      <c r="I17" s="60" t="str">
        <f t="shared" si="5"/>
        <v/>
      </c>
      <c r="J17" s="60" t="str">
        <f t="shared" si="5"/>
        <v/>
      </c>
      <c r="K17" s="60" t="str">
        <f t="shared" si="5"/>
        <v/>
      </c>
      <c r="L17" s="60" t="str">
        <f t="shared" si="5"/>
        <v/>
      </c>
      <c r="M17" s="59" t="str">
        <f t="shared" si="5"/>
        <v/>
      </c>
      <c r="N17" s="60" t="str">
        <f t="shared" si="2"/>
        <v/>
      </c>
      <c r="O17" s="60" t="str">
        <f t="shared" si="2"/>
        <v/>
      </c>
      <c r="P17" s="60" t="str">
        <f t="shared" si="2"/>
        <v/>
      </c>
      <c r="Q17" s="59" t="str">
        <f t="shared" si="2"/>
        <v/>
      </c>
      <c r="R17" s="60" t="str">
        <f t="shared" si="2"/>
        <v/>
      </c>
      <c r="S17" s="59" t="str">
        <f t="shared" si="2"/>
        <v/>
      </c>
      <c r="T17" s="60" t="str">
        <f t="shared" si="2"/>
        <v/>
      </c>
      <c r="U17" s="60" t="str">
        <f t="shared" si="2"/>
        <v/>
      </c>
      <c r="V17" s="60" t="str">
        <f t="shared" si="2"/>
        <v/>
      </c>
      <c r="W17" s="59" t="str">
        <f t="shared" si="2"/>
        <v/>
      </c>
      <c r="X17" s="60" t="str">
        <f t="shared" si="2"/>
        <v/>
      </c>
      <c r="Y17" s="59" t="str">
        <f t="shared" si="2"/>
        <v/>
      </c>
      <c r="Z17" s="60" t="str">
        <f t="shared" si="2"/>
        <v/>
      </c>
      <c r="AA17" s="60" t="str">
        <f t="shared" si="2"/>
        <v/>
      </c>
      <c r="AB17" s="60" t="str">
        <f t="shared" si="2"/>
        <v/>
      </c>
      <c r="AC17" s="59" t="str">
        <f t="shared" si="2"/>
        <v/>
      </c>
      <c r="AD17" s="60">
        <f t="shared" ref="N17:AI29" si="8">IF((MOD(($D17-AD$4),30)=0),AD$4,"")</f>
        <v>24</v>
      </c>
      <c r="AE17" s="60" t="str">
        <f t="shared" si="8"/>
        <v/>
      </c>
      <c r="AF17" s="60" t="str">
        <f t="shared" si="8"/>
        <v/>
      </c>
      <c r="AG17" s="60" t="str">
        <f t="shared" si="8"/>
        <v/>
      </c>
      <c r="AH17" s="60" t="str">
        <f t="shared" si="8"/>
        <v/>
      </c>
      <c r="AI17" s="61" t="str">
        <f t="shared" si="8"/>
        <v/>
      </c>
      <c r="AL17" s="54">
        <f t="shared" si="6"/>
        <v>17</v>
      </c>
      <c r="AM17" s="25">
        <f t="shared" si="3"/>
        <v>12</v>
      </c>
      <c r="AN17" s="69">
        <f t="shared" si="1"/>
        <v>24</v>
      </c>
      <c r="AO17" s="25">
        <f t="shared" si="7"/>
        <v>17</v>
      </c>
      <c r="AP17" s="25" t="str">
        <f t="shared" si="4"/>
        <v xml:space="preserve"> </v>
      </c>
      <c r="AQ17" s="25"/>
      <c r="AR17" s="25"/>
      <c r="AS17" s="25"/>
      <c r="AT17" s="25"/>
      <c r="AU17" s="55"/>
    </row>
    <row r="18" spans="1:47" x14ac:dyDescent="0.3">
      <c r="A18" s="23">
        <v>13</v>
      </c>
      <c r="B18" s="40" t="s">
        <v>11</v>
      </c>
      <c r="C18" s="41">
        <v>13</v>
      </c>
      <c r="D18" s="23">
        <f t="shared" si="0"/>
        <v>221</v>
      </c>
      <c r="F18" s="58"/>
      <c r="G18" s="59" t="str">
        <f t="shared" si="5"/>
        <v/>
      </c>
      <c r="H18" s="60" t="str">
        <f t="shared" si="5"/>
        <v/>
      </c>
      <c r="I18" s="60" t="str">
        <f t="shared" si="5"/>
        <v/>
      </c>
      <c r="J18" s="60" t="str">
        <f t="shared" si="5"/>
        <v/>
      </c>
      <c r="K18" s="60" t="str">
        <f t="shared" si="5"/>
        <v/>
      </c>
      <c r="L18" s="60" t="str">
        <f t="shared" si="5"/>
        <v/>
      </c>
      <c r="M18" s="59" t="str">
        <f t="shared" si="5"/>
        <v/>
      </c>
      <c r="N18" s="60" t="str">
        <f t="shared" si="8"/>
        <v/>
      </c>
      <c r="O18" s="60" t="str">
        <f t="shared" si="8"/>
        <v/>
      </c>
      <c r="P18" s="60" t="str">
        <f t="shared" si="8"/>
        <v/>
      </c>
      <c r="Q18" s="59">
        <f t="shared" si="8"/>
        <v>11</v>
      </c>
      <c r="R18" s="60" t="str">
        <f t="shared" si="8"/>
        <v/>
      </c>
      <c r="S18" s="59" t="str">
        <f t="shared" si="8"/>
        <v/>
      </c>
      <c r="T18" s="60" t="str">
        <f t="shared" si="8"/>
        <v/>
      </c>
      <c r="U18" s="60" t="str">
        <f t="shared" si="8"/>
        <v/>
      </c>
      <c r="V18" s="60" t="str">
        <f t="shared" si="8"/>
        <v/>
      </c>
      <c r="W18" s="59" t="str">
        <f t="shared" si="8"/>
        <v/>
      </c>
      <c r="X18" s="60" t="str">
        <f t="shared" si="8"/>
        <v/>
      </c>
      <c r="Y18" s="59" t="str">
        <f t="shared" si="8"/>
        <v/>
      </c>
      <c r="Z18" s="60" t="str">
        <f t="shared" si="8"/>
        <v/>
      </c>
      <c r="AA18" s="60" t="str">
        <f t="shared" si="8"/>
        <v/>
      </c>
      <c r="AB18" s="60" t="str">
        <f t="shared" si="8"/>
        <v/>
      </c>
      <c r="AC18" s="59" t="str">
        <f t="shared" si="8"/>
        <v/>
      </c>
      <c r="AD18" s="60" t="str">
        <f t="shared" si="8"/>
        <v/>
      </c>
      <c r="AE18" s="60" t="str">
        <f t="shared" si="8"/>
        <v/>
      </c>
      <c r="AF18" s="60" t="str">
        <f t="shared" si="8"/>
        <v/>
      </c>
      <c r="AG18" s="60" t="str">
        <f t="shared" si="8"/>
        <v/>
      </c>
      <c r="AH18" s="60" t="str">
        <f t="shared" si="8"/>
        <v/>
      </c>
      <c r="AI18" s="61" t="str">
        <f t="shared" si="8"/>
        <v/>
      </c>
      <c r="AL18" s="54">
        <f t="shared" si="6"/>
        <v>17</v>
      </c>
      <c r="AM18" s="25">
        <f t="shared" si="3"/>
        <v>13</v>
      </c>
      <c r="AN18" s="69">
        <f t="shared" si="1"/>
        <v>11</v>
      </c>
      <c r="AO18" s="25">
        <f t="shared" si="7"/>
        <v>17</v>
      </c>
      <c r="AP18" s="25" t="str">
        <f t="shared" si="4"/>
        <v>#P</v>
      </c>
      <c r="AQ18" s="25"/>
      <c r="AR18" s="25"/>
      <c r="AS18" s="25"/>
      <c r="AT18" s="25"/>
      <c r="AU18" s="55"/>
    </row>
    <row r="19" spans="1:47" x14ac:dyDescent="0.3">
      <c r="B19" s="40" t="s">
        <v>10</v>
      </c>
      <c r="C19" s="41">
        <v>14</v>
      </c>
      <c r="D19" s="23">
        <f t="shared" si="0"/>
        <v>238</v>
      </c>
      <c r="F19" s="58"/>
      <c r="G19" s="59" t="str">
        <f t="shared" si="5"/>
        <v/>
      </c>
      <c r="H19" s="60" t="str">
        <f t="shared" si="5"/>
        <v/>
      </c>
      <c r="I19" s="60" t="str">
        <f t="shared" si="5"/>
        <v/>
      </c>
      <c r="J19" s="60" t="str">
        <f t="shared" si="5"/>
        <v/>
      </c>
      <c r="K19" s="60" t="str">
        <f t="shared" si="5"/>
        <v/>
      </c>
      <c r="L19" s="60" t="str">
        <f t="shared" si="5"/>
        <v/>
      </c>
      <c r="M19" s="59" t="str">
        <f t="shared" si="5"/>
        <v/>
      </c>
      <c r="N19" s="60" t="str">
        <f t="shared" si="8"/>
        <v/>
      </c>
      <c r="O19" s="60" t="str">
        <f t="shared" si="8"/>
        <v/>
      </c>
      <c r="P19" s="60" t="str">
        <f t="shared" si="8"/>
        <v/>
      </c>
      <c r="Q19" s="59" t="str">
        <f t="shared" si="8"/>
        <v/>
      </c>
      <c r="R19" s="60" t="str">
        <f t="shared" si="8"/>
        <v/>
      </c>
      <c r="S19" s="59" t="str">
        <f t="shared" si="8"/>
        <v/>
      </c>
      <c r="T19" s="60" t="str">
        <f t="shared" si="8"/>
        <v/>
      </c>
      <c r="U19" s="60" t="str">
        <f t="shared" si="8"/>
        <v/>
      </c>
      <c r="V19" s="60" t="str">
        <f t="shared" si="8"/>
        <v/>
      </c>
      <c r="W19" s="59" t="str">
        <f t="shared" si="8"/>
        <v/>
      </c>
      <c r="X19" s="60" t="str">
        <f t="shared" si="8"/>
        <v/>
      </c>
      <c r="Y19" s="59" t="str">
        <f t="shared" si="8"/>
        <v/>
      </c>
      <c r="Z19" s="60" t="str">
        <f t="shared" si="8"/>
        <v/>
      </c>
      <c r="AA19" s="60" t="str">
        <f t="shared" si="8"/>
        <v/>
      </c>
      <c r="AB19" s="60" t="str">
        <f t="shared" si="8"/>
        <v/>
      </c>
      <c r="AC19" s="59" t="str">
        <f t="shared" si="8"/>
        <v/>
      </c>
      <c r="AD19" s="60" t="str">
        <f t="shared" si="8"/>
        <v/>
      </c>
      <c r="AE19" s="60" t="str">
        <f t="shared" si="8"/>
        <v/>
      </c>
      <c r="AF19" s="60" t="str">
        <f t="shared" si="8"/>
        <v/>
      </c>
      <c r="AG19" s="60" t="str">
        <f t="shared" si="8"/>
        <v/>
      </c>
      <c r="AH19" s="60">
        <f t="shared" si="8"/>
        <v>28</v>
      </c>
      <c r="AI19" s="61" t="str">
        <f t="shared" si="8"/>
        <v/>
      </c>
      <c r="AL19" s="54">
        <f t="shared" si="6"/>
        <v>17</v>
      </c>
      <c r="AM19" s="25">
        <f t="shared" si="3"/>
        <v>14</v>
      </c>
      <c r="AN19" s="69">
        <f t="shared" si="1"/>
        <v>28</v>
      </c>
      <c r="AO19" s="25">
        <f t="shared" si="7"/>
        <v>17</v>
      </c>
      <c r="AP19" s="25" t="str">
        <f t="shared" si="4"/>
        <v xml:space="preserve"> </v>
      </c>
      <c r="AQ19" s="25"/>
      <c r="AR19" s="25"/>
      <c r="AS19" s="25"/>
      <c r="AT19" s="25"/>
      <c r="AU19" s="55"/>
    </row>
    <row r="20" spans="1:47" x14ac:dyDescent="0.3">
      <c r="B20" s="40" t="s">
        <v>10</v>
      </c>
      <c r="C20" s="41">
        <v>15</v>
      </c>
      <c r="D20" s="23">
        <f t="shared" si="0"/>
        <v>255</v>
      </c>
      <c r="F20" s="58"/>
      <c r="G20" s="59" t="str">
        <f t="shared" si="5"/>
        <v/>
      </c>
      <c r="H20" s="60" t="str">
        <f t="shared" si="5"/>
        <v/>
      </c>
      <c r="I20" s="60" t="str">
        <f t="shared" si="5"/>
        <v/>
      </c>
      <c r="J20" s="60" t="str">
        <f t="shared" si="5"/>
        <v/>
      </c>
      <c r="K20" s="60" t="str">
        <f t="shared" si="5"/>
        <v/>
      </c>
      <c r="L20" s="60" t="str">
        <f t="shared" si="5"/>
        <v/>
      </c>
      <c r="M20" s="59" t="str">
        <f t="shared" si="5"/>
        <v/>
      </c>
      <c r="N20" s="60" t="str">
        <f t="shared" si="8"/>
        <v/>
      </c>
      <c r="O20" s="60" t="str">
        <f t="shared" si="8"/>
        <v/>
      </c>
      <c r="P20" s="60" t="str">
        <f t="shared" si="8"/>
        <v/>
      </c>
      <c r="Q20" s="59" t="str">
        <f t="shared" si="8"/>
        <v/>
      </c>
      <c r="R20" s="60" t="str">
        <f t="shared" si="8"/>
        <v/>
      </c>
      <c r="S20" s="59" t="str">
        <f t="shared" si="8"/>
        <v/>
      </c>
      <c r="T20" s="60" t="str">
        <f t="shared" si="8"/>
        <v/>
      </c>
      <c r="U20" s="60">
        <f t="shared" si="8"/>
        <v>15</v>
      </c>
      <c r="V20" s="60" t="str">
        <f t="shared" si="8"/>
        <v/>
      </c>
      <c r="W20" s="59" t="str">
        <f t="shared" si="8"/>
        <v/>
      </c>
      <c r="X20" s="60" t="str">
        <f t="shared" si="8"/>
        <v/>
      </c>
      <c r="Y20" s="59" t="str">
        <f t="shared" si="8"/>
        <v/>
      </c>
      <c r="Z20" s="60" t="str">
        <f t="shared" si="8"/>
        <v/>
      </c>
      <c r="AA20" s="60" t="str">
        <f t="shared" si="8"/>
        <v/>
      </c>
      <c r="AB20" s="60" t="str">
        <f t="shared" si="8"/>
        <v/>
      </c>
      <c r="AC20" s="59" t="str">
        <f t="shared" si="8"/>
        <v/>
      </c>
      <c r="AD20" s="60" t="str">
        <f t="shared" si="8"/>
        <v/>
      </c>
      <c r="AE20" s="60" t="str">
        <f t="shared" si="8"/>
        <v/>
      </c>
      <c r="AF20" s="60" t="str">
        <f t="shared" si="8"/>
        <v/>
      </c>
      <c r="AG20" s="60" t="str">
        <f t="shared" si="8"/>
        <v/>
      </c>
      <c r="AH20" s="60" t="str">
        <f t="shared" si="8"/>
        <v/>
      </c>
      <c r="AI20" s="61" t="str">
        <f t="shared" si="8"/>
        <v/>
      </c>
      <c r="AL20" s="54">
        <f t="shared" si="6"/>
        <v>17</v>
      </c>
      <c r="AM20" s="25">
        <f t="shared" si="3"/>
        <v>15</v>
      </c>
      <c r="AN20" s="69">
        <f t="shared" si="1"/>
        <v>15</v>
      </c>
      <c r="AO20" s="25">
        <f t="shared" si="7"/>
        <v>17</v>
      </c>
      <c r="AP20" s="25" t="str">
        <f t="shared" si="4"/>
        <v xml:space="preserve"> </v>
      </c>
      <c r="AQ20" s="25"/>
      <c r="AR20" s="25"/>
      <c r="AS20" s="25"/>
      <c r="AT20" s="25"/>
      <c r="AU20" s="55"/>
    </row>
    <row r="21" spans="1:47" x14ac:dyDescent="0.3">
      <c r="B21" s="40" t="s">
        <v>10</v>
      </c>
      <c r="C21" s="41">
        <v>16</v>
      </c>
      <c r="D21" s="23">
        <f t="shared" si="0"/>
        <v>272</v>
      </c>
      <c r="F21" s="58"/>
      <c r="G21" s="59" t="str">
        <f t="shared" si="5"/>
        <v/>
      </c>
      <c r="H21" s="60">
        <f t="shared" si="5"/>
        <v>2</v>
      </c>
      <c r="I21" s="60" t="str">
        <f t="shared" si="5"/>
        <v/>
      </c>
      <c r="J21" s="60" t="str">
        <f t="shared" si="5"/>
        <v/>
      </c>
      <c r="K21" s="60" t="str">
        <f t="shared" si="5"/>
        <v/>
      </c>
      <c r="L21" s="60" t="str">
        <f t="shared" si="5"/>
        <v/>
      </c>
      <c r="M21" s="59" t="str">
        <f t="shared" si="5"/>
        <v/>
      </c>
      <c r="N21" s="60" t="str">
        <f t="shared" si="8"/>
        <v/>
      </c>
      <c r="O21" s="60" t="str">
        <f t="shared" si="8"/>
        <v/>
      </c>
      <c r="P21" s="60" t="str">
        <f t="shared" si="8"/>
        <v/>
      </c>
      <c r="Q21" s="59" t="str">
        <f t="shared" si="8"/>
        <v/>
      </c>
      <c r="R21" s="60" t="str">
        <f t="shared" si="8"/>
        <v/>
      </c>
      <c r="S21" s="59" t="str">
        <f t="shared" si="8"/>
        <v/>
      </c>
      <c r="T21" s="60" t="str">
        <f t="shared" si="8"/>
        <v/>
      </c>
      <c r="U21" s="60" t="str">
        <f t="shared" si="8"/>
        <v/>
      </c>
      <c r="V21" s="60" t="str">
        <f t="shared" si="8"/>
        <v/>
      </c>
      <c r="W21" s="59" t="str">
        <f t="shared" si="8"/>
        <v/>
      </c>
      <c r="X21" s="60" t="str">
        <f t="shared" si="8"/>
        <v/>
      </c>
      <c r="Y21" s="59" t="str">
        <f t="shared" si="8"/>
        <v/>
      </c>
      <c r="Z21" s="60" t="str">
        <f t="shared" si="8"/>
        <v/>
      </c>
      <c r="AA21" s="60" t="str">
        <f t="shared" si="8"/>
        <v/>
      </c>
      <c r="AB21" s="60" t="str">
        <f t="shared" si="8"/>
        <v/>
      </c>
      <c r="AC21" s="59" t="str">
        <f t="shared" si="8"/>
        <v/>
      </c>
      <c r="AD21" s="60" t="str">
        <f t="shared" si="8"/>
        <v/>
      </c>
      <c r="AE21" s="60" t="str">
        <f t="shared" si="8"/>
        <v/>
      </c>
      <c r="AF21" s="60" t="str">
        <f t="shared" si="8"/>
        <v/>
      </c>
      <c r="AG21" s="60" t="str">
        <f t="shared" si="8"/>
        <v/>
      </c>
      <c r="AH21" s="60" t="str">
        <f t="shared" si="8"/>
        <v/>
      </c>
      <c r="AI21" s="61" t="str">
        <f t="shared" si="8"/>
        <v/>
      </c>
      <c r="AL21" s="54">
        <f t="shared" si="6"/>
        <v>17</v>
      </c>
      <c r="AM21" s="25">
        <f t="shared" si="3"/>
        <v>16</v>
      </c>
      <c r="AN21" s="69">
        <f t="shared" si="1"/>
        <v>2</v>
      </c>
      <c r="AO21" s="25">
        <f t="shared" si="7"/>
        <v>17</v>
      </c>
      <c r="AP21" s="25" t="str">
        <f t="shared" si="4"/>
        <v xml:space="preserve"> </v>
      </c>
      <c r="AQ21" s="25"/>
      <c r="AR21" s="25"/>
      <c r="AS21" s="25"/>
      <c r="AT21" s="25"/>
      <c r="AU21" s="55"/>
    </row>
    <row r="22" spans="1:47" x14ac:dyDescent="0.3">
      <c r="A22" s="23">
        <v>17</v>
      </c>
      <c r="B22" s="40" t="s">
        <v>11</v>
      </c>
      <c r="C22" s="41">
        <v>17</v>
      </c>
      <c r="D22" s="23">
        <f t="shared" si="0"/>
        <v>289</v>
      </c>
      <c r="F22" s="58"/>
      <c r="G22" s="59" t="str">
        <f t="shared" si="5"/>
        <v/>
      </c>
      <c r="H22" s="60" t="str">
        <f t="shared" si="5"/>
        <v/>
      </c>
      <c r="I22" s="60" t="str">
        <f t="shared" si="5"/>
        <v/>
      </c>
      <c r="J22" s="60" t="str">
        <f t="shared" si="5"/>
        <v/>
      </c>
      <c r="K22" s="60" t="str">
        <f t="shared" si="5"/>
        <v/>
      </c>
      <c r="L22" s="60" t="str">
        <f t="shared" si="5"/>
        <v/>
      </c>
      <c r="M22" s="59" t="str">
        <f t="shared" si="5"/>
        <v/>
      </c>
      <c r="N22" s="60" t="str">
        <f t="shared" si="8"/>
        <v/>
      </c>
      <c r="O22" s="60" t="str">
        <f t="shared" si="8"/>
        <v/>
      </c>
      <c r="P22" s="60" t="str">
        <f t="shared" si="8"/>
        <v/>
      </c>
      <c r="Q22" s="59" t="str">
        <f t="shared" si="8"/>
        <v/>
      </c>
      <c r="R22" s="60" t="str">
        <f t="shared" si="8"/>
        <v/>
      </c>
      <c r="S22" s="59" t="str">
        <f t="shared" si="8"/>
        <v/>
      </c>
      <c r="T22" s="60" t="str">
        <f t="shared" si="8"/>
        <v/>
      </c>
      <c r="U22" s="60" t="str">
        <f t="shared" si="8"/>
        <v/>
      </c>
      <c r="V22" s="60" t="str">
        <f t="shared" si="8"/>
        <v/>
      </c>
      <c r="W22" s="59" t="str">
        <f t="shared" si="8"/>
        <v/>
      </c>
      <c r="X22" s="60" t="str">
        <f t="shared" si="8"/>
        <v/>
      </c>
      <c r="Y22" s="59">
        <f t="shared" si="8"/>
        <v>19</v>
      </c>
      <c r="Z22" s="60" t="str">
        <f t="shared" si="8"/>
        <v/>
      </c>
      <c r="AA22" s="60" t="str">
        <f t="shared" si="8"/>
        <v/>
      </c>
      <c r="AB22" s="60" t="str">
        <f t="shared" si="8"/>
        <v/>
      </c>
      <c r="AC22" s="59" t="str">
        <f t="shared" si="8"/>
        <v/>
      </c>
      <c r="AD22" s="60" t="str">
        <f t="shared" si="8"/>
        <v/>
      </c>
      <c r="AE22" s="60" t="str">
        <f t="shared" si="8"/>
        <v/>
      </c>
      <c r="AF22" s="60" t="str">
        <f t="shared" si="8"/>
        <v/>
      </c>
      <c r="AG22" s="60" t="str">
        <f t="shared" si="8"/>
        <v/>
      </c>
      <c r="AH22" s="60" t="str">
        <f t="shared" si="8"/>
        <v/>
      </c>
      <c r="AI22" s="61" t="str">
        <f t="shared" si="8"/>
        <v/>
      </c>
      <c r="AL22" s="54">
        <f t="shared" si="6"/>
        <v>17</v>
      </c>
      <c r="AM22" s="25">
        <f t="shared" si="3"/>
        <v>17</v>
      </c>
      <c r="AN22" s="69">
        <f t="shared" si="1"/>
        <v>19</v>
      </c>
      <c r="AO22" s="25">
        <f t="shared" si="7"/>
        <v>17</v>
      </c>
      <c r="AP22" s="25" t="str">
        <f t="shared" si="4"/>
        <v>#P</v>
      </c>
      <c r="AQ22" s="25"/>
      <c r="AR22" s="25"/>
      <c r="AS22" s="25"/>
      <c r="AT22" s="25"/>
      <c r="AU22" s="55"/>
    </row>
    <row r="23" spans="1:47" x14ac:dyDescent="0.3">
      <c r="B23" s="40" t="s">
        <v>10</v>
      </c>
      <c r="C23" s="41">
        <v>18</v>
      </c>
      <c r="D23" s="23">
        <f t="shared" si="0"/>
        <v>306</v>
      </c>
      <c r="F23" s="58"/>
      <c r="G23" s="59" t="str">
        <f t="shared" si="5"/>
        <v/>
      </c>
      <c r="H23" s="60" t="str">
        <f t="shared" si="5"/>
        <v/>
      </c>
      <c r="I23" s="60" t="str">
        <f t="shared" si="5"/>
        <v/>
      </c>
      <c r="J23" s="60" t="str">
        <f t="shared" si="5"/>
        <v/>
      </c>
      <c r="K23" s="60" t="str">
        <f t="shared" si="5"/>
        <v/>
      </c>
      <c r="L23" s="60">
        <f t="shared" si="5"/>
        <v>6</v>
      </c>
      <c r="M23" s="59" t="str">
        <f t="shared" si="5"/>
        <v/>
      </c>
      <c r="N23" s="60" t="str">
        <f t="shared" si="8"/>
        <v/>
      </c>
      <c r="O23" s="60" t="str">
        <f t="shared" si="8"/>
        <v/>
      </c>
      <c r="P23" s="60" t="str">
        <f t="shared" si="8"/>
        <v/>
      </c>
      <c r="Q23" s="59" t="str">
        <f t="shared" si="8"/>
        <v/>
      </c>
      <c r="R23" s="60" t="str">
        <f t="shared" si="8"/>
        <v/>
      </c>
      <c r="S23" s="59" t="str">
        <f t="shared" si="8"/>
        <v/>
      </c>
      <c r="T23" s="60" t="str">
        <f t="shared" si="8"/>
        <v/>
      </c>
      <c r="U23" s="60" t="str">
        <f t="shared" si="8"/>
        <v/>
      </c>
      <c r="V23" s="60" t="str">
        <f t="shared" si="8"/>
        <v/>
      </c>
      <c r="W23" s="59" t="str">
        <f t="shared" si="8"/>
        <v/>
      </c>
      <c r="X23" s="60" t="str">
        <f t="shared" si="8"/>
        <v/>
      </c>
      <c r="Y23" s="59" t="str">
        <f t="shared" si="8"/>
        <v/>
      </c>
      <c r="Z23" s="60" t="str">
        <f t="shared" si="8"/>
        <v/>
      </c>
      <c r="AA23" s="60" t="str">
        <f t="shared" si="8"/>
        <v/>
      </c>
      <c r="AB23" s="60" t="str">
        <f t="shared" si="8"/>
        <v/>
      </c>
      <c r="AC23" s="59" t="str">
        <f t="shared" si="8"/>
        <v/>
      </c>
      <c r="AD23" s="60" t="str">
        <f t="shared" si="8"/>
        <v/>
      </c>
      <c r="AE23" s="60" t="str">
        <f t="shared" si="8"/>
        <v/>
      </c>
      <c r="AF23" s="60" t="str">
        <f t="shared" si="8"/>
        <v/>
      </c>
      <c r="AG23" s="60" t="str">
        <f t="shared" si="8"/>
        <v/>
      </c>
      <c r="AH23" s="60" t="str">
        <f t="shared" si="8"/>
        <v/>
      </c>
      <c r="AI23" s="61" t="str">
        <f t="shared" si="8"/>
        <v/>
      </c>
      <c r="AL23" s="54">
        <f t="shared" si="6"/>
        <v>17</v>
      </c>
      <c r="AM23" s="25">
        <f t="shared" si="3"/>
        <v>18</v>
      </c>
      <c r="AN23" s="69">
        <f t="shared" si="1"/>
        <v>6</v>
      </c>
      <c r="AO23" s="25">
        <f t="shared" si="7"/>
        <v>17</v>
      </c>
      <c r="AP23" s="25" t="str">
        <f t="shared" si="4"/>
        <v xml:space="preserve"> </v>
      </c>
      <c r="AQ23" s="25"/>
      <c r="AR23" s="25"/>
      <c r="AS23" s="25"/>
      <c r="AT23" s="25"/>
      <c r="AU23" s="55"/>
    </row>
    <row r="24" spans="1:47" x14ac:dyDescent="0.3">
      <c r="A24" s="23">
        <v>19</v>
      </c>
      <c r="B24" s="40" t="s">
        <v>11</v>
      </c>
      <c r="C24" s="41">
        <v>19</v>
      </c>
      <c r="D24" s="23">
        <f t="shared" si="0"/>
        <v>323</v>
      </c>
      <c r="F24" s="58"/>
      <c r="G24" s="59" t="str">
        <f t="shared" si="5"/>
        <v/>
      </c>
      <c r="H24" s="60" t="str">
        <f t="shared" si="5"/>
        <v/>
      </c>
      <c r="I24" s="60" t="str">
        <f t="shared" si="5"/>
        <v/>
      </c>
      <c r="J24" s="60" t="str">
        <f t="shared" si="5"/>
        <v/>
      </c>
      <c r="K24" s="60" t="str">
        <f t="shared" si="5"/>
        <v/>
      </c>
      <c r="L24" s="60" t="str">
        <f t="shared" si="5"/>
        <v/>
      </c>
      <c r="M24" s="59" t="str">
        <f t="shared" si="5"/>
        <v/>
      </c>
      <c r="N24" s="60" t="str">
        <f t="shared" si="8"/>
        <v/>
      </c>
      <c r="O24" s="60" t="str">
        <f t="shared" si="8"/>
        <v/>
      </c>
      <c r="P24" s="60" t="str">
        <f t="shared" si="8"/>
        <v/>
      </c>
      <c r="Q24" s="59" t="str">
        <f t="shared" si="8"/>
        <v/>
      </c>
      <c r="R24" s="60" t="str">
        <f t="shared" si="8"/>
        <v/>
      </c>
      <c r="S24" s="59" t="str">
        <f t="shared" si="8"/>
        <v/>
      </c>
      <c r="T24" s="60" t="str">
        <f t="shared" si="8"/>
        <v/>
      </c>
      <c r="U24" s="60" t="str">
        <f t="shared" si="8"/>
        <v/>
      </c>
      <c r="V24" s="60" t="str">
        <f t="shared" si="8"/>
        <v/>
      </c>
      <c r="W24" s="59" t="str">
        <f t="shared" si="8"/>
        <v/>
      </c>
      <c r="X24" s="60" t="str">
        <f t="shared" si="8"/>
        <v/>
      </c>
      <c r="Y24" s="59" t="str">
        <f t="shared" si="8"/>
        <v/>
      </c>
      <c r="Z24" s="60" t="str">
        <f t="shared" si="8"/>
        <v/>
      </c>
      <c r="AA24" s="60" t="str">
        <f t="shared" si="8"/>
        <v/>
      </c>
      <c r="AB24" s="60" t="str">
        <f t="shared" si="8"/>
        <v/>
      </c>
      <c r="AC24" s="59">
        <f t="shared" si="8"/>
        <v>23</v>
      </c>
      <c r="AD24" s="60" t="str">
        <f t="shared" si="8"/>
        <v/>
      </c>
      <c r="AE24" s="60" t="str">
        <f t="shared" si="8"/>
        <v/>
      </c>
      <c r="AF24" s="60" t="str">
        <f t="shared" si="8"/>
        <v/>
      </c>
      <c r="AG24" s="60" t="str">
        <f t="shared" si="8"/>
        <v/>
      </c>
      <c r="AH24" s="60" t="str">
        <f t="shared" si="8"/>
        <v/>
      </c>
      <c r="AI24" s="61" t="str">
        <f t="shared" si="8"/>
        <v/>
      </c>
      <c r="AL24" s="54">
        <f t="shared" si="6"/>
        <v>17</v>
      </c>
      <c r="AM24" s="25">
        <f t="shared" si="3"/>
        <v>19</v>
      </c>
      <c r="AN24" s="69">
        <f t="shared" si="1"/>
        <v>23</v>
      </c>
      <c r="AO24" s="25">
        <f t="shared" si="7"/>
        <v>17</v>
      </c>
      <c r="AP24" s="25" t="str">
        <f t="shared" si="4"/>
        <v>#P</v>
      </c>
      <c r="AQ24" s="25"/>
      <c r="AR24" s="25"/>
      <c r="AS24" s="25"/>
      <c r="AT24" s="25"/>
      <c r="AU24" s="55"/>
    </row>
    <row r="25" spans="1:47" x14ac:dyDescent="0.3">
      <c r="B25" s="40" t="s">
        <v>10</v>
      </c>
      <c r="C25" s="41">
        <v>20</v>
      </c>
      <c r="D25" s="23">
        <f t="shared" si="0"/>
        <v>340</v>
      </c>
      <c r="F25" s="58"/>
      <c r="G25" s="59" t="str">
        <f t="shared" si="5"/>
        <v/>
      </c>
      <c r="H25" s="60" t="str">
        <f t="shared" si="5"/>
        <v/>
      </c>
      <c r="I25" s="60" t="str">
        <f t="shared" si="5"/>
        <v/>
      </c>
      <c r="J25" s="60" t="str">
        <f t="shared" si="5"/>
        <v/>
      </c>
      <c r="K25" s="60" t="str">
        <f t="shared" si="5"/>
        <v/>
      </c>
      <c r="L25" s="60" t="str">
        <f t="shared" si="5"/>
        <v/>
      </c>
      <c r="M25" s="59" t="str">
        <f t="shared" si="5"/>
        <v/>
      </c>
      <c r="N25" s="60" t="str">
        <f t="shared" si="8"/>
        <v/>
      </c>
      <c r="O25" s="60" t="str">
        <f t="shared" si="8"/>
        <v/>
      </c>
      <c r="P25" s="60">
        <f t="shared" si="8"/>
        <v>10</v>
      </c>
      <c r="Q25" s="59" t="str">
        <f t="shared" si="8"/>
        <v/>
      </c>
      <c r="R25" s="60" t="str">
        <f t="shared" si="8"/>
        <v/>
      </c>
      <c r="S25" s="59" t="str">
        <f t="shared" si="8"/>
        <v/>
      </c>
      <c r="T25" s="60" t="str">
        <f t="shared" si="8"/>
        <v/>
      </c>
      <c r="U25" s="60" t="str">
        <f t="shared" si="8"/>
        <v/>
      </c>
      <c r="V25" s="60" t="str">
        <f t="shared" si="8"/>
        <v/>
      </c>
      <c r="W25" s="59" t="str">
        <f t="shared" si="8"/>
        <v/>
      </c>
      <c r="X25" s="60" t="str">
        <f t="shared" si="8"/>
        <v/>
      </c>
      <c r="Y25" s="59" t="str">
        <f t="shared" si="8"/>
        <v/>
      </c>
      <c r="Z25" s="60" t="str">
        <f t="shared" si="8"/>
        <v/>
      </c>
      <c r="AA25" s="60" t="str">
        <f t="shared" si="8"/>
        <v/>
      </c>
      <c r="AB25" s="60" t="str">
        <f t="shared" si="8"/>
        <v/>
      </c>
      <c r="AC25" s="59" t="str">
        <f t="shared" si="8"/>
        <v/>
      </c>
      <c r="AD25" s="60" t="str">
        <f t="shared" si="8"/>
        <v/>
      </c>
      <c r="AE25" s="60" t="str">
        <f t="shared" si="8"/>
        <v/>
      </c>
      <c r="AF25" s="60" t="str">
        <f t="shared" si="8"/>
        <v/>
      </c>
      <c r="AG25" s="60" t="str">
        <f t="shared" si="8"/>
        <v/>
      </c>
      <c r="AH25" s="60" t="str">
        <f t="shared" si="8"/>
        <v/>
      </c>
      <c r="AI25" s="61" t="str">
        <f t="shared" si="8"/>
        <v/>
      </c>
      <c r="AL25" s="54">
        <f t="shared" si="6"/>
        <v>17</v>
      </c>
      <c r="AM25" s="25">
        <f t="shared" si="3"/>
        <v>20</v>
      </c>
      <c r="AN25" s="69">
        <f t="shared" si="1"/>
        <v>10</v>
      </c>
      <c r="AO25" s="25">
        <f t="shared" si="7"/>
        <v>17</v>
      </c>
      <c r="AP25" s="25" t="str">
        <f t="shared" si="4"/>
        <v xml:space="preserve"> </v>
      </c>
      <c r="AQ25" s="25"/>
      <c r="AR25" s="25"/>
      <c r="AS25" s="25"/>
      <c r="AT25" s="25"/>
      <c r="AU25" s="55"/>
    </row>
    <row r="26" spans="1:47" x14ac:dyDescent="0.3">
      <c r="B26" s="40" t="s">
        <v>10</v>
      </c>
      <c r="C26" s="41">
        <v>21</v>
      </c>
      <c r="D26" s="23">
        <f t="shared" si="0"/>
        <v>357</v>
      </c>
      <c r="F26" s="58"/>
      <c r="G26" s="59" t="str">
        <f t="shared" si="5"/>
        <v/>
      </c>
      <c r="H26" s="60" t="str">
        <f t="shared" si="5"/>
        <v/>
      </c>
      <c r="I26" s="60" t="str">
        <f t="shared" si="5"/>
        <v/>
      </c>
      <c r="J26" s="60" t="str">
        <f t="shared" si="5"/>
        <v/>
      </c>
      <c r="K26" s="60" t="str">
        <f t="shared" si="5"/>
        <v/>
      </c>
      <c r="L26" s="60" t="str">
        <f t="shared" si="5"/>
        <v/>
      </c>
      <c r="M26" s="59" t="str">
        <f t="shared" si="5"/>
        <v/>
      </c>
      <c r="N26" s="60" t="str">
        <f t="shared" si="8"/>
        <v/>
      </c>
      <c r="O26" s="60" t="str">
        <f t="shared" si="8"/>
        <v/>
      </c>
      <c r="P26" s="60" t="str">
        <f t="shared" si="8"/>
        <v/>
      </c>
      <c r="Q26" s="59" t="str">
        <f t="shared" si="8"/>
        <v/>
      </c>
      <c r="R26" s="60" t="str">
        <f t="shared" si="8"/>
        <v/>
      </c>
      <c r="S26" s="59" t="str">
        <f t="shared" si="8"/>
        <v/>
      </c>
      <c r="T26" s="60" t="str">
        <f t="shared" si="8"/>
        <v/>
      </c>
      <c r="U26" s="60" t="str">
        <f t="shared" si="8"/>
        <v/>
      </c>
      <c r="V26" s="60" t="str">
        <f t="shared" si="8"/>
        <v/>
      </c>
      <c r="W26" s="59" t="str">
        <f t="shared" si="8"/>
        <v/>
      </c>
      <c r="X26" s="60" t="str">
        <f t="shared" si="8"/>
        <v/>
      </c>
      <c r="Y26" s="59" t="str">
        <f t="shared" si="8"/>
        <v/>
      </c>
      <c r="Z26" s="60" t="str">
        <f t="shared" si="8"/>
        <v/>
      </c>
      <c r="AA26" s="60" t="str">
        <f t="shared" si="8"/>
        <v/>
      </c>
      <c r="AB26" s="60" t="str">
        <f t="shared" si="8"/>
        <v/>
      </c>
      <c r="AC26" s="59" t="str">
        <f t="shared" si="8"/>
        <v/>
      </c>
      <c r="AD26" s="60" t="str">
        <f t="shared" si="8"/>
        <v/>
      </c>
      <c r="AE26" s="60" t="str">
        <f t="shared" si="8"/>
        <v/>
      </c>
      <c r="AF26" s="60" t="str">
        <f t="shared" si="8"/>
        <v/>
      </c>
      <c r="AG26" s="60">
        <f t="shared" si="8"/>
        <v>27</v>
      </c>
      <c r="AH26" s="60" t="str">
        <f t="shared" si="8"/>
        <v/>
      </c>
      <c r="AI26" s="61" t="str">
        <f t="shared" si="8"/>
        <v/>
      </c>
      <c r="AL26" s="54">
        <f t="shared" si="6"/>
        <v>17</v>
      </c>
      <c r="AM26" s="25">
        <f t="shared" si="3"/>
        <v>21</v>
      </c>
      <c r="AN26" s="69">
        <f t="shared" si="1"/>
        <v>27</v>
      </c>
      <c r="AO26" s="25">
        <f t="shared" si="7"/>
        <v>17</v>
      </c>
      <c r="AP26" s="25" t="str">
        <f t="shared" si="4"/>
        <v xml:space="preserve"> </v>
      </c>
      <c r="AQ26" s="25"/>
      <c r="AR26" s="25"/>
      <c r="AS26" s="25"/>
      <c r="AT26" s="25"/>
      <c r="AU26" s="55"/>
    </row>
    <row r="27" spans="1:47" x14ac:dyDescent="0.3">
      <c r="B27" s="40" t="s">
        <v>10</v>
      </c>
      <c r="C27" s="41">
        <v>22</v>
      </c>
      <c r="D27" s="23">
        <f t="shared" si="0"/>
        <v>374</v>
      </c>
      <c r="F27" s="58"/>
      <c r="G27" s="59" t="str">
        <f t="shared" si="5"/>
        <v/>
      </c>
      <c r="H27" s="60" t="str">
        <f t="shared" si="5"/>
        <v/>
      </c>
      <c r="I27" s="60" t="str">
        <f t="shared" si="5"/>
        <v/>
      </c>
      <c r="J27" s="60" t="str">
        <f t="shared" si="5"/>
        <v/>
      </c>
      <c r="K27" s="60" t="str">
        <f t="shared" si="5"/>
        <v/>
      </c>
      <c r="L27" s="60" t="str">
        <f t="shared" si="5"/>
        <v/>
      </c>
      <c r="M27" s="59" t="str">
        <f t="shared" si="5"/>
        <v/>
      </c>
      <c r="N27" s="60" t="str">
        <f t="shared" si="8"/>
        <v/>
      </c>
      <c r="O27" s="60" t="str">
        <f t="shared" si="8"/>
        <v/>
      </c>
      <c r="P27" s="60" t="str">
        <f t="shared" si="8"/>
        <v/>
      </c>
      <c r="Q27" s="59" t="str">
        <f t="shared" si="8"/>
        <v/>
      </c>
      <c r="R27" s="60" t="str">
        <f t="shared" si="8"/>
        <v/>
      </c>
      <c r="S27" s="59" t="str">
        <f t="shared" si="8"/>
        <v/>
      </c>
      <c r="T27" s="60">
        <f t="shared" si="8"/>
        <v>14</v>
      </c>
      <c r="U27" s="60" t="str">
        <f t="shared" si="8"/>
        <v/>
      </c>
      <c r="V27" s="60" t="str">
        <f t="shared" si="8"/>
        <v/>
      </c>
      <c r="W27" s="59" t="str">
        <f t="shared" si="8"/>
        <v/>
      </c>
      <c r="X27" s="60" t="str">
        <f t="shared" si="8"/>
        <v/>
      </c>
      <c r="Y27" s="59" t="str">
        <f t="shared" si="8"/>
        <v/>
      </c>
      <c r="Z27" s="60" t="str">
        <f t="shared" si="8"/>
        <v/>
      </c>
      <c r="AA27" s="60" t="str">
        <f t="shared" si="8"/>
        <v/>
      </c>
      <c r="AB27" s="60" t="str">
        <f t="shared" si="8"/>
        <v/>
      </c>
      <c r="AC27" s="59" t="str">
        <f t="shared" si="8"/>
        <v/>
      </c>
      <c r="AD27" s="60" t="str">
        <f t="shared" si="8"/>
        <v/>
      </c>
      <c r="AE27" s="60" t="str">
        <f t="shared" si="8"/>
        <v/>
      </c>
      <c r="AF27" s="60" t="str">
        <f t="shared" si="8"/>
        <v/>
      </c>
      <c r="AG27" s="60" t="str">
        <f t="shared" si="8"/>
        <v/>
      </c>
      <c r="AH27" s="60" t="str">
        <f t="shared" si="8"/>
        <v/>
      </c>
      <c r="AI27" s="61" t="str">
        <f t="shared" si="8"/>
        <v/>
      </c>
      <c r="AL27" s="54">
        <f t="shared" si="6"/>
        <v>17</v>
      </c>
      <c r="AM27" s="25">
        <f t="shared" si="3"/>
        <v>22</v>
      </c>
      <c r="AN27" s="69">
        <f t="shared" si="1"/>
        <v>14</v>
      </c>
      <c r="AO27" s="25">
        <f t="shared" si="7"/>
        <v>17</v>
      </c>
      <c r="AP27" s="25" t="str">
        <f t="shared" si="4"/>
        <v xml:space="preserve"> </v>
      </c>
      <c r="AQ27" s="25"/>
      <c r="AR27" s="25"/>
      <c r="AS27" s="25"/>
      <c r="AT27" s="25"/>
      <c r="AU27" s="55"/>
    </row>
    <row r="28" spans="1:47" x14ac:dyDescent="0.3">
      <c r="A28" s="23">
        <v>23</v>
      </c>
      <c r="B28" s="40" t="s">
        <v>11</v>
      </c>
      <c r="C28" s="41">
        <v>23</v>
      </c>
      <c r="D28" s="23">
        <f t="shared" si="0"/>
        <v>391</v>
      </c>
      <c r="F28" s="58"/>
      <c r="G28" s="59">
        <f t="shared" si="5"/>
        <v>1</v>
      </c>
      <c r="H28" s="60" t="str">
        <f t="shared" si="5"/>
        <v/>
      </c>
      <c r="I28" s="60" t="str">
        <f t="shared" si="5"/>
        <v/>
      </c>
      <c r="J28" s="60" t="str">
        <f t="shared" si="5"/>
        <v/>
      </c>
      <c r="K28" s="60" t="str">
        <f t="shared" si="5"/>
        <v/>
      </c>
      <c r="L28" s="60" t="str">
        <f t="shared" si="5"/>
        <v/>
      </c>
      <c r="M28" s="59" t="str">
        <f t="shared" si="5"/>
        <v/>
      </c>
      <c r="N28" s="60" t="str">
        <f t="shared" si="8"/>
        <v/>
      </c>
      <c r="O28" s="60" t="str">
        <f t="shared" si="8"/>
        <v/>
      </c>
      <c r="P28" s="60" t="str">
        <f t="shared" si="8"/>
        <v/>
      </c>
      <c r="Q28" s="59" t="str">
        <f t="shared" si="8"/>
        <v/>
      </c>
      <c r="R28" s="60" t="str">
        <f t="shared" si="8"/>
        <v/>
      </c>
      <c r="S28" s="59" t="str">
        <f t="shared" si="8"/>
        <v/>
      </c>
      <c r="T28" s="60" t="str">
        <f t="shared" si="8"/>
        <v/>
      </c>
      <c r="U28" s="60" t="str">
        <f t="shared" si="8"/>
        <v/>
      </c>
      <c r="V28" s="60" t="str">
        <f t="shared" si="8"/>
        <v/>
      </c>
      <c r="W28" s="59" t="str">
        <f t="shared" si="8"/>
        <v/>
      </c>
      <c r="X28" s="60" t="str">
        <f t="shared" si="8"/>
        <v/>
      </c>
      <c r="Y28" s="59" t="str">
        <f t="shared" si="8"/>
        <v/>
      </c>
      <c r="Z28" s="60" t="str">
        <f t="shared" si="8"/>
        <v/>
      </c>
      <c r="AA28" s="60" t="str">
        <f t="shared" si="8"/>
        <v/>
      </c>
      <c r="AB28" s="60" t="str">
        <f t="shared" si="8"/>
        <v/>
      </c>
      <c r="AC28" s="59" t="str">
        <f t="shared" si="8"/>
        <v/>
      </c>
      <c r="AD28" s="60" t="str">
        <f t="shared" si="8"/>
        <v/>
      </c>
      <c r="AE28" s="60" t="str">
        <f t="shared" si="8"/>
        <v/>
      </c>
      <c r="AF28" s="60" t="str">
        <f t="shared" si="8"/>
        <v/>
      </c>
      <c r="AG28" s="60" t="str">
        <f t="shared" si="8"/>
        <v/>
      </c>
      <c r="AH28" s="60" t="str">
        <f t="shared" si="8"/>
        <v/>
      </c>
      <c r="AI28" s="61" t="str">
        <f t="shared" si="8"/>
        <v/>
      </c>
      <c r="AL28" s="54">
        <f t="shared" si="6"/>
        <v>17</v>
      </c>
      <c r="AM28" s="25">
        <f t="shared" si="3"/>
        <v>23</v>
      </c>
      <c r="AN28" s="69">
        <f t="shared" si="1"/>
        <v>1</v>
      </c>
      <c r="AO28" s="25">
        <f t="shared" si="7"/>
        <v>17</v>
      </c>
      <c r="AP28" s="25" t="str">
        <f t="shared" si="4"/>
        <v>#P</v>
      </c>
      <c r="AQ28" s="25"/>
      <c r="AR28" s="25"/>
      <c r="AS28" s="25"/>
      <c r="AT28" s="25"/>
      <c r="AU28" s="55"/>
    </row>
    <row r="29" spans="1:47" x14ac:dyDescent="0.3">
      <c r="B29" s="40" t="s">
        <v>10</v>
      </c>
      <c r="C29" s="41">
        <v>24</v>
      </c>
      <c r="D29" s="23">
        <f t="shared" si="0"/>
        <v>408</v>
      </c>
      <c r="F29" s="58"/>
      <c r="G29" s="59" t="str">
        <f t="shared" si="5"/>
        <v/>
      </c>
      <c r="H29" s="60" t="str">
        <f t="shared" si="5"/>
        <v/>
      </c>
      <c r="I29" s="60" t="str">
        <f t="shared" si="5"/>
        <v/>
      </c>
      <c r="J29" s="60" t="str">
        <f t="shared" si="5"/>
        <v/>
      </c>
      <c r="K29" s="60" t="str">
        <f t="shared" si="5"/>
        <v/>
      </c>
      <c r="L29" s="60" t="str">
        <f t="shared" si="5"/>
        <v/>
      </c>
      <c r="M29" s="59" t="str">
        <f t="shared" si="5"/>
        <v/>
      </c>
      <c r="N29" s="60" t="str">
        <f t="shared" si="8"/>
        <v/>
      </c>
      <c r="O29" s="60" t="str">
        <f t="shared" si="8"/>
        <v/>
      </c>
      <c r="P29" s="60" t="str">
        <f t="shared" si="8"/>
        <v/>
      </c>
      <c r="Q29" s="59" t="str">
        <f t="shared" si="8"/>
        <v/>
      </c>
      <c r="R29" s="60" t="str">
        <f t="shared" si="8"/>
        <v/>
      </c>
      <c r="S29" s="59" t="str">
        <f t="shared" si="8"/>
        <v/>
      </c>
      <c r="T29" s="60" t="str">
        <f t="shared" si="8"/>
        <v/>
      </c>
      <c r="U29" s="60" t="str">
        <f t="shared" ref="N29:AI34" si="9">IF((MOD(($D29-U$4),30)=0),U$4,"")</f>
        <v/>
      </c>
      <c r="V29" s="60" t="str">
        <f t="shared" si="9"/>
        <v/>
      </c>
      <c r="W29" s="59" t="str">
        <f t="shared" si="9"/>
        <v/>
      </c>
      <c r="X29" s="60">
        <f t="shared" si="9"/>
        <v>18</v>
      </c>
      <c r="Y29" s="59" t="str">
        <f t="shared" si="9"/>
        <v/>
      </c>
      <c r="Z29" s="60" t="str">
        <f t="shared" si="9"/>
        <v/>
      </c>
      <c r="AA29" s="60" t="str">
        <f t="shared" si="9"/>
        <v/>
      </c>
      <c r="AB29" s="60" t="str">
        <f t="shared" si="9"/>
        <v/>
      </c>
      <c r="AC29" s="59" t="str">
        <f t="shared" si="9"/>
        <v/>
      </c>
      <c r="AD29" s="60" t="str">
        <f t="shared" si="9"/>
        <v/>
      </c>
      <c r="AE29" s="60" t="str">
        <f t="shared" si="9"/>
        <v/>
      </c>
      <c r="AF29" s="60" t="str">
        <f t="shared" si="9"/>
        <v/>
      </c>
      <c r="AG29" s="60" t="str">
        <f t="shared" si="9"/>
        <v/>
      </c>
      <c r="AH29" s="60" t="str">
        <f t="shared" si="9"/>
        <v/>
      </c>
      <c r="AI29" s="61" t="str">
        <f t="shared" si="9"/>
        <v/>
      </c>
      <c r="AL29" s="54">
        <f t="shared" si="6"/>
        <v>17</v>
      </c>
      <c r="AM29" s="25">
        <f t="shared" si="3"/>
        <v>24</v>
      </c>
      <c r="AN29" s="69">
        <f t="shared" si="1"/>
        <v>18</v>
      </c>
      <c r="AO29" s="25">
        <f t="shared" si="7"/>
        <v>17</v>
      </c>
      <c r="AP29" s="25" t="str">
        <f t="shared" si="4"/>
        <v xml:space="preserve"> </v>
      </c>
      <c r="AQ29" s="25"/>
      <c r="AR29" s="25"/>
      <c r="AS29" s="25"/>
      <c r="AT29" s="25"/>
      <c r="AU29" s="55"/>
    </row>
    <row r="30" spans="1:47" x14ac:dyDescent="0.3">
      <c r="B30" s="40" t="s">
        <v>10</v>
      </c>
      <c r="C30" s="41">
        <v>25</v>
      </c>
      <c r="D30" s="23">
        <f t="shared" si="0"/>
        <v>425</v>
      </c>
      <c r="F30" s="58"/>
      <c r="G30" s="59" t="str">
        <f t="shared" si="5"/>
        <v/>
      </c>
      <c r="H30" s="60" t="str">
        <f t="shared" si="5"/>
        <v/>
      </c>
      <c r="I30" s="60" t="str">
        <f t="shared" si="5"/>
        <v/>
      </c>
      <c r="J30" s="60" t="str">
        <f t="shared" si="5"/>
        <v/>
      </c>
      <c r="K30" s="60">
        <f t="shared" si="5"/>
        <v>5</v>
      </c>
      <c r="L30" s="60" t="str">
        <f t="shared" si="5"/>
        <v/>
      </c>
      <c r="M30" s="59" t="str">
        <f t="shared" si="5"/>
        <v/>
      </c>
      <c r="N30" s="60" t="str">
        <f t="shared" si="9"/>
        <v/>
      </c>
      <c r="O30" s="60" t="str">
        <f t="shared" si="9"/>
        <v/>
      </c>
      <c r="P30" s="60" t="str">
        <f t="shared" si="9"/>
        <v/>
      </c>
      <c r="Q30" s="59" t="str">
        <f t="shared" si="9"/>
        <v/>
      </c>
      <c r="R30" s="60" t="str">
        <f t="shared" si="9"/>
        <v/>
      </c>
      <c r="S30" s="59" t="str">
        <f t="shared" si="9"/>
        <v/>
      </c>
      <c r="T30" s="60" t="str">
        <f t="shared" si="9"/>
        <v/>
      </c>
      <c r="U30" s="60" t="str">
        <f t="shared" si="9"/>
        <v/>
      </c>
      <c r="V30" s="60" t="str">
        <f t="shared" si="9"/>
        <v/>
      </c>
      <c r="W30" s="59" t="str">
        <f t="shared" si="9"/>
        <v/>
      </c>
      <c r="X30" s="60" t="str">
        <f t="shared" si="9"/>
        <v/>
      </c>
      <c r="Y30" s="59" t="str">
        <f t="shared" si="9"/>
        <v/>
      </c>
      <c r="Z30" s="60" t="str">
        <f t="shared" si="9"/>
        <v/>
      </c>
      <c r="AA30" s="60" t="str">
        <f t="shared" si="9"/>
        <v/>
      </c>
      <c r="AB30" s="60" t="str">
        <f t="shared" si="9"/>
        <v/>
      </c>
      <c r="AC30" s="59" t="str">
        <f t="shared" si="9"/>
        <v/>
      </c>
      <c r="AD30" s="60" t="str">
        <f t="shared" si="9"/>
        <v/>
      </c>
      <c r="AE30" s="60" t="str">
        <f t="shared" si="9"/>
        <v/>
      </c>
      <c r="AF30" s="60" t="str">
        <f t="shared" si="9"/>
        <v/>
      </c>
      <c r="AG30" s="60" t="str">
        <f t="shared" si="9"/>
        <v/>
      </c>
      <c r="AH30" s="60" t="str">
        <f t="shared" si="9"/>
        <v/>
      </c>
      <c r="AI30" s="61" t="str">
        <f t="shared" si="9"/>
        <v/>
      </c>
      <c r="AL30" s="54">
        <f t="shared" si="6"/>
        <v>17</v>
      </c>
      <c r="AM30" s="25">
        <f t="shared" si="3"/>
        <v>25</v>
      </c>
      <c r="AN30" s="69">
        <f t="shared" si="1"/>
        <v>5</v>
      </c>
      <c r="AO30" s="25">
        <f t="shared" si="7"/>
        <v>17</v>
      </c>
      <c r="AP30" s="25" t="str">
        <f t="shared" si="4"/>
        <v xml:space="preserve"> </v>
      </c>
      <c r="AQ30" s="25"/>
      <c r="AR30" s="25"/>
      <c r="AS30" s="25"/>
      <c r="AT30" s="25"/>
      <c r="AU30" s="55"/>
    </row>
    <row r="31" spans="1:47" x14ac:dyDescent="0.3">
      <c r="B31" s="40" t="s">
        <v>10</v>
      </c>
      <c r="C31" s="41">
        <v>26</v>
      </c>
      <c r="D31" s="23">
        <f t="shared" si="0"/>
        <v>442</v>
      </c>
      <c r="F31" s="58"/>
      <c r="G31" s="59" t="str">
        <f t="shared" si="5"/>
        <v/>
      </c>
      <c r="H31" s="60" t="str">
        <f t="shared" si="5"/>
        <v/>
      </c>
      <c r="I31" s="60" t="str">
        <f t="shared" si="5"/>
        <v/>
      </c>
      <c r="J31" s="60" t="str">
        <f t="shared" si="5"/>
        <v/>
      </c>
      <c r="K31" s="60" t="str">
        <f t="shared" si="5"/>
        <v/>
      </c>
      <c r="L31" s="60" t="str">
        <f t="shared" si="5"/>
        <v/>
      </c>
      <c r="M31" s="59" t="str">
        <f t="shared" si="5"/>
        <v/>
      </c>
      <c r="N31" s="60" t="str">
        <f t="shared" si="9"/>
        <v/>
      </c>
      <c r="O31" s="60" t="str">
        <f t="shared" si="9"/>
        <v/>
      </c>
      <c r="P31" s="60" t="str">
        <f t="shared" si="9"/>
        <v/>
      </c>
      <c r="Q31" s="59" t="str">
        <f t="shared" si="9"/>
        <v/>
      </c>
      <c r="R31" s="60" t="str">
        <f t="shared" si="9"/>
        <v/>
      </c>
      <c r="S31" s="59" t="str">
        <f t="shared" si="9"/>
        <v/>
      </c>
      <c r="T31" s="60" t="str">
        <f t="shared" si="9"/>
        <v/>
      </c>
      <c r="U31" s="60" t="str">
        <f t="shared" si="9"/>
        <v/>
      </c>
      <c r="V31" s="60" t="str">
        <f t="shared" si="9"/>
        <v/>
      </c>
      <c r="W31" s="59" t="str">
        <f t="shared" si="9"/>
        <v/>
      </c>
      <c r="X31" s="60" t="str">
        <f t="shared" si="9"/>
        <v/>
      </c>
      <c r="Y31" s="59" t="str">
        <f t="shared" si="9"/>
        <v/>
      </c>
      <c r="Z31" s="60" t="str">
        <f t="shared" si="9"/>
        <v/>
      </c>
      <c r="AA31" s="60" t="str">
        <f t="shared" si="9"/>
        <v/>
      </c>
      <c r="AB31" s="60">
        <f t="shared" si="9"/>
        <v>22</v>
      </c>
      <c r="AC31" s="59" t="str">
        <f t="shared" si="9"/>
        <v/>
      </c>
      <c r="AD31" s="60" t="str">
        <f t="shared" si="9"/>
        <v/>
      </c>
      <c r="AE31" s="60" t="str">
        <f t="shared" si="9"/>
        <v/>
      </c>
      <c r="AF31" s="60" t="str">
        <f t="shared" si="9"/>
        <v/>
      </c>
      <c r="AG31" s="60" t="str">
        <f t="shared" si="9"/>
        <v/>
      </c>
      <c r="AH31" s="60" t="str">
        <f t="shared" si="9"/>
        <v/>
      </c>
      <c r="AI31" s="61" t="str">
        <f t="shared" si="9"/>
        <v/>
      </c>
      <c r="AL31" s="54">
        <f t="shared" si="6"/>
        <v>17</v>
      </c>
      <c r="AM31" s="25">
        <f t="shared" si="3"/>
        <v>26</v>
      </c>
      <c r="AN31" s="69">
        <f t="shared" si="1"/>
        <v>22</v>
      </c>
      <c r="AO31" s="25">
        <f t="shared" si="7"/>
        <v>17</v>
      </c>
      <c r="AP31" s="25" t="str">
        <f t="shared" si="4"/>
        <v xml:space="preserve"> </v>
      </c>
      <c r="AQ31" s="25"/>
      <c r="AR31" s="25"/>
      <c r="AS31" s="25"/>
      <c r="AT31" s="25"/>
      <c r="AU31" s="55"/>
    </row>
    <row r="32" spans="1:47" x14ac:dyDescent="0.3">
      <c r="B32" s="78" t="s">
        <v>10</v>
      </c>
      <c r="C32" s="41">
        <v>27</v>
      </c>
      <c r="D32" s="23">
        <f t="shared" si="0"/>
        <v>459</v>
      </c>
      <c r="F32" s="58"/>
      <c r="G32" s="59" t="str">
        <f t="shared" si="5"/>
        <v/>
      </c>
      <c r="H32" s="60" t="str">
        <f t="shared" si="5"/>
        <v/>
      </c>
      <c r="I32" s="60" t="str">
        <f t="shared" si="5"/>
        <v/>
      </c>
      <c r="J32" s="60" t="str">
        <f t="shared" si="5"/>
        <v/>
      </c>
      <c r="K32" s="60" t="str">
        <f t="shared" si="5"/>
        <v/>
      </c>
      <c r="L32" s="60" t="str">
        <f t="shared" si="5"/>
        <v/>
      </c>
      <c r="M32" s="59" t="str">
        <f t="shared" si="5"/>
        <v/>
      </c>
      <c r="N32" s="60" t="str">
        <f t="shared" si="9"/>
        <v/>
      </c>
      <c r="O32" s="60">
        <f t="shared" si="9"/>
        <v>9</v>
      </c>
      <c r="P32" s="60" t="str">
        <f t="shared" si="9"/>
        <v/>
      </c>
      <c r="Q32" s="59" t="str">
        <f t="shared" si="9"/>
        <v/>
      </c>
      <c r="R32" s="60" t="str">
        <f t="shared" si="9"/>
        <v/>
      </c>
      <c r="S32" s="59" t="str">
        <f t="shared" si="9"/>
        <v/>
      </c>
      <c r="T32" s="60" t="str">
        <f t="shared" si="9"/>
        <v/>
      </c>
      <c r="U32" s="60" t="str">
        <f t="shared" si="9"/>
        <v/>
      </c>
      <c r="V32" s="60" t="str">
        <f t="shared" si="9"/>
        <v/>
      </c>
      <c r="W32" s="59" t="str">
        <f t="shared" si="9"/>
        <v/>
      </c>
      <c r="X32" s="60" t="str">
        <f t="shared" si="9"/>
        <v/>
      </c>
      <c r="Y32" s="59" t="str">
        <f t="shared" si="9"/>
        <v/>
      </c>
      <c r="Z32" s="60" t="str">
        <f t="shared" si="9"/>
        <v/>
      </c>
      <c r="AA32" s="60" t="str">
        <f t="shared" si="9"/>
        <v/>
      </c>
      <c r="AB32" s="60" t="str">
        <f t="shared" si="9"/>
        <v/>
      </c>
      <c r="AC32" s="59" t="str">
        <f t="shared" si="9"/>
        <v/>
      </c>
      <c r="AD32" s="60" t="str">
        <f t="shared" si="9"/>
        <v/>
      </c>
      <c r="AE32" s="60" t="str">
        <f t="shared" si="9"/>
        <v/>
      </c>
      <c r="AF32" s="60" t="str">
        <f t="shared" si="9"/>
        <v/>
      </c>
      <c r="AG32" s="60" t="str">
        <f t="shared" si="9"/>
        <v/>
      </c>
      <c r="AH32" s="60" t="str">
        <f t="shared" si="9"/>
        <v/>
      </c>
      <c r="AI32" s="61" t="str">
        <f t="shared" si="9"/>
        <v/>
      </c>
      <c r="AL32" s="54">
        <f t="shared" si="6"/>
        <v>17</v>
      </c>
      <c r="AM32" s="25">
        <f t="shared" si="3"/>
        <v>27</v>
      </c>
      <c r="AN32" s="69">
        <f t="shared" si="1"/>
        <v>9</v>
      </c>
      <c r="AO32" s="25">
        <f t="shared" si="7"/>
        <v>17</v>
      </c>
      <c r="AP32" s="25" t="str">
        <f t="shared" si="4"/>
        <v xml:space="preserve"> </v>
      </c>
      <c r="AQ32" s="25"/>
      <c r="AR32" s="25"/>
      <c r="AS32" s="25"/>
      <c r="AT32" s="25"/>
      <c r="AU32" s="55"/>
    </row>
    <row r="33" spans="1:47" x14ac:dyDescent="0.3">
      <c r="B33" s="40" t="s">
        <v>10</v>
      </c>
      <c r="C33" s="41">
        <v>28</v>
      </c>
      <c r="D33" s="23">
        <f t="shared" si="0"/>
        <v>476</v>
      </c>
      <c r="F33" s="58"/>
      <c r="G33" s="59" t="str">
        <f t="shared" si="5"/>
        <v/>
      </c>
      <c r="H33" s="60" t="str">
        <f t="shared" si="5"/>
        <v/>
      </c>
      <c r="I33" s="60" t="str">
        <f t="shared" si="5"/>
        <v/>
      </c>
      <c r="J33" s="60" t="str">
        <f t="shared" si="5"/>
        <v/>
      </c>
      <c r="K33" s="60" t="str">
        <f t="shared" si="5"/>
        <v/>
      </c>
      <c r="L33" s="60" t="str">
        <f t="shared" si="5"/>
        <v/>
      </c>
      <c r="M33" s="59" t="str">
        <f t="shared" si="5"/>
        <v/>
      </c>
      <c r="N33" s="60" t="str">
        <f t="shared" si="9"/>
        <v/>
      </c>
      <c r="O33" s="60" t="str">
        <f t="shared" si="9"/>
        <v/>
      </c>
      <c r="P33" s="60" t="str">
        <f t="shared" si="9"/>
        <v/>
      </c>
      <c r="Q33" s="59" t="str">
        <f t="shared" si="9"/>
        <v/>
      </c>
      <c r="R33" s="60" t="str">
        <f t="shared" si="9"/>
        <v/>
      </c>
      <c r="S33" s="59" t="str">
        <f t="shared" si="9"/>
        <v/>
      </c>
      <c r="T33" s="60" t="str">
        <f t="shared" si="9"/>
        <v/>
      </c>
      <c r="U33" s="60" t="str">
        <f t="shared" si="9"/>
        <v/>
      </c>
      <c r="V33" s="60" t="str">
        <f t="shared" si="9"/>
        <v/>
      </c>
      <c r="W33" s="59" t="str">
        <f t="shared" si="9"/>
        <v/>
      </c>
      <c r="X33" s="60" t="str">
        <f t="shared" si="9"/>
        <v/>
      </c>
      <c r="Y33" s="59" t="str">
        <f t="shared" si="9"/>
        <v/>
      </c>
      <c r="Z33" s="60" t="str">
        <f t="shared" si="9"/>
        <v/>
      </c>
      <c r="AA33" s="60" t="str">
        <f t="shared" si="9"/>
        <v/>
      </c>
      <c r="AB33" s="60" t="str">
        <f t="shared" si="9"/>
        <v/>
      </c>
      <c r="AC33" s="59" t="str">
        <f t="shared" si="9"/>
        <v/>
      </c>
      <c r="AD33" s="60" t="str">
        <f t="shared" si="9"/>
        <v/>
      </c>
      <c r="AE33" s="60" t="str">
        <f t="shared" si="9"/>
        <v/>
      </c>
      <c r="AF33" s="60">
        <f t="shared" si="9"/>
        <v>26</v>
      </c>
      <c r="AG33" s="60" t="str">
        <f t="shared" si="9"/>
        <v/>
      </c>
      <c r="AH33" s="60" t="str">
        <f t="shared" si="9"/>
        <v/>
      </c>
      <c r="AI33" s="61" t="str">
        <f t="shared" si="9"/>
        <v/>
      </c>
      <c r="AL33" s="54">
        <f t="shared" si="6"/>
        <v>17</v>
      </c>
      <c r="AM33" s="25">
        <f t="shared" si="3"/>
        <v>28</v>
      </c>
      <c r="AN33" s="69">
        <f t="shared" si="1"/>
        <v>26</v>
      </c>
      <c r="AO33" s="25">
        <f t="shared" si="7"/>
        <v>17</v>
      </c>
      <c r="AP33" s="25" t="str">
        <f t="shared" si="4"/>
        <v xml:space="preserve"> </v>
      </c>
      <c r="AQ33" s="25"/>
      <c r="AR33" s="25"/>
      <c r="AS33" s="25"/>
      <c r="AT33" s="25"/>
      <c r="AU33" s="55"/>
    </row>
    <row r="34" spans="1:47" ht="19.2" thickBot="1" x14ac:dyDescent="0.35">
      <c r="A34" s="23">
        <v>29</v>
      </c>
      <c r="B34" s="42" t="s">
        <v>11</v>
      </c>
      <c r="C34" s="43">
        <v>29</v>
      </c>
      <c r="D34" s="23">
        <f t="shared" si="0"/>
        <v>493</v>
      </c>
      <c r="F34" s="62"/>
      <c r="G34" s="63" t="str">
        <f t="shared" si="5"/>
        <v/>
      </c>
      <c r="H34" s="64" t="str">
        <f t="shared" si="5"/>
        <v/>
      </c>
      <c r="I34" s="64" t="str">
        <f t="shared" si="5"/>
        <v/>
      </c>
      <c r="J34" s="64" t="str">
        <f t="shared" si="5"/>
        <v/>
      </c>
      <c r="K34" s="64" t="str">
        <f t="shared" si="5"/>
        <v/>
      </c>
      <c r="L34" s="64" t="str">
        <f t="shared" si="5"/>
        <v/>
      </c>
      <c r="M34" s="63" t="str">
        <f t="shared" si="5"/>
        <v/>
      </c>
      <c r="N34" s="64" t="str">
        <f t="shared" si="9"/>
        <v/>
      </c>
      <c r="O34" s="64" t="str">
        <f t="shared" si="9"/>
        <v/>
      </c>
      <c r="P34" s="64" t="str">
        <f t="shared" si="9"/>
        <v/>
      </c>
      <c r="Q34" s="63" t="str">
        <f t="shared" si="9"/>
        <v/>
      </c>
      <c r="R34" s="64" t="str">
        <f t="shared" si="9"/>
        <v/>
      </c>
      <c r="S34" s="63">
        <f t="shared" si="9"/>
        <v>13</v>
      </c>
      <c r="T34" s="64" t="str">
        <f t="shared" si="9"/>
        <v/>
      </c>
      <c r="U34" s="64" t="str">
        <f t="shared" si="9"/>
        <v/>
      </c>
      <c r="V34" s="64" t="str">
        <f t="shared" si="9"/>
        <v/>
      </c>
      <c r="W34" s="63" t="str">
        <f t="shared" si="9"/>
        <v/>
      </c>
      <c r="X34" s="64" t="str">
        <f t="shared" si="9"/>
        <v/>
      </c>
      <c r="Y34" s="63" t="str">
        <f t="shared" si="9"/>
        <v/>
      </c>
      <c r="Z34" s="64" t="str">
        <f t="shared" si="9"/>
        <v/>
      </c>
      <c r="AA34" s="64" t="str">
        <f t="shared" si="9"/>
        <v/>
      </c>
      <c r="AB34" s="64" t="str">
        <f t="shared" si="9"/>
        <v/>
      </c>
      <c r="AC34" s="63" t="str">
        <f t="shared" si="9"/>
        <v/>
      </c>
      <c r="AD34" s="64" t="str">
        <f t="shared" si="9"/>
        <v/>
      </c>
      <c r="AE34" s="64" t="str">
        <f t="shared" si="9"/>
        <v/>
      </c>
      <c r="AF34" s="64" t="str">
        <f t="shared" si="9"/>
        <v/>
      </c>
      <c r="AG34" s="64" t="str">
        <f t="shared" si="9"/>
        <v/>
      </c>
      <c r="AH34" s="64" t="str">
        <f t="shared" si="9"/>
        <v/>
      </c>
      <c r="AI34" s="65" t="str">
        <f t="shared" si="9"/>
        <v/>
      </c>
      <c r="AL34" s="54">
        <f t="shared" si="6"/>
        <v>17</v>
      </c>
      <c r="AM34" s="25">
        <f t="shared" si="3"/>
        <v>29</v>
      </c>
      <c r="AN34" s="69">
        <f>SUM(F34:AI34)</f>
        <v>13</v>
      </c>
      <c r="AO34" s="25">
        <f t="shared" si="7"/>
        <v>17</v>
      </c>
      <c r="AP34" s="25" t="str">
        <f t="shared" si="4"/>
        <v>#P</v>
      </c>
      <c r="AQ34" s="25"/>
      <c r="AR34" s="25"/>
      <c r="AS34" s="25"/>
      <c r="AT34" s="25"/>
      <c r="AU34" s="55"/>
    </row>
    <row r="35" spans="1:47" ht="19.2" thickBot="1" x14ac:dyDescent="0.35">
      <c r="D35" s="37">
        <f>D4</f>
        <v>17</v>
      </c>
      <c r="F35" s="23">
        <v>0</v>
      </c>
      <c r="G35" s="24">
        <v>1</v>
      </c>
      <c r="H35" s="23">
        <v>2</v>
      </c>
      <c r="I35" s="23">
        <v>3</v>
      </c>
      <c r="J35" s="23">
        <v>4</v>
      </c>
      <c r="K35" s="23">
        <v>5</v>
      </c>
      <c r="L35" s="23">
        <v>6</v>
      </c>
      <c r="M35" s="24">
        <v>7</v>
      </c>
      <c r="N35" s="23">
        <v>8</v>
      </c>
      <c r="O35" s="23">
        <v>9</v>
      </c>
      <c r="P35" s="23">
        <v>10</v>
      </c>
      <c r="Q35" s="24">
        <v>11</v>
      </c>
      <c r="R35" s="23">
        <v>12</v>
      </c>
      <c r="S35" s="24">
        <v>13</v>
      </c>
      <c r="T35" s="23">
        <v>14</v>
      </c>
      <c r="U35" s="23">
        <v>15</v>
      </c>
      <c r="V35" s="23">
        <v>16</v>
      </c>
      <c r="W35" s="24">
        <v>17</v>
      </c>
      <c r="X35" s="23">
        <v>18</v>
      </c>
      <c r="Y35" s="24">
        <v>19</v>
      </c>
      <c r="Z35" s="23">
        <v>20</v>
      </c>
      <c r="AA35" s="23">
        <v>21</v>
      </c>
      <c r="AB35" s="23">
        <v>22</v>
      </c>
      <c r="AC35" s="24">
        <v>23</v>
      </c>
      <c r="AD35" s="23">
        <v>24</v>
      </c>
      <c r="AE35" s="23">
        <v>25</v>
      </c>
      <c r="AF35" s="23">
        <v>26</v>
      </c>
      <c r="AG35" s="23">
        <v>27</v>
      </c>
      <c r="AH35" s="23">
        <v>28</v>
      </c>
      <c r="AI35" s="24">
        <v>29</v>
      </c>
      <c r="AL35" s="54" t="s">
        <v>6</v>
      </c>
      <c r="AM35" s="25" t="s">
        <v>7</v>
      </c>
      <c r="AN35" s="69" t="s">
        <v>8</v>
      </c>
      <c r="AO35" s="25" t="s">
        <v>9</v>
      </c>
      <c r="AP35" s="25" t="s">
        <v>12</v>
      </c>
      <c r="AQ35" s="25"/>
      <c r="AR35" s="25"/>
      <c r="AS35" s="25"/>
      <c r="AT35" s="25"/>
      <c r="AU35" s="55"/>
    </row>
    <row r="36" spans="1:47" ht="19.8" thickTop="1" thickBot="1" x14ac:dyDescent="0.35">
      <c r="B36" s="72" t="s">
        <v>10</v>
      </c>
      <c r="C36" s="39">
        <v>30</v>
      </c>
      <c r="D36" s="23">
        <f t="shared" ref="D36:D65" si="10">C36*$D$4</f>
        <v>510</v>
      </c>
      <c r="F36" s="49"/>
      <c r="G36" s="50"/>
      <c r="H36" s="51"/>
      <c r="I36" s="51"/>
      <c r="J36" s="51"/>
      <c r="K36" s="51"/>
      <c r="L36" s="51"/>
      <c r="M36" s="50"/>
      <c r="N36" s="51"/>
      <c r="O36" s="51"/>
      <c r="P36" s="51"/>
      <c r="Q36" s="50"/>
      <c r="R36" s="51"/>
      <c r="S36" s="50"/>
      <c r="T36" s="51"/>
      <c r="U36" s="48"/>
      <c r="V36" s="51"/>
      <c r="W36" s="50"/>
      <c r="X36" s="51"/>
      <c r="Y36" s="50"/>
      <c r="Z36" s="51"/>
      <c r="AA36" s="51"/>
      <c r="AB36" s="51"/>
      <c r="AC36" s="50"/>
      <c r="AD36" s="51"/>
      <c r="AE36" s="51"/>
      <c r="AF36" s="51"/>
      <c r="AG36" s="51"/>
      <c r="AH36" s="51"/>
      <c r="AI36" s="52"/>
      <c r="AL36" s="54">
        <f>D35</f>
        <v>17</v>
      </c>
      <c r="AM36" s="25">
        <f t="shared" ref="AM36:AM65" si="11">C36</f>
        <v>30</v>
      </c>
      <c r="AN36" s="69">
        <f t="shared" ref="AN36:AN64" si="12">30+SUM(F36:AI36)</f>
        <v>30</v>
      </c>
      <c r="AO36" s="66">
        <f>AO34</f>
        <v>17</v>
      </c>
      <c r="AP36" s="25" t="str">
        <f t="shared" ref="AP36:AP65" si="13">B36</f>
        <v xml:space="preserve"> </v>
      </c>
      <c r="AQ36" s="25"/>
      <c r="AR36" s="25"/>
      <c r="AS36" s="25"/>
      <c r="AT36" s="25"/>
      <c r="AU36" s="55"/>
    </row>
    <row r="37" spans="1:47" x14ac:dyDescent="0.3">
      <c r="A37" s="23">
        <v>31</v>
      </c>
      <c r="B37" s="40" t="s">
        <v>11</v>
      </c>
      <c r="C37" s="41">
        <v>31</v>
      </c>
      <c r="D37" s="23">
        <f t="shared" si="10"/>
        <v>527</v>
      </c>
      <c r="F37" s="58"/>
      <c r="G37" s="59" t="str">
        <f>IF((MOD(($D37-G$4),30)=0),G$4,"")</f>
        <v/>
      </c>
      <c r="H37" s="60" t="str">
        <f t="shared" ref="H37:AI48" si="14">IF((MOD(($D37-H$4),30)=0),H$4,"")</f>
        <v/>
      </c>
      <c r="I37" s="60" t="str">
        <f t="shared" si="14"/>
        <v/>
      </c>
      <c r="J37" s="60" t="str">
        <f t="shared" si="14"/>
        <v/>
      </c>
      <c r="K37" s="60" t="str">
        <f t="shared" si="14"/>
        <v/>
      </c>
      <c r="L37" s="60" t="str">
        <f t="shared" si="14"/>
        <v/>
      </c>
      <c r="M37" s="59" t="str">
        <f t="shared" si="14"/>
        <v/>
      </c>
      <c r="N37" s="60" t="str">
        <f t="shared" si="14"/>
        <v/>
      </c>
      <c r="O37" s="60" t="str">
        <f t="shared" si="14"/>
        <v/>
      </c>
      <c r="P37" s="60" t="str">
        <f t="shared" si="14"/>
        <v/>
      </c>
      <c r="Q37" s="59" t="str">
        <f t="shared" si="14"/>
        <v/>
      </c>
      <c r="R37" s="60" t="str">
        <f t="shared" si="14"/>
        <v/>
      </c>
      <c r="S37" s="59" t="str">
        <f t="shared" si="14"/>
        <v/>
      </c>
      <c r="T37" s="60" t="str">
        <f t="shared" si="14"/>
        <v/>
      </c>
      <c r="U37" s="60" t="str">
        <f t="shared" si="14"/>
        <v/>
      </c>
      <c r="V37" s="60" t="str">
        <f t="shared" si="14"/>
        <v/>
      </c>
      <c r="W37" s="59">
        <f t="shared" si="14"/>
        <v>17</v>
      </c>
      <c r="X37" s="60" t="str">
        <f t="shared" si="14"/>
        <v/>
      </c>
      <c r="Y37" s="59" t="str">
        <f t="shared" si="14"/>
        <v/>
      </c>
      <c r="Z37" s="60" t="str">
        <f t="shared" si="14"/>
        <v/>
      </c>
      <c r="AA37" s="60" t="str">
        <f t="shared" si="14"/>
        <v/>
      </c>
      <c r="AB37" s="60" t="str">
        <f t="shared" si="14"/>
        <v/>
      </c>
      <c r="AC37" s="59" t="str">
        <f t="shared" si="14"/>
        <v/>
      </c>
      <c r="AD37" s="60" t="str">
        <f t="shared" si="14"/>
        <v/>
      </c>
      <c r="AE37" s="60" t="str">
        <f t="shared" si="14"/>
        <v/>
      </c>
      <c r="AF37" s="60" t="str">
        <f t="shared" si="14"/>
        <v/>
      </c>
      <c r="AG37" s="60" t="str">
        <f t="shared" si="14"/>
        <v/>
      </c>
      <c r="AH37" s="60" t="str">
        <f t="shared" si="14"/>
        <v/>
      </c>
      <c r="AI37" s="61" t="str">
        <f t="shared" si="14"/>
        <v/>
      </c>
      <c r="AL37" s="54">
        <f>AL36</f>
        <v>17</v>
      </c>
      <c r="AM37" s="25">
        <f t="shared" si="11"/>
        <v>31</v>
      </c>
      <c r="AN37" s="69">
        <f t="shared" si="12"/>
        <v>47</v>
      </c>
      <c r="AO37" s="25">
        <f>AO36</f>
        <v>17</v>
      </c>
      <c r="AP37" s="25" t="str">
        <f t="shared" si="13"/>
        <v>#P</v>
      </c>
      <c r="AQ37" s="25"/>
      <c r="AR37" s="25"/>
      <c r="AS37" s="25"/>
      <c r="AT37" s="25"/>
      <c r="AU37" s="55"/>
    </row>
    <row r="38" spans="1:47" x14ac:dyDescent="0.3">
      <c r="B38" s="40" t="s">
        <v>10</v>
      </c>
      <c r="C38" s="41">
        <v>32</v>
      </c>
      <c r="D38" s="23">
        <f t="shared" si="10"/>
        <v>544</v>
      </c>
      <c r="F38" s="58"/>
      <c r="G38" s="59" t="str">
        <f t="shared" ref="G38:V59" si="15">IF((MOD(($D38-G$4),30)=0),G$4,"")</f>
        <v/>
      </c>
      <c r="H38" s="60" t="str">
        <f t="shared" si="15"/>
        <v/>
      </c>
      <c r="I38" s="60" t="str">
        <f t="shared" si="15"/>
        <v/>
      </c>
      <c r="J38" s="60">
        <f t="shared" si="15"/>
        <v>4</v>
      </c>
      <c r="K38" s="60" t="str">
        <f t="shared" si="15"/>
        <v/>
      </c>
      <c r="L38" s="60" t="str">
        <f t="shared" si="15"/>
        <v/>
      </c>
      <c r="M38" s="59" t="str">
        <f t="shared" si="15"/>
        <v/>
      </c>
      <c r="N38" s="60" t="str">
        <f t="shared" si="15"/>
        <v/>
      </c>
      <c r="O38" s="60" t="str">
        <f t="shared" si="15"/>
        <v/>
      </c>
      <c r="P38" s="60" t="str">
        <f t="shared" si="15"/>
        <v/>
      </c>
      <c r="Q38" s="59" t="str">
        <f t="shared" si="15"/>
        <v/>
      </c>
      <c r="R38" s="60" t="str">
        <f t="shared" si="15"/>
        <v/>
      </c>
      <c r="S38" s="59" t="str">
        <f t="shared" si="15"/>
        <v/>
      </c>
      <c r="T38" s="60" t="str">
        <f t="shared" si="15"/>
        <v/>
      </c>
      <c r="U38" s="60" t="str">
        <f t="shared" si="15"/>
        <v/>
      </c>
      <c r="V38" s="60" t="str">
        <f t="shared" si="15"/>
        <v/>
      </c>
      <c r="W38" s="59" t="str">
        <f t="shared" si="14"/>
        <v/>
      </c>
      <c r="X38" s="60" t="str">
        <f t="shared" si="14"/>
        <v/>
      </c>
      <c r="Y38" s="59" t="str">
        <f t="shared" si="14"/>
        <v/>
      </c>
      <c r="Z38" s="60" t="str">
        <f t="shared" si="14"/>
        <v/>
      </c>
      <c r="AA38" s="60" t="str">
        <f t="shared" si="14"/>
        <v/>
      </c>
      <c r="AB38" s="60" t="str">
        <f t="shared" si="14"/>
        <v/>
      </c>
      <c r="AC38" s="59" t="str">
        <f t="shared" si="14"/>
        <v/>
      </c>
      <c r="AD38" s="60" t="str">
        <f t="shared" si="14"/>
        <v/>
      </c>
      <c r="AE38" s="60" t="str">
        <f t="shared" si="14"/>
        <v/>
      </c>
      <c r="AF38" s="60" t="str">
        <f t="shared" si="14"/>
        <v/>
      </c>
      <c r="AG38" s="60" t="str">
        <f t="shared" si="14"/>
        <v/>
      </c>
      <c r="AH38" s="60" t="str">
        <f t="shared" si="14"/>
        <v/>
      </c>
      <c r="AI38" s="61" t="str">
        <f t="shared" si="14"/>
        <v/>
      </c>
      <c r="AL38" s="54">
        <f t="shared" ref="AL38:AL65" si="16">AL37</f>
        <v>17</v>
      </c>
      <c r="AM38" s="25">
        <f t="shared" si="11"/>
        <v>32</v>
      </c>
      <c r="AN38" s="69">
        <f t="shared" si="12"/>
        <v>34</v>
      </c>
      <c r="AO38" s="25">
        <f t="shared" ref="AO38:AO65" si="17">AO37</f>
        <v>17</v>
      </c>
      <c r="AP38" s="25" t="str">
        <f t="shared" si="13"/>
        <v xml:space="preserve"> </v>
      </c>
      <c r="AQ38" s="25"/>
      <c r="AR38" s="25"/>
      <c r="AS38" s="25"/>
      <c r="AT38" s="25"/>
      <c r="AU38" s="55"/>
    </row>
    <row r="39" spans="1:47" x14ac:dyDescent="0.3">
      <c r="B39" s="40" t="s">
        <v>10</v>
      </c>
      <c r="C39" s="41">
        <v>33</v>
      </c>
      <c r="D39" s="23">
        <f t="shared" si="10"/>
        <v>561</v>
      </c>
      <c r="F39" s="58"/>
      <c r="G39" s="59" t="str">
        <f t="shared" si="15"/>
        <v/>
      </c>
      <c r="H39" s="60" t="str">
        <f t="shared" si="15"/>
        <v/>
      </c>
      <c r="I39" s="60" t="str">
        <f t="shared" si="15"/>
        <v/>
      </c>
      <c r="J39" s="60" t="str">
        <f t="shared" si="15"/>
        <v/>
      </c>
      <c r="K39" s="60" t="str">
        <f t="shared" si="15"/>
        <v/>
      </c>
      <c r="L39" s="60" t="str">
        <f t="shared" si="15"/>
        <v/>
      </c>
      <c r="M39" s="59" t="str">
        <f t="shared" si="15"/>
        <v/>
      </c>
      <c r="N39" s="60" t="str">
        <f t="shared" si="14"/>
        <v/>
      </c>
      <c r="O39" s="60" t="str">
        <f t="shared" si="14"/>
        <v/>
      </c>
      <c r="P39" s="60" t="str">
        <f t="shared" si="14"/>
        <v/>
      </c>
      <c r="Q39" s="59" t="str">
        <f t="shared" si="14"/>
        <v/>
      </c>
      <c r="R39" s="60" t="str">
        <f t="shared" si="14"/>
        <v/>
      </c>
      <c r="S39" s="59" t="str">
        <f t="shared" si="14"/>
        <v/>
      </c>
      <c r="T39" s="60" t="str">
        <f t="shared" si="14"/>
        <v/>
      </c>
      <c r="U39" s="60" t="str">
        <f t="shared" si="14"/>
        <v/>
      </c>
      <c r="V39" s="60" t="str">
        <f t="shared" si="14"/>
        <v/>
      </c>
      <c r="W39" s="59" t="str">
        <f t="shared" si="14"/>
        <v/>
      </c>
      <c r="X39" s="60" t="str">
        <f t="shared" si="14"/>
        <v/>
      </c>
      <c r="Y39" s="59" t="str">
        <f t="shared" si="14"/>
        <v/>
      </c>
      <c r="Z39" s="60" t="str">
        <f t="shared" si="14"/>
        <v/>
      </c>
      <c r="AA39" s="60">
        <f t="shared" si="14"/>
        <v>21</v>
      </c>
      <c r="AB39" s="60" t="str">
        <f t="shared" si="14"/>
        <v/>
      </c>
      <c r="AC39" s="59" t="str">
        <f t="shared" si="14"/>
        <v/>
      </c>
      <c r="AD39" s="60" t="str">
        <f t="shared" si="14"/>
        <v/>
      </c>
      <c r="AE39" s="60" t="str">
        <f t="shared" si="14"/>
        <v/>
      </c>
      <c r="AF39" s="60" t="str">
        <f t="shared" si="14"/>
        <v/>
      </c>
      <c r="AG39" s="60" t="str">
        <f t="shared" si="14"/>
        <v/>
      </c>
      <c r="AH39" s="60" t="str">
        <f t="shared" si="14"/>
        <v/>
      </c>
      <c r="AI39" s="61" t="str">
        <f t="shared" si="14"/>
        <v/>
      </c>
      <c r="AL39" s="54">
        <f t="shared" si="16"/>
        <v>17</v>
      </c>
      <c r="AM39" s="25">
        <f t="shared" si="11"/>
        <v>33</v>
      </c>
      <c r="AN39" s="69">
        <f t="shared" si="12"/>
        <v>51</v>
      </c>
      <c r="AO39" s="25">
        <f t="shared" si="17"/>
        <v>17</v>
      </c>
      <c r="AP39" s="25" t="str">
        <f t="shared" si="13"/>
        <v xml:space="preserve"> </v>
      </c>
      <c r="AQ39" s="25"/>
      <c r="AR39" s="25"/>
      <c r="AS39" s="25"/>
      <c r="AT39" s="25"/>
      <c r="AU39" s="55"/>
    </row>
    <row r="40" spans="1:47" x14ac:dyDescent="0.3">
      <c r="B40" s="40" t="s">
        <v>10</v>
      </c>
      <c r="C40" s="41">
        <v>34</v>
      </c>
      <c r="D40" s="23">
        <f t="shared" si="10"/>
        <v>578</v>
      </c>
      <c r="F40" s="58"/>
      <c r="G40" s="59" t="str">
        <f t="shared" si="15"/>
        <v/>
      </c>
      <c r="H40" s="60" t="str">
        <f t="shared" si="15"/>
        <v/>
      </c>
      <c r="I40" s="60" t="str">
        <f t="shared" si="15"/>
        <v/>
      </c>
      <c r="J40" s="60" t="str">
        <f t="shared" si="15"/>
        <v/>
      </c>
      <c r="K40" s="60" t="str">
        <f t="shared" si="15"/>
        <v/>
      </c>
      <c r="L40" s="60" t="str">
        <f t="shared" si="15"/>
        <v/>
      </c>
      <c r="M40" s="59" t="str">
        <f t="shared" si="15"/>
        <v/>
      </c>
      <c r="N40" s="60">
        <f t="shared" si="14"/>
        <v>8</v>
      </c>
      <c r="O40" s="60" t="str">
        <f t="shared" si="14"/>
        <v/>
      </c>
      <c r="P40" s="60" t="str">
        <f t="shared" si="14"/>
        <v/>
      </c>
      <c r="Q40" s="59" t="str">
        <f t="shared" si="14"/>
        <v/>
      </c>
      <c r="R40" s="60" t="str">
        <f t="shared" si="14"/>
        <v/>
      </c>
      <c r="S40" s="59" t="str">
        <f t="shared" si="14"/>
        <v/>
      </c>
      <c r="T40" s="60" t="str">
        <f t="shared" si="14"/>
        <v/>
      </c>
      <c r="U40" s="60" t="str">
        <f t="shared" si="14"/>
        <v/>
      </c>
      <c r="V40" s="60" t="str">
        <f t="shared" si="14"/>
        <v/>
      </c>
      <c r="W40" s="59" t="str">
        <f t="shared" si="14"/>
        <v/>
      </c>
      <c r="X40" s="60" t="str">
        <f t="shared" si="14"/>
        <v/>
      </c>
      <c r="Y40" s="59" t="str">
        <f t="shared" si="14"/>
        <v/>
      </c>
      <c r="Z40" s="60" t="str">
        <f t="shared" si="14"/>
        <v/>
      </c>
      <c r="AA40" s="60" t="str">
        <f t="shared" si="14"/>
        <v/>
      </c>
      <c r="AB40" s="60" t="str">
        <f t="shared" si="14"/>
        <v/>
      </c>
      <c r="AC40" s="59" t="str">
        <f t="shared" si="14"/>
        <v/>
      </c>
      <c r="AD40" s="60" t="str">
        <f t="shared" si="14"/>
        <v/>
      </c>
      <c r="AE40" s="60" t="str">
        <f t="shared" si="14"/>
        <v/>
      </c>
      <c r="AF40" s="60" t="str">
        <f t="shared" si="14"/>
        <v/>
      </c>
      <c r="AG40" s="60" t="str">
        <f t="shared" si="14"/>
        <v/>
      </c>
      <c r="AH40" s="60" t="str">
        <f t="shared" si="14"/>
        <v/>
      </c>
      <c r="AI40" s="61" t="str">
        <f t="shared" si="14"/>
        <v/>
      </c>
      <c r="AL40" s="54">
        <f t="shared" si="16"/>
        <v>17</v>
      </c>
      <c r="AM40" s="25">
        <f t="shared" si="11"/>
        <v>34</v>
      </c>
      <c r="AN40" s="69">
        <f t="shared" si="12"/>
        <v>38</v>
      </c>
      <c r="AO40" s="25">
        <f t="shared" si="17"/>
        <v>17</v>
      </c>
      <c r="AP40" s="25" t="str">
        <f t="shared" si="13"/>
        <v xml:space="preserve"> </v>
      </c>
      <c r="AQ40" s="25"/>
      <c r="AR40" s="25"/>
      <c r="AS40" s="25"/>
      <c r="AT40" s="25"/>
      <c r="AU40" s="55"/>
    </row>
    <row r="41" spans="1:47" x14ac:dyDescent="0.3">
      <c r="B41" s="40" t="s">
        <v>10</v>
      </c>
      <c r="C41" s="41">
        <v>35</v>
      </c>
      <c r="D41" s="23">
        <f t="shared" si="10"/>
        <v>595</v>
      </c>
      <c r="F41" s="58"/>
      <c r="G41" s="59" t="str">
        <f t="shared" si="15"/>
        <v/>
      </c>
      <c r="H41" s="60" t="str">
        <f t="shared" si="15"/>
        <v/>
      </c>
      <c r="I41" s="60" t="str">
        <f t="shared" si="15"/>
        <v/>
      </c>
      <c r="J41" s="60" t="str">
        <f t="shared" si="15"/>
        <v/>
      </c>
      <c r="K41" s="60" t="str">
        <f t="shared" si="15"/>
        <v/>
      </c>
      <c r="L41" s="60" t="str">
        <f t="shared" si="15"/>
        <v/>
      </c>
      <c r="M41" s="59" t="str">
        <f t="shared" si="15"/>
        <v/>
      </c>
      <c r="N41" s="60" t="str">
        <f t="shared" si="14"/>
        <v/>
      </c>
      <c r="O41" s="60" t="str">
        <f t="shared" si="14"/>
        <v/>
      </c>
      <c r="P41" s="60" t="str">
        <f t="shared" si="14"/>
        <v/>
      </c>
      <c r="Q41" s="59" t="str">
        <f t="shared" si="14"/>
        <v/>
      </c>
      <c r="R41" s="60" t="str">
        <f t="shared" si="14"/>
        <v/>
      </c>
      <c r="S41" s="59" t="str">
        <f t="shared" si="14"/>
        <v/>
      </c>
      <c r="T41" s="60" t="str">
        <f t="shared" si="14"/>
        <v/>
      </c>
      <c r="U41" s="60" t="str">
        <f t="shared" si="14"/>
        <v/>
      </c>
      <c r="V41" s="60" t="str">
        <f t="shared" si="14"/>
        <v/>
      </c>
      <c r="W41" s="59" t="str">
        <f t="shared" si="14"/>
        <v/>
      </c>
      <c r="X41" s="60" t="str">
        <f t="shared" si="14"/>
        <v/>
      </c>
      <c r="Y41" s="59" t="str">
        <f t="shared" si="14"/>
        <v/>
      </c>
      <c r="Z41" s="60" t="str">
        <f t="shared" si="14"/>
        <v/>
      </c>
      <c r="AA41" s="60" t="str">
        <f t="shared" si="14"/>
        <v/>
      </c>
      <c r="AB41" s="60" t="str">
        <f t="shared" si="14"/>
        <v/>
      </c>
      <c r="AC41" s="59" t="str">
        <f t="shared" si="14"/>
        <v/>
      </c>
      <c r="AD41" s="60" t="str">
        <f t="shared" si="14"/>
        <v/>
      </c>
      <c r="AE41" s="60">
        <f t="shared" si="14"/>
        <v>25</v>
      </c>
      <c r="AF41" s="60" t="str">
        <f t="shared" si="14"/>
        <v/>
      </c>
      <c r="AG41" s="60" t="str">
        <f t="shared" si="14"/>
        <v/>
      </c>
      <c r="AH41" s="60" t="str">
        <f t="shared" si="14"/>
        <v/>
      </c>
      <c r="AI41" s="61" t="str">
        <f t="shared" si="14"/>
        <v/>
      </c>
      <c r="AL41" s="54">
        <f t="shared" si="16"/>
        <v>17</v>
      </c>
      <c r="AM41" s="25">
        <f t="shared" si="11"/>
        <v>35</v>
      </c>
      <c r="AN41" s="69">
        <f t="shared" si="12"/>
        <v>55</v>
      </c>
      <c r="AO41" s="25">
        <f t="shared" si="17"/>
        <v>17</v>
      </c>
      <c r="AP41" s="25" t="str">
        <f t="shared" si="13"/>
        <v xml:space="preserve"> </v>
      </c>
      <c r="AQ41" s="25"/>
      <c r="AR41" s="25"/>
      <c r="AS41" s="25"/>
      <c r="AT41" s="25"/>
      <c r="AU41" s="55"/>
    </row>
    <row r="42" spans="1:47" x14ac:dyDescent="0.3">
      <c r="B42" s="40" t="s">
        <v>10</v>
      </c>
      <c r="C42" s="41">
        <v>36</v>
      </c>
      <c r="D42" s="23">
        <f t="shared" si="10"/>
        <v>612</v>
      </c>
      <c r="F42" s="58"/>
      <c r="G42" s="59" t="str">
        <f t="shared" si="15"/>
        <v/>
      </c>
      <c r="H42" s="60" t="str">
        <f t="shared" si="15"/>
        <v/>
      </c>
      <c r="I42" s="60" t="str">
        <f t="shared" si="15"/>
        <v/>
      </c>
      <c r="J42" s="60" t="str">
        <f t="shared" si="15"/>
        <v/>
      </c>
      <c r="K42" s="60" t="str">
        <f t="shared" si="15"/>
        <v/>
      </c>
      <c r="L42" s="60" t="str">
        <f t="shared" si="15"/>
        <v/>
      </c>
      <c r="M42" s="59" t="str">
        <f t="shared" si="15"/>
        <v/>
      </c>
      <c r="N42" s="60" t="str">
        <f t="shared" si="14"/>
        <v/>
      </c>
      <c r="O42" s="60" t="str">
        <f t="shared" si="14"/>
        <v/>
      </c>
      <c r="P42" s="60" t="str">
        <f t="shared" si="14"/>
        <v/>
      </c>
      <c r="Q42" s="59" t="str">
        <f t="shared" si="14"/>
        <v/>
      </c>
      <c r="R42" s="60">
        <f t="shared" si="14"/>
        <v>12</v>
      </c>
      <c r="S42" s="59" t="str">
        <f t="shared" si="14"/>
        <v/>
      </c>
      <c r="T42" s="60" t="str">
        <f t="shared" si="14"/>
        <v/>
      </c>
      <c r="U42" s="60" t="str">
        <f t="shared" si="14"/>
        <v/>
      </c>
      <c r="V42" s="60" t="str">
        <f t="shared" si="14"/>
        <v/>
      </c>
      <c r="W42" s="59" t="str">
        <f t="shared" si="14"/>
        <v/>
      </c>
      <c r="X42" s="60" t="str">
        <f t="shared" si="14"/>
        <v/>
      </c>
      <c r="Y42" s="59" t="str">
        <f t="shared" si="14"/>
        <v/>
      </c>
      <c r="Z42" s="60" t="str">
        <f t="shared" si="14"/>
        <v/>
      </c>
      <c r="AA42" s="60" t="str">
        <f t="shared" si="14"/>
        <v/>
      </c>
      <c r="AB42" s="60" t="str">
        <f t="shared" si="14"/>
        <v/>
      </c>
      <c r="AC42" s="59" t="str">
        <f t="shared" si="14"/>
        <v/>
      </c>
      <c r="AD42" s="60" t="str">
        <f t="shared" si="14"/>
        <v/>
      </c>
      <c r="AE42" s="60" t="str">
        <f t="shared" si="14"/>
        <v/>
      </c>
      <c r="AF42" s="60" t="str">
        <f t="shared" si="14"/>
        <v/>
      </c>
      <c r="AG42" s="60" t="str">
        <f t="shared" si="14"/>
        <v/>
      </c>
      <c r="AH42" s="60" t="str">
        <f t="shared" si="14"/>
        <v/>
      </c>
      <c r="AI42" s="61" t="str">
        <f t="shared" si="14"/>
        <v/>
      </c>
      <c r="AL42" s="54">
        <f t="shared" si="16"/>
        <v>17</v>
      </c>
      <c r="AM42" s="25">
        <f t="shared" si="11"/>
        <v>36</v>
      </c>
      <c r="AN42" s="69">
        <f t="shared" si="12"/>
        <v>42</v>
      </c>
      <c r="AO42" s="25">
        <f t="shared" si="17"/>
        <v>17</v>
      </c>
      <c r="AP42" s="25" t="str">
        <f t="shared" si="13"/>
        <v xml:space="preserve"> </v>
      </c>
      <c r="AQ42" s="25"/>
      <c r="AR42" s="25"/>
      <c r="AS42" s="25"/>
      <c r="AT42" s="25"/>
      <c r="AU42" s="55"/>
    </row>
    <row r="43" spans="1:47" x14ac:dyDescent="0.3">
      <c r="A43" s="23">
        <v>37</v>
      </c>
      <c r="B43" s="40" t="s">
        <v>11</v>
      </c>
      <c r="C43" s="41">
        <v>37</v>
      </c>
      <c r="D43" s="23">
        <f t="shared" si="10"/>
        <v>629</v>
      </c>
      <c r="F43" s="58"/>
      <c r="G43" s="59" t="str">
        <f t="shared" si="15"/>
        <v/>
      </c>
      <c r="H43" s="60" t="str">
        <f t="shared" si="15"/>
        <v/>
      </c>
      <c r="I43" s="60" t="str">
        <f t="shared" si="15"/>
        <v/>
      </c>
      <c r="J43" s="60" t="str">
        <f t="shared" si="15"/>
        <v/>
      </c>
      <c r="K43" s="60" t="str">
        <f t="shared" si="15"/>
        <v/>
      </c>
      <c r="L43" s="60" t="str">
        <f t="shared" si="15"/>
        <v/>
      </c>
      <c r="M43" s="59" t="str">
        <f t="shared" si="15"/>
        <v/>
      </c>
      <c r="N43" s="60" t="str">
        <f t="shared" si="14"/>
        <v/>
      </c>
      <c r="O43" s="60" t="str">
        <f t="shared" si="14"/>
        <v/>
      </c>
      <c r="P43" s="60" t="str">
        <f t="shared" si="14"/>
        <v/>
      </c>
      <c r="Q43" s="59" t="str">
        <f t="shared" si="14"/>
        <v/>
      </c>
      <c r="R43" s="60" t="str">
        <f t="shared" si="14"/>
        <v/>
      </c>
      <c r="S43" s="59" t="str">
        <f t="shared" si="14"/>
        <v/>
      </c>
      <c r="T43" s="60" t="str">
        <f t="shared" si="14"/>
        <v/>
      </c>
      <c r="U43" s="60" t="str">
        <f t="shared" si="14"/>
        <v/>
      </c>
      <c r="V43" s="60" t="str">
        <f t="shared" si="14"/>
        <v/>
      </c>
      <c r="W43" s="59" t="str">
        <f t="shared" si="14"/>
        <v/>
      </c>
      <c r="X43" s="60" t="str">
        <f t="shared" si="14"/>
        <v/>
      </c>
      <c r="Y43" s="59" t="str">
        <f t="shared" si="14"/>
        <v/>
      </c>
      <c r="Z43" s="60" t="str">
        <f t="shared" si="14"/>
        <v/>
      </c>
      <c r="AA43" s="60" t="str">
        <f t="shared" si="14"/>
        <v/>
      </c>
      <c r="AB43" s="60" t="str">
        <f t="shared" si="14"/>
        <v/>
      </c>
      <c r="AC43" s="59" t="str">
        <f t="shared" si="14"/>
        <v/>
      </c>
      <c r="AD43" s="60" t="str">
        <f t="shared" si="14"/>
        <v/>
      </c>
      <c r="AE43" s="60" t="str">
        <f t="shared" si="14"/>
        <v/>
      </c>
      <c r="AF43" s="60" t="str">
        <f t="shared" si="14"/>
        <v/>
      </c>
      <c r="AG43" s="60" t="str">
        <f t="shared" si="14"/>
        <v/>
      </c>
      <c r="AH43" s="60" t="str">
        <f t="shared" si="14"/>
        <v/>
      </c>
      <c r="AI43" s="61">
        <f t="shared" si="14"/>
        <v>29</v>
      </c>
      <c r="AL43" s="54">
        <f t="shared" si="16"/>
        <v>17</v>
      </c>
      <c r="AM43" s="25">
        <f t="shared" si="11"/>
        <v>37</v>
      </c>
      <c r="AN43" s="69">
        <f t="shared" si="12"/>
        <v>59</v>
      </c>
      <c r="AO43" s="25">
        <f t="shared" si="17"/>
        <v>17</v>
      </c>
      <c r="AP43" s="25" t="str">
        <f t="shared" si="13"/>
        <v>#P</v>
      </c>
      <c r="AQ43" s="25"/>
      <c r="AR43" s="25"/>
      <c r="AS43" s="25"/>
      <c r="AT43" s="25"/>
      <c r="AU43" s="55"/>
    </row>
    <row r="44" spans="1:47" x14ac:dyDescent="0.3">
      <c r="B44" s="40" t="s">
        <v>10</v>
      </c>
      <c r="C44" s="41">
        <v>38</v>
      </c>
      <c r="D44" s="23">
        <f t="shared" si="10"/>
        <v>646</v>
      </c>
      <c r="F44" s="58"/>
      <c r="G44" s="59" t="str">
        <f t="shared" si="15"/>
        <v/>
      </c>
      <c r="H44" s="60" t="str">
        <f t="shared" si="15"/>
        <v/>
      </c>
      <c r="I44" s="60" t="str">
        <f t="shared" si="15"/>
        <v/>
      </c>
      <c r="J44" s="60" t="str">
        <f t="shared" si="15"/>
        <v/>
      </c>
      <c r="K44" s="60" t="str">
        <f t="shared" si="15"/>
        <v/>
      </c>
      <c r="L44" s="60" t="str">
        <f t="shared" si="15"/>
        <v/>
      </c>
      <c r="M44" s="59" t="str">
        <f t="shared" si="15"/>
        <v/>
      </c>
      <c r="N44" s="60" t="str">
        <f t="shared" si="14"/>
        <v/>
      </c>
      <c r="O44" s="60" t="str">
        <f t="shared" si="14"/>
        <v/>
      </c>
      <c r="P44" s="60" t="str">
        <f t="shared" si="14"/>
        <v/>
      </c>
      <c r="Q44" s="59" t="str">
        <f t="shared" si="14"/>
        <v/>
      </c>
      <c r="R44" s="60" t="str">
        <f t="shared" si="14"/>
        <v/>
      </c>
      <c r="S44" s="59" t="str">
        <f t="shared" si="14"/>
        <v/>
      </c>
      <c r="T44" s="60" t="str">
        <f t="shared" si="14"/>
        <v/>
      </c>
      <c r="U44" s="60" t="str">
        <f t="shared" si="14"/>
        <v/>
      </c>
      <c r="V44" s="60">
        <f t="shared" si="14"/>
        <v>16</v>
      </c>
      <c r="W44" s="59" t="str">
        <f t="shared" si="14"/>
        <v/>
      </c>
      <c r="X44" s="60" t="str">
        <f t="shared" si="14"/>
        <v/>
      </c>
      <c r="Y44" s="59" t="str">
        <f t="shared" si="14"/>
        <v/>
      </c>
      <c r="Z44" s="60" t="str">
        <f t="shared" si="14"/>
        <v/>
      </c>
      <c r="AA44" s="60" t="str">
        <f t="shared" si="14"/>
        <v/>
      </c>
      <c r="AB44" s="60" t="str">
        <f t="shared" si="14"/>
        <v/>
      </c>
      <c r="AC44" s="59" t="str">
        <f t="shared" si="14"/>
        <v/>
      </c>
      <c r="AD44" s="60" t="str">
        <f t="shared" si="14"/>
        <v/>
      </c>
      <c r="AE44" s="60" t="str">
        <f t="shared" si="14"/>
        <v/>
      </c>
      <c r="AF44" s="60" t="str">
        <f t="shared" si="14"/>
        <v/>
      </c>
      <c r="AG44" s="60" t="str">
        <f t="shared" si="14"/>
        <v/>
      </c>
      <c r="AH44" s="60" t="str">
        <f t="shared" si="14"/>
        <v/>
      </c>
      <c r="AI44" s="61" t="str">
        <f t="shared" si="14"/>
        <v/>
      </c>
      <c r="AL44" s="54">
        <f t="shared" si="16"/>
        <v>17</v>
      </c>
      <c r="AM44" s="25">
        <f t="shared" si="11"/>
        <v>38</v>
      </c>
      <c r="AN44" s="69">
        <f t="shared" si="12"/>
        <v>46</v>
      </c>
      <c r="AO44" s="25">
        <f t="shared" si="17"/>
        <v>17</v>
      </c>
      <c r="AP44" s="25" t="str">
        <f t="shared" si="13"/>
        <v xml:space="preserve"> </v>
      </c>
      <c r="AQ44" s="25"/>
      <c r="AR44" s="25"/>
      <c r="AS44" s="25"/>
      <c r="AT44" s="25"/>
      <c r="AU44" s="55"/>
    </row>
    <row r="45" spans="1:47" x14ac:dyDescent="0.3">
      <c r="B45" s="40" t="s">
        <v>10</v>
      </c>
      <c r="C45" s="41">
        <v>39</v>
      </c>
      <c r="D45" s="23">
        <f t="shared" si="10"/>
        <v>663</v>
      </c>
      <c r="F45" s="58"/>
      <c r="G45" s="59" t="str">
        <f t="shared" si="15"/>
        <v/>
      </c>
      <c r="H45" s="60" t="str">
        <f t="shared" si="15"/>
        <v/>
      </c>
      <c r="I45" s="60">
        <f t="shared" si="15"/>
        <v>3</v>
      </c>
      <c r="J45" s="60" t="str">
        <f t="shared" si="15"/>
        <v/>
      </c>
      <c r="K45" s="60" t="str">
        <f t="shared" si="15"/>
        <v/>
      </c>
      <c r="L45" s="60" t="str">
        <f t="shared" si="15"/>
        <v/>
      </c>
      <c r="M45" s="59" t="str">
        <f t="shared" si="15"/>
        <v/>
      </c>
      <c r="N45" s="60" t="str">
        <f t="shared" si="14"/>
        <v/>
      </c>
      <c r="O45" s="60" t="str">
        <f t="shared" si="14"/>
        <v/>
      </c>
      <c r="P45" s="60" t="str">
        <f t="shared" si="14"/>
        <v/>
      </c>
      <c r="Q45" s="59" t="str">
        <f t="shared" si="14"/>
        <v/>
      </c>
      <c r="R45" s="60" t="str">
        <f t="shared" si="14"/>
        <v/>
      </c>
      <c r="S45" s="59" t="str">
        <f t="shared" si="14"/>
        <v/>
      </c>
      <c r="T45" s="60" t="str">
        <f t="shared" si="14"/>
        <v/>
      </c>
      <c r="U45" s="60" t="str">
        <f t="shared" si="14"/>
        <v/>
      </c>
      <c r="V45" s="60" t="str">
        <f t="shared" si="14"/>
        <v/>
      </c>
      <c r="W45" s="59" t="str">
        <f t="shared" si="14"/>
        <v/>
      </c>
      <c r="X45" s="60" t="str">
        <f t="shared" si="14"/>
        <v/>
      </c>
      <c r="Y45" s="59" t="str">
        <f t="shared" si="14"/>
        <v/>
      </c>
      <c r="Z45" s="60" t="str">
        <f t="shared" si="14"/>
        <v/>
      </c>
      <c r="AA45" s="60" t="str">
        <f t="shared" si="14"/>
        <v/>
      </c>
      <c r="AB45" s="60" t="str">
        <f t="shared" si="14"/>
        <v/>
      </c>
      <c r="AC45" s="59" t="str">
        <f t="shared" si="14"/>
        <v/>
      </c>
      <c r="AD45" s="60" t="str">
        <f t="shared" si="14"/>
        <v/>
      </c>
      <c r="AE45" s="60" t="str">
        <f t="shared" si="14"/>
        <v/>
      </c>
      <c r="AF45" s="60" t="str">
        <f t="shared" si="14"/>
        <v/>
      </c>
      <c r="AG45" s="60" t="str">
        <f t="shared" si="14"/>
        <v/>
      </c>
      <c r="AH45" s="60" t="str">
        <f t="shared" si="14"/>
        <v/>
      </c>
      <c r="AI45" s="61" t="str">
        <f t="shared" si="14"/>
        <v/>
      </c>
      <c r="AL45" s="54">
        <f t="shared" si="16"/>
        <v>17</v>
      </c>
      <c r="AM45" s="25">
        <f t="shared" si="11"/>
        <v>39</v>
      </c>
      <c r="AN45" s="69">
        <f t="shared" si="12"/>
        <v>33</v>
      </c>
      <c r="AO45" s="25">
        <f t="shared" si="17"/>
        <v>17</v>
      </c>
      <c r="AP45" s="25" t="str">
        <f t="shared" si="13"/>
        <v xml:space="preserve"> </v>
      </c>
      <c r="AQ45" s="25"/>
      <c r="AR45" s="25"/>
      <c r="AS45" s="25"/>
      <c r="AT45" s="25"/>
      <c r="AU45" s="55"/>
    </row>
    <row r="46" spans="1:47" x14ac:dyDescent="0.3">
      <c r="B46" s="40" t="s">
        <v>10</v>
      </c>
      <c r="C46" s="41">
        <v>40</v>
      </c>
      <c r="D46" s="23">
        <f t="shared" si="10"/>
        <v>680</v>
      </c>
      <c r="F46" s="58"/>
      <c r="G46" s="59" t="str">
        <f t="shared" si="15"/>
        <v/>
      </c>
      <c r="H46" s="60" t="str">
        <f t="shared" si="15"/>
        <v/>
      </c>
      <c r="I46" s="60" t="str">
        <f t="shared" si="15"/>
        <v/>
      </c>
      <c r="J46" s="60" t="str">
        <f t="shared" si="15"/>
        <v/>
      </c>
      <c r="K46" s="60" t="str">
        <f t="shared" si="15"/>
        <v/>
      </c>
      <c r="L46" s="60" t="str">
        <f t="shared" si="15"/>
        <v/>
      </c>
      <c r="M46" s="59" t="str">
        <f t="shared" si="15"/>
        <v/>
      </c>
      <c r="N46" s="60" t="str">
        <f t="shared" si="14"/>
        <v/>
      </c>
      <c r="O46" s="60" t="str">
        <f t="shared" si="14"/>
        <v/>
      </c>
      <c r="P46" s="60" t="str">
        <f t="shared" si="14"/>
        <v/>
      </c>
      <c r="Q46" s="59" t="str">
        <f t="shared" si="14"/>
        <v/>
      </c>
      <c r="R46" s="60" t="str">
        <f t="shared" si="14"/>
        <v/>
      </c>
      <c r="S46" s="59" t="str">
        <f t="shared" si="14"/>
        <v/>
      </c>
      <c r="T46" s="60" t="str">
        <f t="shared" si="14"/>
        <v/>
      </c>
      <c r="U46" s="60" t="str">
        <f t="shared" si="14"/>
        <v/>
      </c>
      <c r="V46" s="60" t="str">
        <f t="shared" si="14"/>
        <v/>
      </c>
      <c r="W46" s="59" t="str">
        <f t="shared" si="14"/>
        <v/>
      </c>
      <c r="X46" s="60" t="str">
        <f t="shared" si="14"/>
        <v/>
      </c>
      <c r="Y46" s="59" t="str">
        <f t="shared" si="14"/>
        <v/>
      </c>
      <c r="Z46" s="60">
        <f t="shared" si="14"/>
        <v>20</v>
      </c>
      <c r="AA46" s="60" t="str">
        <f t="shared" si="14"/>
        <v/>
      </c>
      <c r="AB46" s="60" t="str">
        <f t="shared" si="14"/>
        <v/>
      </c>
      <c r="AC46" s="59" t="str">
        <f t="shared" si="14"/>
        <v/>
      </c>
      <c r="AD46" s="60" t="str">
        <f t="shared" si="14"/>
        <v/>
      </c>
      <c r="AE46" s="60" t="str">
        <f t="shared" si="14"/>
        <v/>
      </c>
      <c r="AF46" s="60" t="str">
        <f t="shared" si="14"/>
        <v/>
      </c>
      <c r="AG46" s="60" t="str">
        <f t="shared" si="14"/>
        <v/>
      </c>
      <c r="AH46" s="60" t="str">
        <f t="shared" si="14"/>
        <v/>
      </c>
      <c r="AI46" s="61" t="str">
        <f t="shared" si="14"/>
        <v/>
      </c>
      <c r="AL46" s="54">
        <f t="shared" si="16"/>
        <v>17</v>
      </c>
      <c r="AM46" s="25">
        <f t="shared" si="11"/>
        <v>40</v>
      </c>
      <c r="AN46" s="69">
        <f t="shared" si="12"/>
        <v>50</v>
      </c>
      <c r="AO46" s="25">
        <f t="shared" si="17"/>
        <v>17</v>
      </c>
      <c r="AP46" s="25" t="str">
        <f t="shared" si="13"/>
        <v xml:space="preserve"> </v>
      </c>
      <c r="AQ46" s="25"/>
      <c r="AR46" s="25"/>
      <c r="AS46" s="25"/>
      <c r="AT46" s="25"/>
      <c r="AU46" s="55"/>
    </row>
    <row r="47" spans="1:47" x14ac:dyDescent="0.3">
      <c r="A47" s="23">
        <v>41</v>
      </c>
      <c r="B47" s="40" t="s">
        <v>11</v>
      </c>
      <c r="C47" s="41">
        <v>41</v>
      </c>
      <c r="D47" s="23">
        <f t="shared" si="10"/>
        <v>697</v>
      </c>
      <c r="F47" s="58"/>
      <c r="G47" s="59" t="str">
        <f t="shared" si="15"/>
        <v/>
      </c>
      <c r="H47" s="60" t="str">
        <f t="shared" si="15"/>
        <v/>
      </c>
      <c r="I47" s="60" t="str">
        <f t="shared" si="15"/>
        <v/>
      </c>
      <c r="J47" s="60" t="str">
        <f t="shared" si="15"/>
        <v/>
      </c>
      <c r="K47" s="60" t="str">
        <f t="shared" si="15"/>
        <v/>
      </c>
      <c r="L47" s="60" t="str">
        <f t="shared" si="15"/>
        <v/>
      </c>
      <c r="M47" s="59">
        <f t="shared" si="15"/>
        <v>7</v>
      </c>
      <c r="N47" s="60" t="str">
        <f t="shared" si="14"/>
        <v/>
      </c>
      <c r="O47" s="60" t="str">
        <f t="shared" si="14"/>
        <v/>
      </c>
      <c r="P47" s="60" t="str">
        <f t="shared" si="14"/>
        <v/>
      </c>
      <c r="Q47" s="59" t="str">
        <f t="shared" si="14"/>
        <v/>
      </c>
      <c r="R47" s="60" t="str">
        <f t="shared" si="14"/>
        <v/>
      </c>
      <c r="S47" s="59" t="str">
        <f t="shared" si="14"/>
        <v/>
      </c>
      <c r="T47" s="60" t="str">
        <f t="shared" si="14"/>
        <v/>
      </c>
      <c r="U47" s="60" t="str">
        <f t="shared" si="14"/>
        <v/>
      </c>
      <c r="V47" s="60" t="str">
        <f t="shared" si="14"/>
        <v/>
      </c>
      <c r="W47" s="59" t="str">
        <f t="shared" si="14"/>
        <v/>
      </c>
      <c r="X47" s="60" t="str">
        <f t="shared" si="14"/>
        <v/>
      </c>
      <c r="Y47" s="59" t="str">
        <f t="shared" si="14"/>
        <v/>
      </c>
      <c r="Z47" s="60" t="str">
        <f t="shared" si="14"/>
        <v/>
      </c>
      <c r="AA47" s="60" t="str">
        <f t="shared" si="14"/>
        <v/>
      </c>
      <c r="AB47" s="60" t="str">
        <f t="shared" si="14"/>
        <v/>
      </c>
      <c r="AC47" s="59" t="str">
        <f t="shared" si="14"/>
        <v/>
      </c>
      <c r="AD47" s="60" t="str">
        <f t="shared" si="14"/>
        <v/>
      </c>
      <c r="AE47" s="60" t="str">
        <f t="shared" si="14"/>
        <v/>
      </c>
      <c r="AF47" s="60" t="str">
        <f t="shared" si="14"/>
        <v/>
      </c>
      <c r="AG47" s="60" t="str">
        <f t="shared" si="14"/>
        <v/>
      </c>
      <c r="AH47" s="60" t="str">
        <f t="shared" si="14"/>
        <v/>
      </c>
      <c r="AI47" s="61" t="str">
        <f t="shared" si="14"/>
        <v/>
      </c>
      <c r="AL47" s="54">
        <f t="shared" si="16"/>
        <v>17</v>
      </c>
      <c r="AM47" s="25">
        <f t="shared" si="11"/>
        <v>41</v>
      </c>
      <c r="AN47" s="69">
        <f t="shared" si="12"/>
        <v>37</v>
      </c>
      <c r="AO47" s="25">
        <f t="shared" si="17"/>
        <v>17</v>
      </c>
      <c r="AP47" s="25" t="str">
        <f t="shared" si="13"/>
        <v>#P</v>
      </c>
      <c r="AQ47" s="25"/>
      <c r="AR47" s="25"/>
      <c r="AS47" s="25"/>
      <c r="AT47" s="25"/>
      <c r="AU47" s="55"/>
    </row>
    <row r="48" spans="1:47" x14ac:dyDescent="0.3">
      <c r="B48" s="40" t="s">
        <v>10</v>
      </c>
      <c r="C48" s="41">
        <v>42</v>
      </c>
      <c r="D48" s="23">
        <f t="shared" si="10"/>
        <v>714</v>
      </c>
      <c r="F48" s="58"/>
      <c r="G48" s="59" t="str">
        <f t="shared" si="15"/>
        <v/>
      </c>
      <c r="H48" s="60" t="str">
        <f t="shared" si="15"/>
        <v/>
      </c>
      <c r="I48" s="60" t="str">
        <f t="shared" si="15"/>
        <v/>
      </c>
      <c r="J48" s="60" t="str">
        <f t="shared" si="15"/>
        <v/>
      </c>
      <c r="K48" s="60" t="str">
        <f t="shared" si="15"/>
        <v/>
      </c>
      <c r="L48" s="60" t="str">
        <f t="shared" si="15"/>
        <v/>
      </c>
      <c r="M48" s="59" t="str">
        <f t="shared" si="15"/>
        <v/>
      </c>
      <c r="N48" s="60" t="str">
        <f t="shared" si="14"/>
        <v/>
      </c>
      <c r="O48" s="60" t="str">
        <f t="shared" si="14"/>
        <v/>
      </c>
      <c r="P48" s="60" t="str">
        <f t="shared" si="14"/>
        <v/>
      </c>
      <c r="Q48" s="59" t="str">
        <f t="shared" si="14"/>
        <v/>
      </c>
      <c r="R48" s="60" t="str">
        <f t="shared" si="14"/>
        <v/>
      </c>
      <c r="S48" s="59" t="str">
        <f t="shared" si="14"/>
        <v/>
      </c>
      <c r="T48" s="60" t="str">
        <f t="shared" si="14"/>
        <v/>
      </c>
      <c r="U48" s="60" t="str">
        <f t="shared" si="14"/>
        <v/>
      </c>
      <c r="V48" s="60" t="str">
        <f t="shared" si="14"/>
        <v/>
      </c>
      <c r="W48" s="59" t="str">
        <f t="shared" si="14"/>
        <v/>
      </c>
      <c r="X48" s="60" t="str">
        <f t="shared" si="14"/>
        <v/>
      </c>
      <c r="Y48" s="59" t="str">
        <f t="shared" si="14"/>
        <v/>
      </c>
      <c r="Z48" s="60" t="str">
        <f t="shared" si="14"/>
        <v/>
      </c>
      <c r="AA48" s="60" t="str">
        <f t="shared" si="14"/>
        <v/>
      </c>
      <c r="AB48" s="60" t="str">
        <f t="shared" si="14"/>
        <v/>
      </c>
      <c r="AC48" s="59" t="str">
        <f t="shared" si="14"/>
        <v/>
      </c>
      <c r="AD48" s="60">
        <f t="shared" ref="AD48:AI48" si="18">IF((MOD(($D48-AD$4),30)=0),AD$4,"")</f>
        <v>24</v>
      </c>
      <c r="AE48" s="60" t="str">
        <f t="shared" si="18"/>
        <v/>
      </c>
      <c r="AF48" s="60" t="str">
        <f t="shared" si="18"/>
        <v/>
      </c>
      <c r="AG48" s="60" t="str">
        <f t="shared" si="18"/>
        <v/>
      </c>
      <c r="AH48" s="60" t="str">
        <f t="shared" si="18"/>
        <v/>
      </c>
      <c r="AI48" s="61" t="str">
        <f t="shared" si="18"/>
        <v/>
      </c>
      <c r="AL48" s="54">
        <f t="shared" si="16"/>
        <v>17</v>
      </c>
      <c r="AM48" s="25">
        <f t="shared" si="11"/>
        <v>42</v>
      </c>
      <c r="AN48" s="69">
        <f t="shared" si="12"/>
        <v>54</v>
      </c>
      <c r="AO48" s="25">
        <f t="shared" si="17"/>
        <v>17</v>
      </c>
      <c r="AP48" s="25" t="str">
        <f t="shared" si="13"/>
        <v xml:space="preserve"> </v>
      </c>
      <c r="AQ48" s="25"/>
      <c r="AR48" s="25"/>
      <c r="AS48" s="25"/>
      <c r="AT48" s="25"/>
      <c r="AU48" s="55"/>
    </row>
    <row r="49" spans="1:47" x14ac:dyDescent="0.3">
      <c r="A49" s="23">
        <v>43</v>
      </c>
      <c r="B49" s="40" t="s">
        <v>11</v>
      </c>
      <c r="C49" s="41">
        <v>43</v>
      </c>
      <c r="D49" s="23">
        <f t="shared" si="10"/>
        <v>731</v>
      </c>
      <c r="F49" s="58"/>
      <c r="G49" s="59" t="str">
        <f t="shared" si="15"/>
        <v/>
      </c>
      <c r="H49" s="60" t="str">
        <f t="shared" si="15"/>
        <v/>
      </c>
      <c r="I49" s="60" t="str">
        <f t="shared" si="15"/>
        <v/>
      </c>
      <c r="J49" s="60" t="str">
        <f t="shared" si="15"/>
        <v/>
      </c>
      <c r="K49" s="60" t="str">
        <f t="shared" si="15"/>
        <v/>
      </c>
      <c r="L49" s="60" t="str">
        <f t="shared" si="15"/>
        <v/>
      </c>
      <c r="M49" s="59" t="str">
        <f t="shared" si="15"/>
        <v/>
      </c>
      <c r="N49" s="60" t="str">
        <f t="shared" si="15"/>
        <v/>
      </c>
      <c r="O49" s="60" t="str">
        <f t="shared" si="15"/>
        <v/>
      </c>
      <c r="P49" s="60" t="str">
        <f t="shared" si="15"/>
        <v/>
      </c>
      <c r="Q49" s="59">
        <f t="shared" si="15"/>
        <v>11</v>
      </c>
      <c r="R49" s="60" t="str">
        <f t="shared" si="15"/>
        <v/>
      </c>
      <c r="S49" s="59" t="str">
        <f t="shared" si="15"/>
        <v/>
      </c>
      <c r="T49" s="60" t="str">
        <f t="shared" si="15"/>
        <v/>
      </c>
      <c r="U49" s="60" t="str">
        <f t="shared" si="15"/>
        <v/>
      </c>
      <c r="V49" s="60" t="str">
        <f t="shared" si="15"/>
        <v/>
      </c>
      <c r="W49" s="59" t="str">
        <f t="shared" ref="W49:AI58" si="19">IF((MOD(($D49-W$4),30)=0),W$4,"")</f>
        <v/>
      </c>
      <c r="X49" s="60" t="str">
        <f t="shared" si="19"/>
        <v/>
      </c>
      <c r="Y49" s="59" t="str">
        <f t="shared" si="19"/>
        <v/>
      </c>
      <c r="Z49" s="60" t="str">
        <f t="shared" si="19"/>
        <v/>
      </c>
      <c r="AA49" s="60" t="str">
        <f t="shared" si="19"/>
        <v/>
      </c>
      <c r="AB49" s="60" t="str">
        <f t="shared" si="19"/>
        <v/>
      </c>
      <c r="AC49" s="59" t="str">
        <f t="shared" si="19"/>
        <v/>
      </c>
      <c r="AD49" s="60" t="str">
        <f t="shared" si="19"/>
        <v/>
      </c>
      <c r="AE49" s="60" t="str">
        <f t="shared" si="19"/>
        <v/>
      </c>
      <c r="AF49" s="60" t="str">
        <f t="shared" si="19"/>
        <v/>
      </c>
      <c r="AG49" s="60" t="str">
        <f t="shared" si="19"/>
        <v/>
      </c>
      <c r="AH49" s="60" t="str">
        <f t="shared" si="19"/>
        <v/>
      </c>
      <c r="AI49" s="61" t="str">
        <f t="shared" si="19"/>
        <v/>
      </c>
      <c r="AL49" s="54">
        <f t="shared" si="16"/>
        <v>17</v>
      </c>
      <c r="AM49" s="25">
        <f t="shared" si="11"/>
        <v>43</v>
      </c>
      <c r="AN49" s="69">
        <f t="shared" si="12"/>
        <v>41</v>
      </c>
      <c r="AO49" s="25">
        <f t="shared" si="17"/>
        <v>17</v>
      </c>
      <c r="AP49" s="25" t="str">
        <f t="shared" si="13"/>
        <v>#P</v>
      </c>
      <c r="AQ49" s="25"/>
      <c r="AR49" s="25"/>
      <c r="AS49" s="25"/>
      <c r="AT49" s="25"/>
      <c r="AU49" s="55"/>
    </row>
    <row r="50" spans="1:47" x14ac:dyDescent="0.3">
      <c r="B50" s="40" t="s">
        <v>10</v>
      </c>
      <c r="C50" s="41">
        <v>44</v>
      </c>
      <c r="D50" s="23">
        <f t="shared" si="10"/>
        <v>748</v>
      </c>
      <c r="F50" s="58"/>
      <c r="G50" s="59" t="str">
        <f t="shared" si="15"/>
        <v/>
      </c>
      <c r="H50" s="60" t="str">
        <f t="shared" si="15"/>
        <v/>
      </c>
      <c r="I50" s="60" t="str">
        <f t="shared" si="15"/>
        <v/>
      </c>
      <c r="J50" s="60" t="str">
        <f t="shared" si="15"/>
        <v/>
      </c>
      <c r="K50" s="60" t="str">
        <f t="shared" si="15"/>
        <v/>
      </c>
      <c r="L50" s="60" t="str">
        <f t="shared" si="15"/>
        <v/>
      </c>
      <c r="M50" s="59" t="str">
        <f t="shared" si="15"/>
        <v/>
      </c>
      <c r="N50" s="60" t="str">
        <f t="shared" si="15"/>
        <v/>
      </c>
      <c r="O50" s="60" t="str">
        <f t="shared" si="15"/>
        <v/>
      </c>
      <c r="P50" s="60" t="str">
        <f t="shared" si="15"/>
        <v/>
      </c>
      <c r="Q50" s="59" t="str">
        <f t="shared" si="15"/>
        <v/>
      </c>
      <c r="R50" s="60" t="str">
        <f t="shared" si="15"/>
        <v/>
      </c>
      <c r="S50" s="59" t="str">
        <f t="shared" si="15"/>
        <v/>
      </c>
      <c r="T50" s="60" t="str">
        <f t="shared" si="15"/>
        <v/>
      </c>
      <c r="U50" s="60" t="str">
        <f t="shared" si="15"/>
        <v/>
      </c>
      <c r="V50" s="60" t="str">
        <f t="shared" si="15"/>
        <v/>
      </c>
      <c r="W50" s="59" t="str">
        <f t="shared" si="19"/>
        <v/>
      </c>
      <c r="X50" s="60" t="str">
        <f t="shared" si="19"/>
        <v/>
      </c>
      <c r="Y50" s="59" t="str">
        <f t="shared" si="19"/>
        <v/>
      </c>
      <c r="Z50" s="60" t="str">
        <f t="shared" si="19"/>
        <v/>
      </c>
      <c r="AA50" s="60" t="str">
        <f t="shared" si="19"/>
        <v/>
      </c>
      <c r="AB50" s="60" t="str">
        <f t="shared" si="19"/>
        <v/>
      </c>
      <c r="AC50" s="59" t="str">
        <f t="shared" si="19"/>
        <v/>
      </c>
      <c r="AD50" s="60" t="str">
        <f t="shared" si="19"/>
        <v/>
      </c>
      <c r="AE50" s="60" t="str">
        <f t="shared" si="19"/>
        <v/>
      </c>
      <c r="AF50" s="60" t="str">
        <f t="shared" si="19"/>
        <v/>
      </c>
      <c r="AG50" s="60" t="str">
        <f t="shared" si="19"/>
        <v/>
      </c>
      <c r="AH50" s="60">
        <f t="shared" si="19"/>
        <v>28</v>
      </c>
      <c r="AI50" s="61" t="str">
        <f t="shared" si="19"/>
        <v/>
      </c>
      <c r="AL50" s="54">
        <f t="shared" si="16"/>
        <v>17</v>
      </c>
      <c r="AM50" s="25">
        <f t="shared" si="11"/>
        <v>44</v>
      </c>
      <c r="AN50" s="69">
        <f t="shared" si="12"/>
        <v>58</v>
      </c>
      <c r="AO50" s="25">
        <f t="shared" si="17"/>
        <v>17</v>
      </c>
      <c r="AP50" s="25" t="str">
        <f t="shared" si="13"/>
        <v xml:space="preserve"> </v>
      </c>
      <c r="AQ50" s="25"/>
      <c r="AR50" s="25"/>
      <c r="AS50" s="25"/>
      <c r="AT50" s="25"/>
      <c r="AU50" s="55"/>
    </row>
    <row r="51" spans="1:47" x14ac:dyDescent="0.3">
      <c r="B51" s="40" t="s">
        <v>10</v>
      </c>
      <c r="C51" s="41">
        <v>45</v>
      </c>
      <c r="D51" s="23">
        <f t="shared" si="10"/>
        <v>765</v>
      </c>
      <c r="F51" s="58"/>
      <c r="G51" s="59" t="str">
        <f t="shared" si="15"/>
        <v/>
      </c>
      <c r="H51" s="60" t="str">
        <f t="shared" si="15"/>
        <v/>
      </c>
      <c r="I51" s="60" t="str">
        <f t="shared" si="15"/>
        <v/>
      </c>
      <c r="J51" s="60" t="str">
        <f t="shared" si="15"/>
        <v/>
      </c>
      <c r="K51" s="60" t="str">
        <f t="shared" si="15"/>
        <v/>
      </c>
      <c r="L51" s="60" t="str">
        <f t="shared" si="15"/>
        <v/>
      </c>
      <c r="M51" s="59" t="str">
        <f t="shared" si="15"/>
        <v/>
      </c>
      <c r="N51" s="60" t="str">
        <f t="shared" si="15"/>
        <v/>
      </c>
      <c r="O51" s="60" t="str">
        <f t="shared" si="15"/>
        <v/>
      </c>
      <c r="P51" s="60" t="str">
        <f t="shared" si="15"/>
        <v/>
      </c>
      <c r="Q51" s="59" t="str">
        <f t="shared" si="15"/>
        <v/>
      </c>
      <c r="R51" s="60" t="str">
        <f t="shared" si="15"/>
        <v/>
      </c>
      <c r="S51" s="59" t="str">
        <f t="shared" si="15"/>
        <v/>
      </c>
      <c r="T51" s="60" t="str">
        <f t="shared" si="15"/>
        <v/>
      </c>
      <c r="U51" s="60">
        <f t="shared" si="15"/>
        <v>15</v>
      </c>
      <c r="V51" s="60" t="str">
        <f t="shared" si="15"/>
        <v/>
      </c>
      <c r="W51" s="59" t="str">
        <f t="shared" si="19"/>
        <v/>
      </c>
      <c r="X51" s="60" t="str">
        <f t="shared" si="19"/>
        <v/>
      </c>
      <c r="Y51" s="59" t="str">
        <f t="shared" si="19"/>
        <v/>
      </c>
      <c r="Z51" s="60" t="str">
        <f t="shared" si="19"/>
        <v/>
      </c>
      <c r="AA51" s="60" t="str">
        <f t="shared" si="19"/>
        <v/>
      </c>
      <c r="AB51" s="60" t="str">
        <f t="shared" si="19"/>
        <v/>
      </c>
      <c r="AC51" s="59" t="str">
        <f t="shared" si="19"/>
        <v/>
      </c>
      <c r="AD51" s="60" t="str">
        <f t="shared" si="19"/>
        <v/>
      </c>
      <c r="AE51" s="60" t="str">
        <f t="shared" si="19"/>
        <v/>
      </c>
      <c r="AF51" s="60" t="str">
        <f t="shared" si="19"/>
        <v/>
      </c>
      <c r="AG51" s="60" t="str">
        <f t="shared" si="19"/>
        <v/>
      </c>
      <c r="AH51" s="60" t="str">
        <f t="shared" si="19"/>
        <v/>
      </c>
      <c r="AI51" s="61" t="str">
        <f t="shared" si="19"/>
        <v/>
      </c>
      <c r="AL51" s="54">
        <f t="shared" si="16"/>
        <v>17</v>
      </c>
      <c r="AM51" s="25">
        <f t="shared" si="11"/>
        <v>45</v>
      </c>
      <c r="AN51" s="69">
        <f t="shared" si="12"/>
        <v>45</v>
      </c>
      <c r="AO51" s="25">
        <f t="shared" si="17"/>
        <v>17</v>
      </c>
      <c r="AP51" s="25" t="str">
        <f t="shared" si="13"/>
        <v xml:space="preserve"> </v>
      </c>
      <c r="AQ51" s="25"/>
      <c r="AR51" s="25"/>
      <c r="AS51" s="25"/>
      <c r="AT51" s="25"/>
      <c r="AU51" s="55"/>
    </row>
    <row r="52" spans="1:47" x14ac:dyDescent="0.3">
      <c r="B52" s="40" t="s">
        <v>10</v>
      </c>
      <c r="C52" s="41">
        <v>46</v>
      </c>
      <c r="D52" s="23">
        <f t="shared" si="10"/>
        <v>782</v>
      </c>
      <c r="F52" s="58"/>
      <c r="G52" s="59" t="str">
        <f t="shared" si="15"/>
        <v/>
      </c>
      <c r="H52" s="60">
        <f t="shared" si="15"/>
        <v>2</v>
      </c>
      <c r="I52" s="60" t="str">
        <f t="shared" si="15"/>
        <v/>
      </c>
      <c r="J52" s="60" t="str">
        <f t="shared" si="15"/>
        <v/>
      </c>
      <c r="K52" s="60" t="str">
        <f t="shared" si="15"/>
        <v/>
      </c>
      <c r="L52" s="60" t="str">
        <f t="shared" si="15"/>
        <v/>
      </c>
      <c r="M52" s="59" t="str">
        <f t="shared" si="15"/>
        <v/>
      </c>
      <c r="N52" s="60" t="str">
        <f t="shared" si="15"/>
        <v/>
      </c>
      <c r="O52" s="60" t="str">
        <f t="shared" si="15"/>
        <v/>
      </c>
      <c r="P52" s="60" t="str">
        <f t="shared" si="15"/>
        <v/>
      </c>
      <c r="Q52" s="59" t="str">
        <f t="shared" si="15"/>
        <v/>
      </c>
      <c r="R52" s="60" t="str">
        <f t="shared" si="15"/>
        <v/>
      </c>
      <c r="S52" s="59" t="str">
        <f t="shared" si="15"/>
        <v/>
      </c>
      <c r="T52" s="60" t="str">
        <f t="shared" si="15"/>
        <v/>
      </c>
      <c r="U52" s="60" t="str">
        <f t="shared" si="15"/>
        <v/>
      </c>
      <c r="V52" s="60" t="str">
        <f t="shared" si="15"/>
        <v/>
      </c>
      <c r="W52" s="59" t="str">
        <f t="shared" si="19"/>
        <v/>
      </c>
      <c r="X52" s="60" t="str">
        <f t="shared" si="19"/>
        <v/>
      </c>
      <c r="Y52" s="59" t="str">
        <f t="shared" si="19"/>
        <v/>
      </c>
      <c r="Z52" s="60" t="str">
        <f t="shared" si="19"/>
        <v/>
      </c>
      <c r="AA52" s="60" t="str">
        <f t="shared" si="19"/>
        <v/>
      </c>
      <c r="AB52" s="60" t="str">
        <f t="shared" si="19"/>
        <v/>
      </c>
      <c r="AC52" s="59" t="str">
        <f t="shared" si="19"/>
        <v/>
      </c>
      <c r="AD52" s="60" t="str">
        <f t="shared" si="19"/>
        <v/>
      </c>
      <c r="AE52" s="60" t="str">
        <f t="shared" si="19"/>
        <v/>
      </c>
      <c r="AF52" s="60" t="str">
        <f t="shared" si="19"/>
        <v/>
      </c>
      <c r="AG52" s="60" t="str">
        <f t="shared" si="19"/>
        <v/>
      </c>
      <c r="AH52" s="60" t="str">
        <f t="shared" si="19"/>
        <v/>
      </c>
      <c r="AI52" s="61" t="str">
        <f t="shared" si="19"/>
        <v/>
      </c>
      <c r="AL52" s="54">
        <f t="shared" si="16"/>
        <v>17</v>
      </c>
      <c r="AM52" s="25">
        <f t="shared" si="11"/>
        <v>46</v>
      </c>
      <c r="AN52" s="69">
        <f t="shared" si="12"/>
        <v>32</v>
      </c>
      <c r="AO52" s="25">
        <f t="shared" si="17"/>
        <v>17</v>
      </c>
      <c r="AP52" s="25" t="str">
        <f t="shared" si="13"/>
        <v xml:space="preserve"> </v>
      </c>
      <c r="AQ52" s="25"/>
      <c r="AR52" s="25"/>
      <c r="AS52" s="25"/>
      <c r="AT52" s="25"/>
      <c r="AU52" s="55"/>
    </row>
    <row r="53" spans="1:47" x14ac:dyDescent="0.3">
      <c r="A53" s="23">
        <v>47</v>
      </c>
      <c r="B53" s="40" t="s">
        <v>11</v>
      </c>
      <c r="C53" s="41">
        <v>47</v>
      </c>
      <c r="D53" s="23">
        <f t="shared" si="10"/>
        <v>799</v>
      </c>
      <c r="F53" s="58"/>
      <c r="G53" s="59" t="str">
        <f t="shared" si="15"/>
        <v/>
      </c>
      <c r="H53" s="60" t="str">
        <f t="shared" si="15"/>
        <v/>
      </c>
      <c r="I53" s="60" t="str">
        <f t="shared" si="15"/>
        <v/>
      </c>
      <c r="J53" s="60" t="str">
        <f t="shared" si="15"/>
        <v/>
      </c>
      <c r="K53" s="60" t="str">
        <f t="shared" si="15"/>
        <v/>
      </c>
      <c r="L53" s="60" t="str">
        <f t="shared" si="15"/>
        <v/>
      </c>
      <c r="M53" s="59" t="str">
        <f t="shared" si="15"/>
        <v/>
      </c>
      <c r="N53" s="60" t="str">
        <f t="shared" si="15"/>
        <v/>
      </c>
      <c r="O53" s="60" t="str">
        <f t="shared" si="15"/>
        <v/>
      </c>
      <c r="P53" s="60" t="str">
        <f t="shared" si="15"/>
        <v/>
      </c>
      <c r="Q53" s="59" t="str">
        <f t="shared" si="15"/>
        <v/>
      </c>
      <c r="R53" s="60" t="str">
        <f t="shared" si="15"/>
        <v/>
      </c>
      <c r="S53" s="59" t="str">
        <f t="shared" si="15"/>
        <v/>
      </c>
      <c r="T53" s="60" t="str">
        <f t="shared" si="15"/>
        <v/>
      </c>
      <c r="U53" s="60" t="str">
        <f t="shared" si="15"/>
        <v/>
      </c>
      <c r="V53" s="60" t="str">
        <f t="shared" si="15"/>
        <v/>
      </c>
      <c r="W53" s="59" t="str">
        <f t="shared" si="19"/>
        <v/>
      </c>
      <c r="X53" s="60" t="str">
        <f t="shared" si="19"/>
        <v/>
      </c>
      <c r="Y53" s="59">
        <f t="shared" si="19"/>
        <v>19</v>
      </c>
      <c r="Z53" s="60" t="str">
        <f t="shared" si="19"/>
        <v/>
      </c>
      <c r="AA53" s="60" t="str">
        <f t="shared" si="19"/>
        <v/>
      </c>
      <c r="AB53" s="60" t="str">
        <f t="shared" si="19"/>
        <v/>
      </c>
      <c r="AC53" s="59" t="str">
        <f t="shared" si="19"/>
        <v/>
      </c>
      <c r="AD53" s="60" t="str">
        <f t="shared" si="19"/>
        <v/>
      </c>
      <c r="AE53" s="60" t="str">
        <f t="shared" si="19"/>
        <v/>
      </c>
      <c r="AF53" s="60" t="str">
        <f t="shared" si="19"/>
        <v/>
      </c>
      <c r="AG53" s="60" t="str">
        <f t="shared" si="19"/>
        <v/>
      </c>
      <c r="AH53" s="60" t="str">
        <f t="shared" si="19"/>
        <v/>
      </c>
      <c r="AI53" s="61" t="str">
        <f t="shared" si="19"/>
        <v/>
      </c>
      <c r="AL53" s="54">
        <f t="shared" si="16"/>
        <v>17</v>
      </c>
      <c r="AM53" s="25">
        <f t="shared" si="11"/>
        <v>47</v>
      </c>
      <c r="AN53" s="69">
        <f t="shared" si="12"/>
        <v>49</v>
      </c>
      <c r="AO53" s="25">
        <f t="shared" si="17"/>
        <v>17</v>
      </c>
      <c r="AP53" s="25" t="str">
        <f t="shared" si="13"/>
        <v>#P</v>
      </c>
      <c r="AQ53" s="25"/>
      <c r="AR53" s="25"/>
      <c r="AS53" s="25"/>
      <c r="AT53" s="25"/>
      <c r="AU53" s="55"/>
    </row>
    <row r="54" spans="1:47" x14ac:dyDescent="0.3">
      <c r="B54" s="40" t="s">
        <v>10</v>
      </c>
      <c r="C54" s="41">
        <v>48</v>
      </c>
      <c r="D54" s="23">
        <f t="shared" si="10"/>
        <v>816</v>
      </c>
      <c r="F54" s="58"/>
      <c r="G54" s="59" t="str">
        <f t="shared" si="15"/>
        <v/>
      </c>
      <c r="H54" s="60" t="str">
        <f t="shared" si="15"/>
        <v/>
      </c>
      <c r="I54" s="60" t="str">
        <f t="shared" si="15"/>
        <v/>
      </c>
      <c r="J54" s="60" t="str">
        <f t="shared" si="15"/>
        <v/>
      </c>
      <c r="K54" s="60" t="str">
        <f t="shared" si="15"/>
        <v/>
      </c>
      <c r="L54" s="60">
        <f t="shared" si="15"/>
        <v>6</v>
      </c>
      <c r="M54" s="59" t="str">
        <f t="shared" si="15"/>
        <v/>
      </c>
      <c r="N54" s="60" t="str">
        <f t="shared" si="15"/>
        <v/>
      </c>
      <c r="O54" s="60" t="str">
        <f t="shared" si="15"/>
        <v/>
      </c>
      <c r="P54" s="60" t="str">
        <f t="shared" si="15"/>
        <v/>
      </c>
      <c r="Q54" s="59" t="str">
        <f t="shared" si="15"/>
        <v/>
      </c>
      <c r="R54" s="60" t="str">
        <f t="shared" si="15"/>
        <v/>
      </c>
      <c r="S54" s="59" t="str">
        <f t="shared" si="15"/>
        <v/>
      </c>
      <c r="T54" s="60" t="str">
        <f t="shared" si="15"/>
        <v/>
      </c>
      <c r="U54" s="60" t="str">
        <f t="shared" si="15"/>
        <v/>
      </c>
      <c r="V54" s="60" t="str">
        <f t="shared" si="15"/>
        <v/>
      </c>
      <c r="W54" s="59" t="str">
        <f t="shared" si="19"/>
        <v/>
      </c>
      <c r="X54" s="60" t="str">
        <f t="shared" si="19"/>
        <v/>
      </c>
      <c r="Y54" s="59" t="str">
        <f t="shared" si="19"/>
        <v/>
      </c>
      <c r="Z54" s="60" t="str">
        <f t="shared" si="19"/>
        <v/>
      </c>
      <c r="AA54" s="60" t="str">
        <f t="shared" si="19"/>
        <v/>
      </c>
      <c r="AB54" s="60" t="str">
        <f t="shared" si="19"/>
        <v/>
      </c>
      <c r="AC54" s="59" t="str">
        <f t="shared" si="19"/>
        <v/>
      </c>
      <c r="AD54" s="60" t="str">
        <f t="shared" si="19"/>
        <v/>
      </c>
      <c r="AE54" s="60" t="str">
        <f t="shared" si="19"/>
        <v/>
      </c>
      <c r="AF54" s="60" t="str">
        <f t="shared" si="19"/>
        <v/>
      </c>
      <c r="AG54" s="60" t="str">
        <f t="shared" si="19"/>
        <v/>
      </c>
      <c r="AH54" s="60" t="str">
        <f t="shared" si="19"/>
        <v/>
      </c>
      <c r="AI54" s="61" t="str">
        <f t="shared" si="19"/>
        <v/>
      </c>
      <c r="AL54" s="54">
        <f t="shared" si="16"/>
        <v>17</v>
      </c>
      <c r="AM54" s="25">
        <f t="shared" si="11"/>
        <v>48</v>
      </c>
      <c r="AN54" s="69">
        <f t="shared" si="12"/>
        <v>36</v>
      </c>
      <c r="AO54" s="25">
        <f t="shared" si="17"/>
        <v>17</v>
      </c>
      <c r="AP54" s="25" t="str">
        <f t="shared" si="13"/>
        <v xml:space="preserve"> </v>
      </c>
      <c r="AQ54" s="25"/>
      <c r="AR54" s="25"/>
      <c r="AS54" s="25"/>
      <c r="AT54" s="25"/>
      <c r="AU54" s="55"/>
    </row>
    <row r="55" spans="1:47" x14ac:dyDescent="0.3">
      <c r="B55" s="40" t="s">
        <v>10</v>
      </c>
      <c r="C55" s="41">
        <v>49</v>
      </c>
      <c r="D55" s="23">
        <f t="shared" si="10"/>
        <v>833</v>
      </c>
      <c r="F55" s="58"/>
      <c r="G55" s="59" t="str">
        <f t="shared" si="15"/>
        <v/>
      </c>
      <c r="H55" s="60" t="str">
        <f t="shared" si="15"/>
        <v/>
      </c>
      <c r="I55" s="60" t="str">
        <f t="shared" si="15"/>
        <v/>
      </c>
      <c r="J55" s="60" t="str">
        <f t="shared" si="15"/>
        <v/>
      </c>
      <c r="K55" s="60" t="str">
        <f t="shared" si="15"/>
        <v/>
      </c>
      <c r="L55" s="60" t="str">
        <f t="shared" si="15"/>
        <v/>
      </c>
      <c r="M55" s="59" t="str">
        <f t="shared" si="15"/>
        <v/>
      </c>
      <c r="N55" s="60" t="str">
        <f t="shared" si="15"/>
        <v/>
      </c>
      <c r="O55" s="60" t="str">
        <f t="shared" si="15"/>
        <v/>
      </c>
      <c r="P55" s="60" t="str">
        <f t="shared" si="15"/>
        <v/>
      </c>
      <c r="Q55" s="59" t="str">
        <f t="shared" si="15"/>
        <v/>
      </c>
      <c r="R55" s="60" t="str">
        <f t="shared" si="15"/>
        <v/>
      </c>
      <c r="S55" s="59" t="str">
        <f t="shared" si="15"/>
        <v/>
      </c>
      <c r="T55" s="60" t="str">
        <f t="shared" si="15"/>
        <v/>
      </c>
      <c r="U55" s="60" t="str">
        <f t="shared" si="15"/>
        <v/>
      </c>
      <c r="V55" s="60" t="str">
        <f t="shared" si="15"/>
        <v/>
      </c>
      <c r="W55" s="59" t="str">
        <f t="shared" si="19"/>
        <v/>
      </c>
      <c r="X55" s="60" t="str">
        <f t="shared" si="19"/>
        <v/>
      </c>
      <c r="Y55" s="59" t="str">
        <f t="shared" si="19"/>
        <v/>
      </c>
      <c r="Z55" s="60" t="str">
        <f t="shared" si="19"/>
        <v/>
      </c>
      <c r="AA55" s="60" t="str">
        <f t="shared" si="19"/>
        <v/>
      </c>
      <c r="AB55" s="60" t="str">
        <f t="shared" si="19"/>
        <v/>
      </c>
      <c r="AC55" s="59">
        <f t="shared" si="19"/>
        <v>23</v>
      </c>
      <c r="AD55" s="60" t="str">
        <f t="shared" si="19"/>
        <v/>
      </c>
      <c r="AE55" s="60" t="str">
        <f t="shared" si="19"/>
        <v/>
      </c>
      <c r="AF55" s="60" t="str">
        <f t="shared" si="19"/>
        <v/>
      </c>
      <c r="AG55" s="60" t="str">
        <f t="shared" si="19"/>
        <v/>
      </c>
      <c r="AH55" s="60" t="str">
        <f t="shared" si="19"/>
        <v/>
      </c>
      <c r="AI55" s="61" t="str">
        <f t="shared" si="19"/>
        <v/>
      </c>
      <c r="AL55" s="54">
        <f t="shared" si="16"/>
        <v>17</v>
      </c>
      <c r="AM55" s="25">
        <f t="shared" si="11"/>
        <v>49</v>
      </c>
      <c r="AN55" s="69">
        <f t="shared" si="12"/>
        <v>53</v>
      </c>
      <c r="AO55" s="25">
        <f t="shared" si="17"/>
        <v>17</v>
      </c>
      <c r="AP55" s="25" t="str">
        <f t="shared" si="13"/>
        <v xml:space="preserve"> </v>
      </c>
      <c r="AQ55" s="25"/>
      <c r="AR55" s="25"/>
      <c r="AS55" s="25"/>
      <c r="AT55" s="25"/>
      <c r="AU55" s="55"/>
    </row>
    <row r="56" spans="1:47" x14ac:dyDescent="0.3">
      <c r="B56" s="40" t="s">
        <v>10</v>
      </c>
      <c r="C56" s="41">
        <v>50</v>
      </c>
      <c r="D56" s="23">
        <f t="shared" si="10"/>
        <v>850</v>
      </c>
      <c r="F56" s="58"/>
      <c r="G56" s="59" t="str">
        <f t="shared" si="15"/>
        <v/>
      </c>
      <c r="H56" s="60" t="str">
        <f t="shared" si="15"/>
        <v/>
      </c>
      <c r="I56" s="60" t="str">
        <f t="shared" si="15"/>
        <v/>
      </c>
      <c r="J56" s="60" t="str">
        <f t="shared" si="15"/>
        <v/>
      </c>
      <c r="K56" s="60" t="str">
        <f t="shared" si="15"/>
        <v/>
      </c>
      <c r="L56" s="60" t="str">
        <f t="shared" si="15"/>
        <v/>
      </c>
      <c r="M56" s="59" t="str">
        <f t="shared" si="15"/>
        <v/>
      </c>
      <c r="N56" s="60" t="str">
        <f t="shared" si="15"/>
        <v/>
      </c>
      <c r="O56" s="60" t="str">
        <f t="shared" si="15"/>
        <v/>
      </c>
      <c r="P56" s="60">
        <f t="shared" si="15"/>
        <v>10</v>
      </c>
      <c r="Q56" s="59" t="str">
        <f t="shared" si="15"/>
        <v/>
      </c>
      <c r="R56" s="60" t="str">
        <f t="shared" si="15"/>
        <v/>
      </c>
      <c r="S56" s="59" t="str">
        <f t="shared" si="15"/>
        <v/>
      </c>
      <c r="T56" s="60" t="str">
        <f t="shared" si="15"/>
        <v/>
      </c>
      <c r="U56" s="60" t="str">
        <f t="shared" si="15"/>
        <v/>
      </c>
      <c r="V56" s="60" t="str">
        <f t="shared" si="15"/>
        <v/>
      </c>
      <c r="W56" s="59" t="str">
        <f t="shared" si="19"/>
        <v/>
      </c>
      <c r="X56" s="60" t="str">
        <f t="shared" si="19"/>
        <v/>
      </c>
      <c r="Y56" s="59" t="str">
        <f t="shared" si="19"/>
        <v/>
      </c>
      <c r="Z56" s="60" t="str">
        <f t="shared" si="19"/>
        <v/>
      </c>
      <c r="AA56" s="60" t="str">
        <f t="shared" si="19"/>
        <v/>
      </c>
      <c r="AB56" s="60" t="str">
        <f t="shared" si="19"/>
        <v/>
      </c>
      <c r="AC56" s="59" t="str">
        <f t="shared" si="19"/>
        <v/>
      </c>
      <c r="AD56" s="60" t="str">
        <f t="shared" si="19"/>
        <v/>
      </c>
      <c r="AE56" s="60" t="str">
        <f t="shared" si="19"/>
        <v/>
      </c>
      <c r="AF56" s="60" t="str">
        <f t="shared" si="19"/>
        <v/>
      </c>
      <c r="AG56" s="60" t="str">
        <f t="shared" si="19"/>
        <v/>
      </c>
      <c r="AH56" s="60" t="str">
        <f t="shared" si="19"/>
        <v/>
      </c>
      <c r="AI56" s="61" t="str">
        <f t="shared" si="19"/>
        <v/>
      </c>
      <c r="AL56" s="54">
        <f t="shared" si="16"/>
        <v>17</v>
      </c>
      <c r="AM56" s="25">
        <f t="shared" si="11"/>
        <v>50</v>
      </c>
      <c r="AN56" s="69">
        <f t="shared" si="12"/>
        <v>40</v>
      </c>
      <c r="AO56" s="25">
        <f t="shared" si="17"/>
        <v>17</v>
      </c>
      <c r="AP56" s="25" t="str">
        <f t="shared" si="13"/>
        <v xml:space="preserve"> </v>
      </c>
      <c r="AQ56" s="25"/>
      <c r="AR56" s="25"/>
      <c r="AS56" s="25"/>
      <c r="AT56" s="25"/>
      <c r="AU56" s="55"/>
    </row>
    <row r="57" spans="1:47" x14ac:dyDescent="0.3">
      <c r="B57" s="40" t="s">
        <v>10</v>
      </c>
      <c r="C57" s="41">
        <v>51</v>
      </c>
      <c r="D57" s="23">
        <f t="shared" si="10"/>
        <v>867</v>
      </c>
      <c r="F57" s="58"/>
      <c r="G57" s="59" t="str">
        <f t="shared" si="15"/>
        <v/>
      </c>
      <c r="H57" s="60" t="str">
        <f t="shared" si="15"/>
        <v/>
      </c>
      <c r="I57" s="60" t="str">
        <f t="shared" si="15"/>
        <v/>
      </c>
      <c r="J57" s="60" t="str">
        <f t="shared" si="15"/>
        <v/>
      </c>
      <c r="K57" s="60" t="str">
        <f t="shared" si="15"/>
        <v/>
      </c>
      <c r="L57" s="60" t="str">
        <f t="shared" si="15"/>
        <v/>
      </c>
      <c r="M57" s="59" t="str">
        <f t="shared" si="15"/>
        <v/>
      </c>
      <c r="N57" s="60" t="str">
        <f t="shared" si="15"/>
        <v/>
      </c>
      <c r="O57" s="60" t="str">
        <f t="shared" si="15"/>
        <v/>
      </c>
      <c r="P57" s="60" t="str">
        <f t="shared" si="15"/>
        <v/>
      </c>
      <c r="Q57" s="59" t="str">
        <f t="shared" si="15"/>
        <v/>
      </c>
      <c r="R57" s="60" t="str">
        <f t="shared" si="15"/>
        <v/>
      </c>
      <c r="S57" s="59" t="str">
        <f t="shared" si="15"/>
        <v/>
      </c>
      <c r="T57" s="60" t="str">
        <f t="shared" si="15"/>
        <v/>
      </c>
      <c r="U57" s="60" t="str">
        <f t="shared" si="15"/>
        <v/>
      </c>
      <c r="V57" s="60" t="str">
        <f t="shared" si="15"/>
        <v/>
      </c>
      <c r="W57" s="59" t="str">
        <f t="shared" si="19"/>
        <v/>
      </c>
      <c r="X57" s="60" t="str">
        <f t="shared" si="19"/>
        <v/>
      </c>
      <c r="Y57" s="59" t="str">
        <f t="shared" si="19"/>
        <v/>
      </c>
      <c r="Z57" s="60" t="str">
        <f t="shared" si="19"/>
        <v/>
      </c>
      <c r="AA57" s="60" t="str">
        <f t="shared" si="19"/>
        <v/>
      </c>
      <c r="AB57" s="60" t="str">
        <f t="shared" si="19"/>
        <v/>
      </c>
      <c r="AC57" s="59" t="str">
        <f t="shared" si="19"/>
        <v/>
      </c>
      <c r="AD57" s="60" t="str">
        <f t="shared" si="19"/>
        <v/>
      </c>
      <c r="AE57" s="60" t="str">
        <f t="shared" si="19"/>
        <v/>
      </c>
      <c r="AF57" s="60" t="str">
        <f t="shared" si="19"/>
        <v/>
      </c>
      <c r="AG57" s="60">
        <f t="shared" si="19"/>
        <v>27</v>
      </c>
      <c r="AH57" s="60" t="str">
        <f t="shared" si="19"/>
        <v/>
      </c>
      <c r="AI57" s="61" t="str">
        <f t="shared" si="19"/>
        <v/>
      </c>
      <c r="AL57" s="54">
        <f t="shared" si="16"/>
        <v>17</v>
      </c>
      <c r="AM57" s="25">
        <f t="shared" si="11"/>
        <v>51</v>
      </c>
      <c r="AN57" s="69">
        <f t="shared" si="12"/>
        <v>57</v>
      </c>
      <c r="AO57" s="25">
        <f t="shared" si="17"/>
        <v>17</v>
      </c>
      <c r="AP57" s="25" t="str">
        <f t="shared" si="13"/>
        <v xml:space="preserve"> </v>
      </c>
      <c r="AQ57" s="25"/>
      <c r="AR57" s="25"/>
      <c r="AS57" s="25"/>
      <c r="AT57" s="25"/>
      <c r="AU57" s="55"/>
    </row>
    <row r="58" spans="1:47" x14ac:dyDescent="0.3">
      <c r="B58" s="40" t="s">
        <v>10</v>
      </c>
      <c r="C58" s="41">
        <v>52</v>
      </c>
      <c r="D58" s="23">
        <f t="shared" si="10"/>
        <v>884</v>
      </c>
      <c r="F58" s="58"/>
      <c r="G58" s="59" t="str">
        <f t="shared" si="15"/>
        <v/>
      </c>
      <c r="H58" s="60" t="str">
        <f t="shared" si="15"/>
        <v/>
      </c>
      <c r="I58" s="60" t="str">
        <f t="shared" si="15"/>
        <v/>
      </c>
      <c r="J58" s="60" t="str">
        <f t="shared" si="15"/>
        <v/>
      </c>
      <c r="K58" s="60" t="str">
        <f t="shared" si="15"/>
        <v/>
      </c>
      <c r="L58" s="60" t="str">
        <f t="shared" si="15"/>
        <v/>
      </c>
      <c r="M58" s="59" t="str">
        <f t="shared" si="15"/>
        <v/>
      </c>
      <c r="N58" s="60" t="str">
        <f t="shared" si="15"/>
        <v/>
      </c>
      <c r="O58" s="60" t="str">
        <f t="shared" si="15"/>
        <v/>
      </c>
      <c r="P58" s="60" t="str">
        <f t="shared" si="15"/>
        <v/>
      </c>
      <c r="Q58" s="59" t="str">
        <f t="shared" si="15"/>
        <v/>
      </c>
      <c r="R58" s="60" t="str">
        <f t="shared" si="15"/>
        <v/>
      </c>
      <c r="S58" s="59" t="str">
        <f t="shared" si="15"/>
        <v/>
      </c>
      <c r="T58" s="60">
        <f t="shared" si="15"/>
        <v>14</v>
      </c>
      <c r="U58" s="60" t="str">
        <f t="shared" si="15"/>
        <v/>
      </c>
      <c r="V58" s="60" t="str">
        <f t="shared" si="15"/>
        <v/>
      </c>
      <c r="W58" s="59" t="str">
        <f t="shared" si="19"/>
        <v/>
      </c>
      <c r="X58" s="60" t="str">
        <f t="shared" si="19"/>
        <v/>
      </c>
      <c r="Y58" s="59" t="str">
        <f t="shared" si="19"/>
        <v/>
      </c>
      <c r="Z58" s="60" t="str">
        <f t="shared" si="19"/>
        <v/>
      </c>
      <c r="AA58" s="60" t="str">
        <f t="shared" si="19"/>
        <v/>
      </c>
      <c r="AB58" s="60" t="str">
        <f t="shared" si="19"/>
        <v/>
      </c>
      <c r="AC58" s="59" t="str">
        <f t="shared" si="19"/>
        <v/>
      </c>
      <c r="AD58" s="60" t="str">
        <f t="shared" si="19"/>
        <v/>
      </c>
      <c r="AE58" s="60" t="str">
        <f t="shared" si="19"/>
        <v/>
      </c>
      <c r="AF58" s="60" t="str">
        <f t="shared" si="19"/>
        <v/>
      </c>
      <c r="AG58" s="60" t="str">
        <f t="shared" si="19"/>
        <v/>
      </c>
      <c r="AH58" s="60" t="str">
        <f t="shared" si="19"/>
        <v/>
      </c>
      <c r="AI58" s="61" t="str">
        <f t="shared" si="19"/>
        <v/>
      </c>
      <c r="AL58" s="54">
        <f t="shared" si="16"/>
        <v>17</v>
      </c>
      <c r="AM58" s="25">
        <f t="shared" si="11"/>
        <v>52</v>
      </c>
      <c r="AN58" s="69">
        <f t="shared" si="12"/>
        <v>44</v>
      </c>
      <c r="AO58" s="25">
        <f t="shared" si="17"/>
        <v>17</v>
      </c>
      <c r="AP58" s="25" t="str">
        <f t="shared" si="13"/>
        <v xml:space="preserve"> </v>
      </c>
      <c r="AQ58" s="25"/>
      <c r="AR58" s="25"/>
      <c r="AS58" s="25"/>
      <c r="AT58" s="25"/>
      <c r="AU58" s="55"/>
    </row>
    <row r="59" spans="1:47" x14ac:dyDescent="0.3">
      <c r="A59" s="23">
        <v>53</v>
      </c>
      <c r="B59" s="40" t="s">
        <v>11</v>
      </c>
      <c r="C59" s="41">
        <v>53</v>
      </c>
      <c r="D59" s="23">
        <f t="shared" si="10"/>
        <v>901</v>
      </c>
      <c r="F59" s="58"/>
      <c r="G59" s="59">
        <f t="shared" si="15"/>
        <v>1</v>
      </c>
      <c r="H59" s="60" t="str">
        <f t="shared" si="15"/>
        <v/>
      </c>
      <c r="I59" s="60" t="str">
        <f t="shared" si="15"/>
        <v/>
      </c>
      <c r="J59" s="60" t="str">
        <f t="shared" si="15"/>
        <v/>
      </c>
      <c r="K59" s="60" t="str">
        <f t="shared" si="15"/>
        <v/>
      </c>
      <c r="L59" s="60" t="str">
        <f t="shared" si="15"/>
        <v/>
      </c>
      <c r="M59" s="59" t="str">
        <f t="shared" si="15"/>
        <v/>
      </c>
      <c r="N59" s="60" t="str">
        <f t="shared" si="15"/>
        <v/>
      </c>
      <c r="O59" s="60" t="str">
        <f t="shared" si="15"/>
        <v/>
      </c>
      <c r="P59" s="60" t="str">
        <f t="shared" ref="P59:AI65" si="20">IF((MOD(($D59-P$4),30)=0),P$4,"")</f>
        <v/>
      </c>
      <c r="Q59" s="59" t="str">
        <f t="shared" si="20"/>
        <v/>
      </c>
      <c r="R59" s="60" t="str">
        <f t="shared" si="20"/>
        <v/>
      </c>
      <c r="S59" s="59" t="str">
        <f t="shared" si="20"/>
        <v/>
      </c>
      <c r="T59" s="60" t="str">
        <f t="shared" si="20"/>
        <v/>
      </c>
      <c r="U59" s="60" t="str">
        <f t="shared" si="20"/>
        <v/>
      </c>
      <c r="V59" s="60" t="str">
        <f t="shared" si="20"/>
        <v/>
      </c>
      <c r="W59" s="59" t="str">
        <f t="shared" si="20"/>
        <v/>
      </c>
      <c r="X59" s="60" t="str">
        <f t="shared" si="20"/>
        <v/>
      </c>
      <c r="Y59" s="59" t="str">
        <f t="shared" si="20"/>
        <v/>
      </c>
      <c r="Z59" s="60" t="str">
        <f t="shared" si="20"/>
        <v/>
      </c>
      <c r="AA59" s="60" t="str">
        <f t="shared" si="20"/>
        <v/>
      </c>
      <c r="AB59" s="60" t="str">
        <f t="shared" si="20"/>
        <v/>
      </c>
      <c r="AC59" s="59" t="str">
        <f t="shared" si="20"/>
        <v/>
      </c>
      <c r="AD59" s="60" t="str">
        <f t="shared" si="20"/>
        <v/>
      </c>
      <c r="AE59" s="60" t="str">
        <f t="shared" si="20"/>
        <v/>
      </c>
      <c r="AF59" s="60" t="str">
        <f t="shared" si="20"/>
        <v/>
      </c>
      <c r="AG59" s="60" t="str">
        <f t="shared" si="20"/>
        <v/>
      </c>
      <c r="AH59" s="60" t="str">
        <f t="shared" si="20"/>
        <v/>
      </c>
      <c r="AI59" s="61" t="str">
        <f t="shared" si="20"/>
        <v/>
      </c>
      <c r="AL59" s="54">
        <f t="shared" si="16"/>
        <v>17</v>
      </c>
      <c r="AM59" s="25">
        <f t="shared" si="11"/>
        <v>53</v>
      </c>
      <c r="AN59" s="69">
        <f t="shared" si="12"/>
        <v>31</v>
      </c>
      <c r="AO59" s="25">
        <f t="shared" si="17"/>
        <v>17</v>
      </c>
      <c r="AP59" s="25" t="str">
        <f t="shared" si="13"/>
        <v>#P</v>
      </c>
      <c r="AQ59" s="25"/>
      <c r="AR59" s="25"/>
      <c r="AS59" s="25"/>
      <c r="AT59" s="25"/>
      <c r="AU59" s="55"/>
    </row>
    <row r="60" spans="1:47" x14ac:dyDescent="0.3">
      <c r="B60" s="40" t="s">
        <v>10</v>
      </c>
      <c r="C60" s="41">
        <v>54</v>
      </c>
      <c r="D60" s="23">
        <f t="shared" si="10"/>
        <v>918</v>
      </c>
      <c r="F60" s="58"/>
      <c r="G60" s="59" t="str">
        <f t="shared" ref="G60:V65" si="21">IF((MOD(($D60-G$4),30)=0),G$4,"")</f>
        <v/>
      </c>
      <c r="H60" s="60" t="str">
        <f t="shared" si="21"/>
        <v/>
      </c>
      <c r="I60" s="60" t="str">
        <f t="shared" si="21"/>
        <v/>
      </c>
      <c r="J60" s="60" t="str">
        <f t="shared" si="21"/>
        <v/>
      </c>
      <c r="K60" s="60" t="str">
        <f t="shared" si="21"/>
        <v/>
      </c>
      <c r="L60" s="60" t="str">
        <f t="shared" si="21"/>
        <v/>
      </c>
      <c r="M60" s="59" t="str">
        <f t="shared" si="21"/>
        <v/>
      </c>
      <c r="N60" s="60" t="str">
        <f t="shared" si="21"/>
        <v/>
      </c>
      <c r="O60" s="60" t="str">
        <f t="shared" si="21"/>
        <v/>
      </c>
      <c r="P60" s="60" t="str">
        <f t="shared" si="21"/>
        <v/>
      </c>
      <c r="Q60" s="59" t="str">
        <f t="shared" si="21"/>
        <v/>
      </c>
      <c r="R60" s="60" t="str">
        <f t="shared" si="21"/>
        <v/>
      </c>
      <c r="S60" s="59" t="str">
        <f t="shared" si="21"/>
        <v/>
      </c>
      <c r="T60" s="60" t="str">
        <f t="shared" si="21"/>
        <v/>
      </c>
      <c r="U60" s="60" t="str">
        <f t="shared" si="20"/>
        <v/>
      </c>
      <c r="V60" s="60" t="str">
        <f t="shared" si="20"/>
        <v/>
      </c>
      <c r="W60" s="59" t="str">
        <f t="shared" si="20"/>
        <v/>
      </c>
      <c r="X60" s="60">
        <f t="shared" si="20"/>
        <v>18</v>
      </c>
      <c r="Y60" s="59" t="str">
        <f t="shared" si="20"/>
        <v/>
      </c>
      <c r="Z60" s="60" t="str">
        <f t="shared" si="20"/>
        <v/>
      </c>
      <c r="AA60" s="60" t="str">
        <f t="shared" si="20"/>
        <v/>
      </c>
      <c r="AB60" s="60" t="str">
        <f t="shared" si="20"/>
        <v/>
      </c>
      <c r="AC60" s="59" t="str">
        <f t="shared" si="20"/>
        <v/>
      </c>
      <c r="AD60" s="60" t="str">
        <f t="shared" si="20"/>
        <v/>
      </c>
      <c r="AE60" s="60" t="str">
        <f t="shared" si="20"/>
        <v/>
      </c>
      <c r="AF60" s="60" t="str">
        <f t="shared" si="20"/>
        <v/>
      </c>
      <c r="AG60" s="60" t="str">
        <f t="shared" si="20"/>
        <v/>
      </c>
      <c r="AH60" s="60" t="str">
        <f t="shared" si="20"/>
        <v/>
      </c>
      <c r="AI60" s="61" t="str">
        <f t="shared" si="20"/>
        <v/>
      </c>
      <c r="AL60" s="54">
        <f t="shared" si="16"/>
        <v>17</v>
      </c>
      <c r="AM60" s="25">
        <f t="shared" si="11"/>
        <v>54</v>
      </c>
      <c r="AN60" s="69">
        <f t="shared" si="12"/>
        <v>48</v>
      </c>
      <c r="AO60" s="25">
        <f t="shared" si="17"/>
        <v>17</v>
      </c>
      <c r="AP60" s="25" t="str">
        <f t="shared" si="13"/>
        <v xml:space="preserve"> </v>
      </c>
      <c r="AQ60" s="25"/>
      <c r="AR60" s="25"/>
      <c r="AS60" s="25"/>
      <c r="AT60" s="25"/>
      <c r="AU60" s="55"/>
    </row>
    <row r="61" spans="1:47" x14ac:dyDescent="0.3">
      <c r="B61" s="40" t="s">
        <v>10</v>
      </c>
      <c r="C61" s="41">
        <v>55</v>
      </c>
      <c r="D61" s="23">
        <f t="shared" si="10"/>
        <v>935</v>
      </c>
      <c r="F61" s="58"/>
      <c r="G61" s="59" t="str">
        <f t="shared" si="21"/>
        <v/>
      </c>
      <c r="H61" s="60" t="str">
        <f t="shared" si="21"/>
        <v/>
      </c>
      <c r="I61" s="60" t="str">
        <f t="shared" si="21"/>
        <v/>
      </c>
      <c r="J61" s="60" t="str">
        <f t="shared" si="21"/>
        <v/>
      </c>
      <c r="K61" s="60">
        <f t="shared" si="21"/>
        <v>5</v>
      </c>
      <c r="L61" s="60" t="str">
        <f t="shared" si="21"/>
        <v/>
      </c>
      <c r="M61" s="59" t="str">
        <f t="shared" si="21"/>
        <v/>
      </c>
      <c r="N61" s="60" t="str">
        <f t="shared" si="21"/>
        <v/>
      </c>
      <c r="O61" s="60" t="str">
        <f t="shared" si="21"/>
        <v/>
      </c>
      <c r="P61" s="60" t="str">
        <f t="shared" si="21"/>
        <v/>
      </c>
      <c r="Q61" s="59" t="str">
        <f t="shared" si="21"/>
        <v/>
      </c>
      <c r="R61" s="60" t="str">
        <f t="shared" si="21"/>
        <v/>
      </c>
      <c r="S61" s="59" t="str">
        <f t="shared" si="21"/>
        <v/>
      </c>
      <c r="T61" s="60" t="str">
        <f t="shared" si="21"/>
        <v/>
      </c>
      <c r="U61" s="60" t="str">
        <f t="shared" si="21"/>
        <v/>
      </c>
      <c r="V61" s="60" t="str">
        <f t="shared" si="21"/>
        <v/>
      </c>
      <c r="W61" s="59" t="str">
        <f t="shared" si="20"/>
        <v/>
      </c>
      <c r="X61" s="60" t="str">
        <f t="shared" si="20"/>
        <v/>
      </c>
      <c r="Y61" s="59" t="str">
        <f t="shared" si="20"/>
        <v/>
      </c>
      <c r="Z61" s="60" t="str">
        <f t="shared" si="20"/>
        <v/>
      </c>
      <c r="AA61" s="60" t="str">
        <f t="shared" si="20"/>
        <v/>
      </c>
      <c r="AB61" s="60" t="str">
        <f t="shared" si="20"/>
        <v/>
      </c>
      <c r="AC61" s="59" t="str">
        <f t="shared" si="20"/>
        <v/>
      </c>
      <c r="AD61" s="60" t="str">
        <f t="shared" si="20"/>
        <v/>
      </c>
      <c r="AE61" s="60" t="str">
        <f t="shared" si="20"/>
        <v/>
      </c>
      <c r="AF61" s="60" t="str">
        <f t="shared" si="20"/>
        <v/>
      </c>
      <c r="AG61" s="60" t="str">
        <f t="shared" si="20"/>
        <v/>
      </c>
      <c r="AH61" s="60" t="str">
        <f t="shared" si="20"/>
        <v/>
      </c>
      <c r="AI61" s="61" t="str">
        <f t="shared" si="20"/>
        <v/>
      </c>
      <c r="AL61" s="54">
        <f t="shared" si="16"/>
        <v>17</v>
      </c>
      <c r="AM61" s="25">
        <f t="shared" si="11"/>
        <v>55</v>
      </c>
      <c r="AN61" s="69">
        <f t="shared" si="12"/>
        <v>35</v>
      </c>
      <c r="AO61" s="25">
        <f t="shared" si="17"/>
        <v>17</v>
      </c>
      <c r="AP61" s="25" t="str">
        <f t="shared" si="13"/>
        <v xml:space="preserve"> </v>
      </c>
      <c r="AQ61" s="25"/>
      <c r="AR61" s="25"/>
      <c r="AS61" s="25"/>
      <c r="AT61" s="25"/>
      <c r="AU61" s="55"/>
    </row>
    <row r="62" spans="1:47" x14ac:dyDescent="0.3">
      <c r="B62" s="40" t="s">
        <v>10</v>
      </c>
      <c r="C62" s="41">
        <v>56</v>
      </c>
      <c r="D62" s="23">
        <f t="shared" si="10"/>
        <v>952</v>
      </c>
      <c r="F62" s="58"/>
      <c r="G62" s="59" t="str">
        <f t="shared" si="21"/>
        <v/>
      </c>
      <c r="H62" s="60" t="str">
        <f t="shared" si="21"/>
        <v/>
      </c>
      <c r="I62" s="60" t="str">
        <f t="shared" si="21"/>
        <v/>
      </c>
      <c r="J62" s="60" t="str">
        <f t="shared" si="21"/>
        <v/>
      </c>
      <c r="K62" s="60" t="str">
        <f t="shared" si="21"/>
        <v/>
      </c>
      <c r="L62" s="60" t="str">
        <f t="shared" si="21"/>
        <v/>
      </c>
      <c r="M62" s="59" t="str">
        <f t="shared" si="21"/>
        <v/>
      </c>
      <c r="N62" s="60" t="str">
        <f t="shared" si="21"/>
        <v/>
      </c>
      <c r="O62" s="60" t="str">
        <f t="shared" si="21"/>
        <v/>
      </c>
      <c r="P62" s="60" t="str">
        <f t="shared" si="21"/>
        <v/>
      </c>
      <c r="Q62" s="59" t="str">
        <f t="shared" si="21"/>
        <v/>
      </c>
      <c r="R62" s="60" t="str">
        <f t="shared" si="21"/>
        <v/>
      </c>
      <c r="S62" s="59" t="str">
        <f t="shared" si="21"/>
        <v/>
      </c>
      <c r="T62" s="60" t="str">
        <f t="shared" si="21"/>
        <v/>
      </c>
      <c r="U62" s="60" t="str">
        <f t="shared" si="21"/>
        <v/>
      </c>
      <c r="V62" s="60" t="str">
        <f t="shared" si="21"/>
        <v/>
      </c>
      <c r="W62" s="59" t="str">
        <f t="shared" si="20"/>
        <v/>
      </c>
      <c r="X62" s="60" t="str">
        <f t="shared" si="20"/>
        <v/>
      </c>
      <c r="Y62" s="59" t="str">
        <f t="shared" si="20"/>
        <v/>
      </c>
      <c r="Z62" s="60" t="str">
        <f t="shared" si="20"/>
        <v/>
      </c>
      <c r="AA62" s="60" t="str">
        <f t="shared" si="20"/>
        <v/>
      </c>
      <c r="AB62" s="60">
        <f t="shared" si="20"/>
        <v>22</v>
      </c>
      <c r="AC62" s="59" t="str">
        <f t="shared" si="20"/>
        <v/>
      </c>
      <c r="AD62" s="60" t="str">
        <f t="shared" si="20"/>
        <v/>
      </c>
      <c r="AE62" s="60" t="str">
        <f t="shared" si="20"/>
        <v/>
      </c>
      <c r="AF62" s="60" t="str">
        <f t="shared" si="20"/>
        <v/>
      </c>
      <c r="AG62" s="60" t="str">
        <f t="shared" si="20"/>
        <v/>
      </c>
      <c r="AH62" s="60" t="str">
        <f t="shared" si="20"/>
        <v/>
      </c>
      <c r="AI62" s="61" t="str">
        <f t="shared" si="20"/>
        <v/>
      </c>
      <c r="AL62" s="54">
        <f t="shared" si="16"/>
        <v>17</v>
      </c>
      <c r="AM62" s="25">
        <f t="shared" si="11"/>
        <v>56</v>
      </c>
      <c r="AN62" s="69">
        <f t="shared" si="12"/>
        <v>52</v>
      </c>
      <c r="AO62" s="25">
        <f t="shared" si="17"/>
        <v>17</v>
      </c>
      <c r="AP62" s="25" t="str">
        <f t="shared" si="13"/>
        <v xml:space="preserve"> </v>
      </c>
      <c r="AQ62" s="25"/>
      <c r="AR62" s="25"/>
      <c r="AS62" s="25"/>
      <c r="AT62" s="25"/>
      <c r="AU62" s="55"/>
    </row>
    <row r="63" spans="1:47" x14ac:dyDescent="0.3">
      <c r="B63" s="40" t="s">
        <v>10</v>
      </c>
      <c r="C63" s="41">
        <v>57</v>
      </c>
      <c r="D63" s="23">
        <f t="shared" si="10"/>
        <v>969</v>
      </c>
      <c r="F63" s="58"/>
      <c r="G63" s="59" t="str">
        <f t="shared" si="21"/>
        <v/>
      </c>
      <c r="H63" s="60" t="str">
        <f t="shared" si="21"/>
        <v/>
      </c>
      <c r="I63" s="60" t="str">
        <f t="shared" si="21"/>
        <v/>
      </c>
      <c r="J63" s="60" t="str">
        <f t="shared" si="21"/>
        <v/>
      </c>
      <c r="K63" s="60" t="str">
        <f t="shared" si="21"/>
        <v/>
      </c>
      <c r="L63" s="60" t="str">
        <f t="shared" si="21"/>
        <v/>
      </c>
      <c r="M63" s="59" t="str">
        <f t="shared" si="21"/>
        <v/>
      </c>
      <c r="N63" s="60" t="str">
        <f t="shared" si="21"/>
        <v/>
      </c>
      <c r="O63" s="60">
        <f t="shared" si="21"/>
        <v>9</v>
      </c>
      <c r="P63" s="60" t="str">
        <f t="shared" si="21"/>
        <v/>
      </c>
      <c r="Q63" s="59" t="str">
        <f t="shared" si="21"/>
        <v/>
      </c>
      <c r="R63" s="60" t="str">
        <f t="shared" si="21"/>
        <v/>
      </c>
      <c r="S63" s="59" t="str">
        <f t="shared" si="21"/>
        <v/>
      </c>
      <c r="T63" s="60" t="str">
        <f t="shared" si="21"/>
        <v/>
      </c>
      <c r="U63" s="60" t="str">
        <f t="shared" si="21"/>
        <v/>
      </c>
      <c r="V63" s="60" t="str">
        <f t="shared" si="21"/>
        <v/>
      </c>
      <c r="W63" s="59" t="str">
        <f t="shared" si="20"/>
        <v/>
      </c>
      <c r="X63" s="60" t="str">
        <f t="shared" si="20"/>
        <v/>
      </c>
      <c r="Y63" s="59" t="str">
        <f t="shared" si="20"/>
        <v/>
      </c>
      <c r="Z63" s="60" t="str">
        <f t="shared" si="20"/>
        <v/>
      </c>
      <c r="AA63" s="60" t="str">
        <f t="shared" si="20"/>
        <v/>
      </c>
      <c r="AB63" s="60" t="str">
        <f t="shared" si="20"/>
        <v/>
      </c>
      <c r="AC63" s="59" t="str">
        <f t="shared" si="20"/>
        <v/>
      </c>
      <c r="AD63" s="60" t="str">
        <f t="shared" si="20"/>
        <v/>
      </c>
      <c r="AE63" s="60" t="str">
        <f t="shared" si="20"/>
        <v/>
      </c>
      <c r="AF63" s="60" t="str">
        <f t="shared" si="20"/>
        <v/>
      </c>
      <c r="AG63" s="60" t="str">
        <f t="shared" si="20"/>
        <v/>
      </c>
      <c r="AH63" s="60" t="str">
        <f t="shared" si="20"/>
        <v/>
      </c>
      <c r="AI63" s="61" t="str">
        <f t="shared" si="20"/>
        <v/>
      </c>
      <c r="AL63" s="54">
        <f t="shared" si="16"/>
        <v>17</v>
      </c>
      <c r="AM63" s="25">
        <f t="shared" si="11"/>
        <v>57</v>
      </c>
      <c r="AN63" s="69">
        <f t="shared" si="12"/>
        <v>39</v>
      </c>
      <c r="AO63" s="25">
        <f t="shared" si="17"/>
        <v>17</v>
      </c>
      <c r="AP63" s="25" t="str">
        <f t="shared" si="13"/>
        <v xml:space="preserve"> </v>
      </c>
      <c r="AQ63" s="25"/>
      <c r="AR63" s="25"/>
      <c r="AS63" s="25"/>
      <c r="AT63" s="25"/>
      <c r="AU63" s="55"/>
    </row>
    <row r="64" spans="1:47" x14ac:dyDescent="0.3">
      <c r="B64" s="40" t="s">
        <v>10</v>
      </c>
      <c r="C64" s="41">
        <v>58</v>
      </c>
      <c r="D64" s="23">
        <f t="shared" si="10"/>
        <v>986</v>
      </c>
      <c r="F64" s="58"/>
      <c r="G64" s="59" t="str">
        <f t="shared" si="21"/>
        <v/>
      </c>
      <c r="H64" s="60" t="str">
        <f t="shared" si="21"/>
        <v/>
      </c>
      <c r="I64" s="60" t="str">
        <f t="shared" si="21"/>
        <v/>
      </c>
      <c r="J64" s="60" t="str">
        <f t="shared" si="21"/>
        <v/>
      </c>
      <c r="K64" s="60" t="str">
        <f t="shared" si="21"/>
        <v/>
      </c>
      <c r="L64" s="60" t="str">
        <f t="shared" si="21"/>
        <v/>
      </c>
      <c r="M64" s="59" t="str">
        <f t="shared" si="21"/>
        <v/>
      </c>
      <c r="N64" s="60" t="str">
        <f t="shared" si="21"/>
        <v/>
      </c>
      <c r="O64" s="60" t="str">
        <f t="shared" si="21"/>
        <v/>
      </c>
      <c r="P64" s="60" t="str">
        <f t="shared" si="21"/>
        <v/>
      </c>
      <c r="Q64" s="59" t="str">
        <f t="shared" si="21"/>
        <v/>
      </c>
      <c r="R64" s="60" t="str">
        <f t="shared" si="21"/>
        <v/>
      </c>
      <c r="S64" s="59" t="str">
        <f t="shared" si="21"/>
        <v/>
      </c>
      <c r="T64" s="60" t="str">
        <f t="shared" si="21"/>
        <v/>
      </c>
      <c r="U64" s="60" t="str">
        <f t="shared" si="21"/>
        <v/>
      </c>
      <c r="V64" s="60" t="str">
        <f t="shared" si="21"/>
        <v/>
      </c>
      <c r="W64" s="59" t="str">
        <f t="shared" si="20"/>
        <v/>
      </c>
      <c r="X64" s="60" t="str">
        <f t="shared" si="20"/>
        <v/>
      </c>
      <c r="Y64" s="59" t="str">
        <f t="shared" si="20"/>
        <v/>
      </c>
      <c r="Z64" s="60" t="str">
        <f t="shared" si="20"/>
        <v/>
      </c>
      <c r="AA64" s="60" t="str">
        <f t="shared" si="20"/>
        <v/>
      </c>
      <c r="AB64" s="60" t="str">
        <f t="shared" si="20"/>
        <v/>
      </c>
      <c r="AC64" s="59" t="str">
        <f t="shared" si="20"/>
        <v/>
      </c>
      <c r="AD64" s="60" t="str">
        <f t="shared" si="20"/>
        <v/>
      </c>
      <c r="AE64" s="60" t="str">
        <f t="shared" si="20"/>
        <v/>
      </c>
      <c r="AF64" s="60">
        <f t="shared" si="20"/>
        <v>26</v>
      </c>
      <c r="AG64" s="60" t="str">
        <f t="shared" si="20"/>
        <v/>
      </c>
      <c r="AH64" s="60" t="str">
        <f t="shared" si="20"/>
        <v/>
      </c>
      <c r="AI64" s="61" t="str">
        <f t="shared" si="20"/>
        <v/>
      </c>
      <c r="AL64" s="54">
        <f t="shared" si="16"/>
        <v>17</v>
      </c>
      <c r="AM64" s="25">
        <f t="shared" si="11"/>
        <v>58</v>
      </c>
      <c r="AN64" s="69">
        <f t="shared" si="12"/>
        <v>56</v>
      </c>
      <c r="AO64" s="25">
        <f t="shared" si="17"/>
        <v>17</v>
      </c>
      <c r="AP64" s="25" t="str">
        <f t="shared" si="13"/>
        <v xml:space="preserve"> </v>
      </c>
      <c r="AQ64" s="25"/>
      <c r="AR64" s="25"/>
      <c r="AS64" s="25"/>
      <c r="AT64" s="25"/>
      <c r="AU64" s="55"/>
    </row>
    <row r="65" spans="1:47" ht="19.2" thickBot="1" x14ac:dyDescent="0.35">
      <c r="A65" s="23">
        <v>59</v>
      </c>
      <c r="B65" s="42" t="s">
        <v>11</v>
      </c>
      <c r="C65" s="43">
        <v>59</v>
      </c>
      <c r="D65" s="23">
        <f t="shared" si="10"/>
        <v>1003</v>
      </c>
      <c r="F65" s="62"/>
      <c r="G65" s="63" t="str">
        <f t="shared" si="21"/>
        <v/>
      </c>
      <c r="H65" s="64" t="str">
        <f t="shared" si="21"/>
        <v/>
      </c>
      <c r="I65" s="64" t="str">
        <f t="shared" si="21"/>
        <v/>
      </c>
      <c r="J65" s="64" t="str">
        <f t="shared" si="21"/>
        <v/>
      </c>
      <c r="K65" s="64" t="str">
        <f t="shared" si="21"/>
        <v/>
      </c>
      <c r="L65" s="64" t="str">
        <f t="shared" si="21"/>
        <v/>
      </c>
      <c r="M65" s="63" t="str">
        <f t="shared" si="21"/>
        <v/>
      </c>
      <c r="N65" s="64" t="str">
        <f t="shared" si="21"/>
        <v/>
      </c>
      <c r="O65" s="64" t="str">
        <f t="shared" si="21"/>
        <v/>
      </c>
      <c r="P65" s="64" t="str">
        <f t="shared" si="21"/>
        <v/>
      </c>
      <c r="Q65" s="63" t="str">
        <f t="shared" si="21"/>
        <v/>
      </c>
      <c r="R65" s="64" t="str">
        <f t="shared" si="21"/>
        <v/>
      </c>
      <c r="S65" s="63">
        <f t="shared" si="21"/>
        <v>13</v>
      </c>
      <c r="T65" s="64" t="str">
        <f t="shared" si="21"/>
        <v/>
      </c>
      <c r="U65" s="64" t="str">
        <f t="shared" si="21"/>
        <v/>
      </c>
      <c r="V65" s="64" t="str">
        <f t="shared" si="21"/>
        <v/>
      </c>
      <c r="W65" s="63" t="str">
        <f t="shared" si="20"/>
        <v/>
      </c>
      <c r="X65" s="64" t="str">
        <f t="shared" si="20"/>
        <v/>
      </c>
      <c r="Y65" s="63" t="str">
        <f t="shared" si="20"/>
        <v/>
      </c>
      <c r="Z65" s="64" t="str">
        <f t="shared" si="20"/>
        <v/>
      </c>
      <c r="AA65" s="64" t="str">
        <f t="shared" si="20"/>
        <v/>
      </c>
      <c r="AB65" s="64" t="str">
        <f t="shared" si="20"/>
        <v/>
      </c>
      <c r="AC65" s="63" t="str">
        <f t="shared" si="20"/>
        <v/>
      </c>
      <c r="AD65" s="64" t="str">
        <f t="shared" si="20"/>
        <v/>
      </c>
      <c r="AE65" s="64" t="str">
        <f t="shared" si="20"/>
        <v/>
      </c>
      <c r="AF65" s="64" t="str">
        <f t="shared" si="20"/>
        <v/>
      </c>
      <c r="AG65" s="64" t="str">
        <f t="shared" si="20"/>
        <v/>
      </c>
      <c r="AH65" s="64" t="str">
        <f t="shared" si="20"/>
        <v/>
      </c>
      <c r="AI65" s="65" t="str">
        <f t="shared" si="20"/>
        <v/>
      </c>
      <c r="AL65" s="54">
        <f t="shared" si="16"/>
        <v>17</v>
      </c>
      <c r="AM65" s="25">
        <f t="shared" si="11"/>
        <v>59</v>
      </c>
      <c r="AN65" s="69">
        <f>30+SUM(F65:AI65)</f>
        <v>43</v>
      </c>
      <c r="AO65" s="25">
        <f t="shared" si="17"/>
        <v>17</v>
      </c>
      <c r="AP65" s="25" t="str">
        <f t="shared" si="13"/>
        <v>#P</v>
      </c>
      <c r="AQ65" s="25"/>
      <c r="AR65" s="25"/>
      <c r="AS65" s="25"/>
      <c r="AT65" s="25"/>
      <c r="AU65" s="55"/>
    </row>
    <row r="66" spans="1:47" ht="19.2" thickBot="1" x14ac:dyDescent="0.35">
      <c r="D66" s="37">
        <f>D35</f>
        <v>17</v>
      </c>
      <c r="F66" s="23">
        <v>0</v>
      </c>
      <c r="G66" s="24">
        <v>1</v>
      </c>
      <c r="H66" s="23">
        <v>2</v>
      </c>
      <c r="I66" s="23">
        <v>3</v>
      </c>
      <c r="J66" s="23">
        <v>4</v>
      </c>
      <c r="K66" s="23">
        <v>5</v>
      </c>
      <c r="L66" s="23">
        <v>6</v>
      </c>
      <c r="M66" s="24">
        <v>7</v>
      </c>
      <c r="N66" s="23">
        <v>8</v>
      </c>
      <c r="O66" s="23">
        <v>9</v>
      </c>
      <c r="P66" s="23">
        <v>10</v>
      </c>
      <c r="Q66" s="24">
        <v>11</v>
      </c>
      <c r="R66" s="23">
        <v>12</v>
      </c>
      <c r="S66" s="24">
        <v>13</v>
      </c>
      <c r="T66" s="23">
        <v>14</v>
      </c>
      <c r="U66" s="23">
        <v>15</v>
      </c>
      <c r="V66" s="23">
        <v>16</v>
      </c>
      <c r="W66" s="24">
        <v>17</v>
      </c>
      <c r="X66" s="23">
        <v>18</v>
      </c>
      <c r="Y66" s="24">
        <v>19</v>
      </c>
      <c r="Z66" s="23">
        <v>20</v>
      </c>
      <c r="AA66" s="23">
        <v>21</v>
      </c>
      <c r="AB66" s="23">
        <v>22</v>
      </c>
      <c r="AC66" s="24">
        <v>23</v>
      </c>
      <c r="AD66" s="23">
        <v>24</v>
      </c>
      <c r="AE66" s="23">
        <v>25</v>
      </c>
      <c r="AF66" s="23">
        <v>26</v>
      </c>
      <c r="AG66" s="23">
        <v>27</v>
      </c>
      <c r="AH66" s="23">
        <v>28</v>
      </c>
      <c r="AI66" s="24">
        <v>29</v>
      </c>
      <c r="AL66" s="54" t="s">
        <v>6</v>
      </c>
      <c r="AM66" s="25" t="s">
        <v>7</v>
      </c>
      <c r="AN66" s="69" t="s">
        <v>8</v>
      </c>
      <c r="AO66" s="25" t="s">
        <v>9</v>
      </c>
      <c r="AP66" s="25" t="s">
        <v>12</v>
      </c>
      <c r="AQ66" s="25"/>
      <c r="AR66" s="25"/>
      <c r="AS66" s="25"/>
      <c r="AT66" s="25"/>
      <c r="AU66" s="55"/>
    </row>
    <row r="67" spans="1:47" ht="19.8" thickTop="1" thickBot="1" x14ac:dyDescent="0.35">
      <c r="B67" s="38" t="s">
        <v>10</v>
      </c>
      <c r="C67" s="39">
        <v>60</v>
      </c>
      <c r="D67" s="23">
        <f t="shared" ref="D67:D96" si="22">C67*$D$4</f>
        <v>1020</v>
      </c>
      <c r="F67" s="49"/>
      <c r="G67" s="50"/>
      <c r="H67" s="51"/>
      <c r="I67" s="51"/>
      <c r="J67" s="51"/>
      <c r="K67" s="51"/>
      <c r="L67" s="51"/>
      <c r="M67" s="50"/>
      <c r="N67" s="51"/>
      <c r="O67" s="51"/>
      <c r="P67" s="51"/>
      <c r="Q67" s="50"/>
      <c r="R67" s="51"/>
      <c r="S67" s="50"/>
      <c r="T67" s="51"/>
      <c r="U67" s="48"/>
      <c r="V67" s="51"/>
      <c r="W67" s="50"/>
      <c r="X67" s="51"/>
      <c r="Y67" s="50"/>
      <c r="Z67" s="51"/>
      <c r="AA67" s="51"/>
      <c r="AB67" s="51"/>
      <c r="AC67" s="50"/>
      <c r="AD67" s="51"/>
      <c r="AE67" s="51"/>
      <c r="AF67" s="51"/>
      <c r="AG67" s="51"/>
      <c r="AH67" s="51"/>
      <c r="AI67" s="52"/>
      <c r="AL67" s="54">
        <f>D66</f>
        <v>17</v>
      </c>
      <c r="AM67" s="25">
        <f t="shared" ref="AM67:AM96" si="23">C67</f>
        <v>60</v>
      </c>
      <c r="AN67" s="69">
        <f t="shared" ref="AN67:AN95" si="24">60+SUM(F67:AI67)</f>
        <v>60</v>
      </c>
      <c r="AO67" s="66">
        <f>AO65</f>
        <v>17</v>
      </c>
      <c r="AP67" s="25" t="str">
        <f t="shared" ref="AP67:AP96" si="25">B67</f>
        <v xml:space="preserve"> </v>
      </c>
      <c r="AQ67" s="25"/>
      <c r="AR67" s="25"/>
      <c r="AS67" s="25"/>
      <c r="AT67" s="25"/>
      <c r="AU67" s="55"/>
    </row>
    <row r="68" spans="1:47" x14ac:dyDescent="0.3">
      <c r="A68" s="23">
        <v>61</v>
      </c>
      <c r="B68" s="40" t="s">
        <v>11</v>
      </c>
      <c r="C68" s="41">
        <v>61</v>
      </c>
      <c r="D68" s="23">
        <f t="shared" si="22"/>
        <v>1037</v>
      </c>
      <c r="F68" s="58"/>
      <c r="G68" s="59" t="str">
        <f>IF((MOD(($D68-G$4),30)=0),G$4,"")</f>
        <v/>
      </c>
      <c r="H68" s="60" t="str">
        <f t="shared" ref="H68:AI79" si="26">IF((MOD(($D68-H$4),30)=0),H$4,"")</f>
        <v/>
      </c>
      <c r="I68" s="60" t="str">
        <f t="shared" si="26"/>
        <v/>
      </c>
      <c r="J68" s="60" t="str">
        <f t="shared" si="26"/>
        <v/>
      </c>
      <c r="K68" s="60" t="str">
        <f t="shared" si="26"/>
        <v/>
      </c>
      <c r="L68" s="60" t="str">
        <f t="shared" si="26"/>
        <v/>
      </c>
      <c r="M68" s="59" t="str">
        <f t="shared" si="26"/>
        <v/>
      </c>
      <c r="N68" s="60" t="str">
        <f t="shared" si="26"/>
        <v/>
      </c>
      <c r="O68" s="60" t="str">
        <f t="shared" si="26"/>
        <v/>
      </c>
      <c r="P68" s="60" t="str">
        <f t="shared" si="26"/>
        <v/>
      </c>
      <c r="Q68" s="59" t="str">
        <f t="shared" si="26"/>
        <v/>
      </c>
      <c r="R68" s="60" t="str">
        <f t="shared" si="26"/>
        <v/>
      </c>
      <c r="S68" s="59" t="str">
        <f t="shared" si="26"/>
        <v/>
      </c>
      <c r="T68" s="60" t="str">
        <f t="shared" si="26"/>
        <v/>
      </c>
      <c r="U68" s="60" t="str">
        <f t="shared" si="26"/>
        <v/>
      </c>
      <c r="V68" s="60" t="str">
        <f t="shared" si="26"/>
        <v/>
      </c>
      <c r="W68" s="59">
        <f t="shared" si="26"/>
        <v>17</v>
      </c>
      <c r="X68" s="60" t="str">
        <f t="shared" si="26"/>
        <v/>
      </c>
      <c r="Y68" s="59" t="str">
        <f t="shared" si="26"/>
        <v/>
      </c>
      <c r="Z68" s="60" t="str">
        <f t="shared" si="26"/>
        <v/>
      </c>
      <c r="AA68" s="60" t="str">
        <f t="shared" si="26"/>
        <v/>
      </c>
      <c r="AB68" s="60" t="str">
        <f t="shared" si="26"/>
        <v/>
      </c>
      <c r="AC68" s="59" t="str">
        <f t="shared" si="26"/>
        <v/>
      </c>
      <c r="AD68" s="60" t="str">
        <f t="shared" si="26"/>
        <v/>
      </c>
      <c r="AE68" s="60" t="str">
        <f t="shared" si="26"/>
        <v/>
      </c>
      <c r="AF68" s="60" t="str">
        <f t="shared" si="26"/>
        <v/>
      </c>
      <c r="AG68" s="60" t="str">
        <f t="shared" si="26"/>
        <v/>
      </c>
      <c r="AH68" s="60" t="str">
        <f t="shared" si="26"/>
        <v/>
      </c>
      <c r="AI68" s="61" t="str">
        <f t="shared" si="26"/>
        <v/>
      </c>
      <c r="AL68" s="54">
        <f>AL67</f>
        <v>17</v>
      </c>
      <c r="AM68" s="25">
        <f t="shared" si="23"/>
        <v>61</v>
      </c>
      <c r="AN68" s="69">
        <f t="shared" si="24"/>
        <v>77</v>
      </c>
      <c r="AO68" s="25">
        <f>AO67</f>
        <v>17</v>
      </c>
      <c r="AP68" s="25" t="str">
        <f t="shared" si="25"/>
        <v>#P</v>
      </c>
      <c r="AQ68" s="25"/>
      <c r="AR68" s="25"/>
      <c r="AS68" s="25"/>
      <c r="AT68" s="25"/>
      <c r="AU68" s="55"/>
    </row>
    <row r="69" spans="1:47" x14ac:dyDescent="0.3">
      <c r="B69" s="40" t="s">
        <v>10</v>
      </c>
      <c r="C69" s="41">
        <v>62</v>
      </c>
      <c r="D69" s="23">
        <f t="shared" si="22"/>
        <v>1054</v>
      </c>
      <c r="F69" s="58"/>
      <c r="G69" s="59" t="str">
        <f t="shared" ref="G69:V90" si="27">IF((MOD(($D69-G$4),30)=0),G$4,"")</f>
        <v/>
      </c>
      <c r="H69" s="60" t="str">
        <f t="shared" si="27"/>
        <v/>
      </c>
      <c r="I69" s="60" t="str">
        <f t="shared" si="27"/>
        <v/>
      </c>
      <c r="J69" s="60">
        <f t="shared" si="27"/>
        <v>4</v>
      </c>
      <c r="K69" s="60" t="str">
        <f t="shared" si="27"/>
        <v/>
      </c>
      <c r="L69" s="60" t="str">
        <f t="shared" si="27"/>
        <v/>
      </c>
      <c r="M69" s="59" t="str">
        <f t="shared" si="27"/>
        <v/>
      </c>
      <c r="N69" s="60" t="str">
        <f t="shared" si="27"/>
        <v/>
      </c>
      <c r="O69" s="60" t="str">
        <f t="shared" si="27"/>
        <v/>
      </c>
      <c r="P69" s="60" t="str">
        <f t="shared" si="27"/>
        <v/>
      </c>
      <c r="Q69" s="59" t="str">
        <f t="shared" si="27"/>
        <v/>
      </c>
      <c r="R69" s="60" t="str">
        <f t="shared" si="27"/>
        <v/>
      </c>
      <c r="S69" s="59" t="str">
        <f t="shared" si="27"/>
        <v/>
      </c>
      <c r="T69" s="60" t="str">
        <f t="shared" si="27"/>
        <v/>
      </c>
      <c r="U69" s="60" t="str">
        <f t="shared" si="27"/>
        <v/>
      </c>
      <c r="V69" s="60" t="str">
        <f t="shared" si="27"/>
        <v/>
      </c>
      <c r="W69" s="59" t="str">
        <f t="shared" si="26"/>
        <v/>
      </c>
      <c r="X69" s="60" t="str">
        <f t="shared" si="26"/>
        <v/>
      </c>
      <c r="Y69" s="59" t="str">
        <f t="shared" si="26"/>
        <v/>
      </c>
      <c r="Z69" s="60" t="str">
        <f t="shared" si="26"/>
        <v/>
      </c>
      <c r="AA69" s="60" t="str">
        <f t="shared" si="26"/>
        <v/>
      </c>
      <c r="AB69" s="60" t="str">
        <f t="shared" si="26"/>
        <v/>
      </c>
      <c r="AC69" s="59" t="str">
        <f t="shared" si="26"/>
        <v/>
      </c>
      <c r="AD69" s="60" t="str">
        <f t="shared" si="26"/>
        <v/>
      </c>
      <c r="AE69" s="60" t="str">
        <f t="shared" si="26"/>
        <v/>
      </c>
      <c r="AF69" s="60" t="str">
        <f t="shared" si="26"/>
        <v/>
      </c>
      <c r="AG69" s="60" t="str">
        <f t="shared" si="26"/>
        <v/>
      </c>
      <c r="AH69" s="60" t="str">
        <f t="shared" si="26"/>
        <v/>
      </c>
      <c r="AI69" s="61" t="str">
        <f t="shared" si="26"/>
        <v/>
      </c>
      <c r="AL69" s="54">
        <f t="shared" ref="AL69:AL96" si="28">AL68</f>
        <v>17</v>
      </c>
      <c r="AM69" s="25">
        <f t="shared" si="23"/>
        <v>62</v>
      </c>
      <c r="AN69" s="69">
        <f t="shared" si="24"/>
        <v>64</v>
      </c>
      <c r="AO69" s="25">
        <f t="shared" ref="AO69:AO96" si="29">AO68</f>
        <v>17</v>
      </c>
      <c r="AP69" s="25" t="str">
        <f t="shared" si="25"/>
        <v xml:space="preserve"> </v>
      </c>
      <c r="AQ69" s="25"/>
      <c r="AR69" s="25"/>
      <c r="AS69" s="25"/>
      <c r="AT69" s="25"/>
      <c r="AU69" s="55"/>
    </row>
    <row r="70" spans="1:47" x14ac:dyDescent="0.3">
      <c r="B70" s="40" t="s">
        <v>10</v>
      </c>
      <c r="C70" s="41">
        <v>63</v>
      </c>
      <c r="D70" s="23">
        <f t="shared" si="22"/>
        <v>1071</v>
      </c>
      <c r="F70" s="58"/>
      <c r="G70" s="59" t="str">
        <f t="shared" si="27"/>
        <v/>
      </c>
      <c r="H70" s="60" t="str">
        <f t="shared" si="27"/>
        <v/>
      </c>
      <c r="I70" s="60" t="str">
        <f t="shared" si="27"/>
        <v/>
      </c>
      <c r="J70" s="60" t="str">
        <f t="shared" si="27"/>
        <v/>
      </c>
      <c r="K70" s="60" t="str">
        <f t="shared" si="27"/>
        <v/>
      </c>
      <c r="L70" s="60" t="str">
        <f t="shared" si="27"/>
        <v/>
      </c>
      <c r="M70" s="59" t="str">
        <f t="shared" si="27"/>
        <v/>
      </c>
      <c r="N70" s="60" t="str">
        <f t="shared" si="26"/>
        <v/>
      </c>
      <c r="O70" s="60" t="str">
        <f t="shared" si="26"/>
        <v/>
      </c>
      <c r="P70" s="60" t="str">
        <f t="shared" si="26"/>
        <v/>
      </c>
      <c r="Q70" s="59" t="str">
        <f t="shared" si="26"/>
        <v/>
      </c>
      <c r="R70" s="60" t="str">
        <f t="shared" si="26"/>
        <v/>
      </c>
      <c r="S70" s="59" t="str">
        <f t="shared" si="26"/>
        <v/>
      </c>
      <c r="T70" s="60" t="str">
        <f t="shared" si="26"/>
        <v/>
      </c>
      <c r="U70" s="60" t="str">
        <f t="shared" si="26"/>
        <v/>
      </c>
      <c r="V70" s="60" t="str">
        <f t="shared" si="26"/>
        <v/>
      </c>
      <c r="W70" s="59" t="str">
        <f t="shared" si="26"/>
        <v/>
      </c>
      <c r="X70" s="60" t="str">
        <f t="shared" si="26"/>
        <v/>
      </c>
      <c r="Y70" s="59" t="str">
        <f t="shared" si="26"/>
        <v/>
      </c>
      <c r="Z70" s="60" t="str">
        <f t="shared" si="26"/>
        <v/>
      </c>
      <c r="AA70" s="60">
        <f t="shared" si="26"/>
        <v>21</v>
      </c>
      <c r="AB70" s="60" t="str">
        <f t="shared" si="26"/>
        <v/>
      </c>
      <c r="AC70" s="59" t="str">
        <f t="shared" si="26"/>
        <v/>
      </c>
      <c r="AD70" s="60" t="str">
        <f t="shared" si="26"/>
        <v/>
      </c>
      <c r="AE70" s="60" t="str">
        <f t="shared" si="26"/>
        <v/>
      </c>
      <c r="AF70" s="60" t="str">
        <f t="shared" si="26"/>
        <v/>
      </c>
      <c r="AG70" s="60" t="str">
        <f t="shared" si="26"/>
        <v/>
      </c>
      <c r="AH70" s="60" t="str">
        <f t="shared" si="26"/>
        <v/>
      </c>
      <c r="AI70" s="61" t="str">
        <f t="shared" si="26"/>
        <v/>
      </c>
      <c r="AL70" s="54">
        <f t="shared" si="28"/>
        <v>17</v>
      </c>
      <c r="AM70" s="25">
        <f t="shared" si="23"/>
        <v>63</v>
      </c>
      <c r="AN70" s="69">
        <f t="shared" si="24"/>
        <v>81</v>
      </c>
      <c r="AO70" s="25">
        <f t="shared" si="29"/>
        <v>17</v>
      </c>
      <c r="AP70" s="25" t="str">
        <f t="shared" si="25"/>
        <v xml:space="preserve"> </v>
      </c>
      <c r="AQ70" s="25"/>
      <c r="AR70" s="25"/>
      <c r="AS70" s="25"/>
      <c r="AT70" s="25"/>
      <c r="AU70" s="55"/>
    </row>
    <row r="71" spans="1:47" x14ac:dyDescent="0.3">
      <c r="B71" s="40" t="s">
        <v>10</v>
      </c>
      <c r="C71" s="41">
        <v>64</v>
      </c>
      <c r="D71" s="23">
        <f t="shared" si="22"/>
        <v>1088</v>
      </c>
      <c r="F71" s="58"/>
      <c r="G71" s="59" t="str">
        <f t="shared" si="27"/>
        <v/>
      </c>
      <c r="H71" s="60" t="str">
        <f t="shared" si="27"/>
        <v/>
      </c>
      <c r="I71" s="60" t="str">
        <f t="shared" si="27"/>
        <v/>
      </c>
      <c r="J71" s="60" t="str">
        <f t="shared" si="27"/>
        <v/>
      </c>
      <c r="K71" s="60" t="str">
        <f t="shared" si="27"/>
        <v/>
      </c>
      <c r="L71" s="60" t="str">
        <f t="shared" si="27"/>
        <v/>
      </c>
      <c r="M71" s="59" t="str">
        <f t="shared" si="27"/>
        <v/>
      </c>
      <c r="N71" s="60">
        <f t="shared" si="26"/>
        <v>8</v>
      </c>
      <c r="O71" s="60" t="str">
        <f t="shared" si="26"/>
        <v/>
      </c>
      <c r="P71" s="60" t="str">
        <f t="shared" si="26"/>
        <v/>
      </c>
      <c r="Q71" s="59" t="str">
        <f t="shared" si="26"/>
        <v/>
      </c>
      <c r="R71" s="60" t="str">
        <f t="shared" si="26"/>
        <v/>
      </c>
      <c r="S71" s="59" t="str">
        <f t="shared" si="26"/>
        <v/>
      </c>
      <c r="T71" s="60" t="str">
        <f t="shared" si="26"/>
        <v/>
      </c>
      <c r="U71" s="60" t="str">
        <f t="shared" si="26"/>
        <v/>
      </c>
      <c r="V71" s="60" t="str">
        <f t="shared" si="26"/>
        <v/>
      </c>
      <c r="W71" s="59" t="str">
        <f t="shared" si="26"/>
        <v/>
      </c>
      <c r="X71" s="60" t="str">
        <f t="shared" si="26"/>
        <v/>
      </c>
      <c r="Y71" s="59" t="str">
        <f t="shared" si="26"/>
        <v/>
      </c>
      <c r="Z71" s="60" t="str">
        <f t="shared" si="26"/>
        <v/>
      </c>
      <c r="AA71" s="60" t="str">
        <f t="shared" si="26"/>
        <v/>
      </c>
      <c r="AB71" s="60" t="str">
        <f t="shared" si="26"/>
        <v/>
      </c>
      <c r="AC71" s="59" t="str">
        <f t="shared" si="26"/>
        <v/>
      </c>
      <c r="AD71" s="60" t="str">
        <f t="shared" si="26"/>
        <v/>
      </c>
      <c r="AE71" s="60" t="str">
        <f t="shared" si="26"/>
        <v/>
      </c>
      <c r="AF71" s="60" t="str">
        <f t="shared" si="26"/>
        <v/>
      </c>
      <c r="AG71" s="60" t="str">
        <f t="shared" si="26"/>
        <v/>
      </c>
      <c r="AH71" s="60" t="str">
        <f t="shared" si="26"/>
        <v/>
      </c>
      <c r="AI71" s="61" t="str">
        <f t="shared" si="26"/>
        <v/>
      </c>
      <c r="AL71" s="54">
        <f t="shared" si="28"/>
        <v>17</v>
      </c>
      <c r="AM71" s="25">
        <f t="shared" si="23"/>
        <v>64</v>
      </c>
      <c r="AN71" s="69">
        <f t="shared" si="24"/>
        <v>68</v>
      </c>
      <c r="AO71" s="25">
        <f t="shared" si="29"/>
        <v>17</v>
      </c>
      <c r="AP71" s="25" t="str">
        <f t="shared" si="25"/>
        <v xml:space="preserve"> </v>
      </c>
      <c r="AQ71" s="25"/>
      <c r="AR71" s="25"/>
      <c r="AS71" s="25"/>
      <c r="AT71" s="25"/>
      <c r="AU71" s="55"/>
    </row>
    <row r="72" spans="1:47" x14ac:dyDescent="0.3">
      <c r="B72" s="40" t="s">
        <v>10</v>
      </c>
      <c r="C72" s="41">
        <v>65</v>
      </c>
      <c r="D72" s="23">
        <f t="shared" si="22"/>
        <v>1105</v>
      </c>
      <c r="F72" s="58"/>
      <c r="G72" s="59" t="str">
        <f t="shared" si="27"/>
        <v/>
      </c>
      <c r="H72" s="60" t="str">
        <f t="shared" si="27"/>
        <v/>
      </c>
      <c r="I72" s="60" t="str">
        <f t="shared" si="27"/>
        <v/>
      </c>
      <c r="J72" s="60" t="str">
        <f t="shared" si="27"/>
        <v/>
      </c>
      <c r="K72" s="60" t="str">
        <f t="shared" si="27"/>
        <v/>
      </c>
      <c r="L72" s="60" t="str">
        <f t="shared" si="27"/>
        <v/>
      </c>
      <c r="M72" s="59" t="str">
        <f t="shared" si="27"/>
        <v/>
      </c>
      <c r="N72" s="60" t="str">
        <f t="shared" si="26"/>
        <v/>
      </c>
      <c r="O72" s="60" t="str">
        <f t="shared" si="26"/>
        <v/>
      </c>
      <c r="P72" s="60" t="str">
        <f t="shared" si="26"/>
        <v/>
      </c>
      <c r="Q72" s="59" t="str">
        <f t="shared" si="26"/>
        <v/>
      </c>
      <c r="R72" s="60" t="str">
        <f t="shared" si="26"/>
        <v/>
      </c>
      <c r="S72" s="59" t="str">
        <f t="shared" si="26"/>
        <v/>
      </c>
      <c r="T72" s="60" t="str">
        <f t="shared" si="26"/>
        <v/>
      </c>
      <c r="U72" s="60" t="str">
        <f t="shared" si="26"/>
        <v/>
      </c>
      <c r="V72" s="60" t="str">
        <f t="shared" si="26"/>
        <v/>
      </c>
      <c r="W72" s="59" t="str">
        <f t="shared" si="26"/>
        <v/>
      </c>
      <c r="X72" s="60" t="str">
        <f t="shared" si="26"/>
        <v/>
      </c>
      <c r="Y72" s="59" t="str">
        <f t="shared" si="26"/>
        <v/>
      </c>
      <c r="Z72" s="60" t="str">
        <f t="shared" si="26"/>
        <v/>
      </c>
      <c r="AA72" s="60" t="str">
        <f t="shared" si="26"/>
        <v/>
      </c>
      <c r="AB72" s="60" t="str">
        <f t="shared" si="26"/>
        <v/>
      </c>
      <c r="AC72" s="59" t="str">
        <f t="shared" si="26"/>
        <v/>
      </c>
      <c r="AD72" s="60" t="str">
        <f t="shared" si="26"/>
        <v/>
      </c>
      <c r="AE72" s="60">
        <f t="shared" si="26"/>
        <v>25</v>
      </c>
      <c r="AF72" s="60" t="str">
        <f t="shared" si="26"/>
        <v/>
      </c>
      <c r="AG72" s="60" t="str">
        <f t="shared" si="26"/>
        <v/>
      </c>
      <c r="AH72" s="60" t="str">
        <f t="shared" si="26"/>
        <v/>
      </c>
      <c r="AI72" s="61" t="str">
        <f t="shared" si="26"/>
        <v/>
      </c>
      <c r="AL72" s="54">
        <f t="shared" si="28"/>
        <v>17</v>
      </c>
      <c r="AM72" s="25">
        <f t="shared" si="23"/>
        <v>65</v>
      </c>
      <c r="AN72" s="69">
        <f t="shared" si="24"/>
        <v>85</v>
      </c>
      <c r="AO72" s="25">
        <f t="shared" si="29"/>
        <v>17</v>
      </c>
      <c r="AP72" s="25" t="str">
        <f t="shared" si="25"/>
        <v xml:space="preserve"> </v>
      </c>
      <c r="AQ72" s="25"/>
      <c r="AR72" s="25"/>
      <c r="AS72" s="25"/>
      <c r="AT72" s="25"/>
      <c r="AU72" s="55"/>
    </row>
    <row r="73" spans="1:47" x14ac:dyDescent="0.3">
      <c r="B73" s="40" t="s">
        <v>10</v>
      </c>
      <c r="C73" s="41">
        <v>66</v>
      </c>
      <c r="D73" s="23">
        <f t="shared" si="22"/>
        <v>1122</v>
      </c>
      <c r="F73" s="58"/>
      <c r="G73" s="59" t="str">
        <f t="shared" si="27"/>
        <v/>
      </c>
      <c r="H73" s="60" t="str">
        <f t="shared" si="27"/>
        <v/>
      </c>
      <c r="I73" s="60" t="str">
        <f t="shared" si="27"/>
        <v/>
      </c>
      <c r="J73" s="60" t="str">
        <f t="shared" si="27"/>
        <v/>
      </c>
      <c r="K73" s="60" t="str">
        <f t="shared" si="27"/>
        <v/>
      </c>
      <c r="L73" s="60" t="str">
        <f t="shared" si="27"/>
        <v/>
      </c>
      <c r="M73" s="59" t="str">
        <f t="shared" si="27"/>
        <v/>
      </c>
      <c r="N73" s="60" t="str">
        <f t="shared" si="26"/>
        <v/>
      </c>
      <c r="O73" s="60" t="str">
        <f t="shared" si="26"/>
        <v/>
      </c>
      <c r="P73" s="60" t="str">
        <f t="shared" si="26"/>
        <v/>
      </c>
      <c r="Q73" s="59" t="str">
        <f t="shared" si="26"/>
        <v/>
      </c>
      <c r="R73" s="60">
        <f t="shared" si="26"/>
        <v>12</v>
      </c>
      <c r="S73" s="59" t="str">
        <f t="shared" si="26"/>
        <v/>
      </c>
      <c r="T73" s="60" t="str">
        <f t="shared" si="26"/>
        <v/>
      </c>
      <c r="U73" s="60" t="str">
        <f t="shared" si="26"/>
        <v/>
      </c>
      <c r="V73" s="60" t="str">
        <f t="shared" si="26"/>
        <v/>
      </c>
      <c r="W73" s="59" t="str">
        <f t="shared" si="26"/>
        <v/>
      </c>
      <c r="X73" s="60" t="str">
        <f t="shared" si="26"/>
        <v/>
      </c>
      <c r="Y73" s="59" t="str">
        <f t="shared" si="26"/>
        <v/>
      </c>
      <c r="Z73" s="60" t="str">
        <f t="shared" si="26"/>
        <v/>
      </c>
      <c r="AA73" s="60" t="str">
        <f t="shared" si="26"/>
        <v/>
      </c>
      <c r="AB73" s="60" t="str">
        <f t="shared" si="26"/>
        <v/>
      </c>
      <c r="AC73" s="59" t="str">
        <f t="shared" si="26"/>
        <v/>
      </c>
      <c r="AD73" s="60" t="str">
        <f t="shared" si="26"/>
        <v/>
      </c>
      <c r="AE73" s="60" t="str">
        <f t="shared" si="26"/>
        <v/>
      </c>
      <c r="AF73" s="60" t="str">
        <f t="shared" si="26"/>
        <v/>
      </c>
      <c r="AG73" s="60" t="str">
        <f t="shared" si="26"/>
        <v/>
      </c>
      <c r="AH73" s="60" t="str">
        <f t="shared" si="26"/>
        <v/>
      </c>
      <c r="AI73" s="61" t="str">
        <f t="shared" si="26"/>
        <v/>
      </c>
      <c r="AL73" s="54">
        <f t="shared" si="28"/>
        <v>17</v>
      </c>
      <c r="AM73" s="25">
        <f t="shared" si="23"/>
        <v>66</v>
      </c>
      <c r="AN73" s="69">
        <f t="shared" si="24"/>
        <v>72</v>
      </c>
      <c r="AO73" s="25">
        <f t="shared" si="29"/>
        <v>17</v>
      </c>
      <c r="AP73" s="25" t="str">
        <f t="shared" si="25"/>
        <v xml:space="preserve"> </v>
      </c>
      <c r="AQ73" s="25"/>
      <c r="AR73" s="25"/>
      <c r="AS73" s="25"/>
      <c r="AT73" s="25"/>
      <c r="AU73" s="55"/>
    </row>
    <row r="74" spans="1:47" x14ac:dyDescent="0.3">
      <c r="A74" s="23">
        <v>67</v>
      </c>
      <c r="B74" s="40" t="s">
        <v>11</v>
      </c>
      <c r="C74" s="41">
        <v>67</v>
      </c>
      <c r="D74" s="23">
        <f t="shared" si="22"/>
        <v>1139</v>
      </c>
      <c r="F74" s="58"/>
      <c r="G74" s="59" t="str">
        <f t="shared" si="27"/>
        <v/>
      </c>
      <c r="H74" s="60" t="str">
        <f t="shared" si="27"/>
        <v/>
      </c>
      <c r="I74" s="60" t="str">
        <f t="shared" si="27"/>
        <v/>
      </c>
      <c r="J74" s="60" t="str">
        <f t="shared" si="27"/>
        <v/>
      </c>
      <c r="K74" s="60" t="str">
        <f t="shared" si="27"/>
        <v/>
      </c>
      <c r="L74" s="60" t="str">
        <f t="shared" si="27"/>
        <v/>
      </c>
      <c r="M74" s="59" t="str">
        <f t="shared" si="27"/>
        <v/>
      </c>
      <c r="N74" s="60" t="str">
        <f t="shared" si="26"/>
        <v/>
      </c>
      <c r="O74" s="60" t="str">
        <f t="shared" si="26"/>
        <v/>
      </c>
      <c r="P74" s="60" t="str">
        <f t="shared" si="26"/>
        <v/>
      </c>
      <c r="Q74" s="59" t="str">
        <f t="shared" si="26"/>
        <v/>
      </c>
      <c r="R74" s="60" t="str">
        <f t="shared" si="26"/>
        <v/>
      </c>
      <c r="S74" s="59" t="str">
        <f t="shared" si="26"/>
        <v/>
      </c>
      <c r="T74" s="60" t="str">
        <f t="shared" si="26"/>
        <v/>
      </c>
      <c r="U74" s="60" t="str">
        <f t="shared" si="26"/>
        <v/>
      </c>
      <c r="V74" s="60" t="str">
        <f t="shared" si="26"/>
        <v/>
      </c>
      <c r="W74" s="59" t="str">
        <f t="shared" si="26"/>
        <v/>
      </c>
      <c r="X74" s="60" t="str">
        <f t="shared" si="26"/>
        <v/>
      </c>
      <c r="Y74" s="59" t="str">
        <f t="shared" si="26"/>
        <v/>
      </c>
      <c r="Z74" s="60" t="str">
        <f t="shared" si="26"/>
        <v/>
      </c>
      <c r="AA74" s="60" t="str">
        <f t="shared" si="26"/>
        <v/>
      </c>
      <c r="AB74" s="60" t="str">
        <f t="shared" si="26"/>
        <v/>
      </c>
      <c r="AC74" s="59" t="str">
        <f t="shared" si="26"/>
        <v/>
      </c>
      <c r="AD74" s="60" t="str">
        <f t="shared" si="26"/>
        <v/>
      </c>
      <c r="AE74" s="60" t="str">
        <f t="shared" si="26"/>
        <v/>
      </c>
      <c r="AF74" s="60" t="str">
        <f t="shared" si="26"/>
        <v/>
      </c>
      <c r="AG74" s="60" t="str">
        <f t="shared" si="26"/>
        <v/>
      </c>
      <c r="AH74" s="60" t="str">
        <f t="shared" si="26"/>
        <v/>
      </c>
      <c r="AI74" s="61">
        <f t="shared" si="26"/>
        <v>29</v>
      </c>
      <c r="AL74" s="54">
        <f t="shared" si="28"/>
        <v>17</v>
      </c>
      <c r="AM74" s="25">
        <f t="shared" si="23"/>
        <v>67</v>
      </c>
      <c r="AN74" s="69">
        <f t="shared" si="24"/>
        <v>89</v>
      </c>
      <c r="AO74" s="25">
        <f t="shared" si="29"/>
        <v>17</v>
      </c>
      <c r="AP74" s="25" t="str">
        <f t="shared" si="25"/>
        <v>#P</v>
      </c>
      <c r="AQ74" s="25"/>
      <c r="AR74" s="25"/>
      <c r="AS74" s="25"/>
      <c r="AT74" s="25"/>
      <c r="AU74" s="55"/>
    </row>
    <row r="75" spans="1:47" x14ac:dyDescent="0.3">
      <c r="B75" s="40" t="s">
        <v>10</v>
      </c>
      <c r="C75" s="41">
        <v>68</v>
      </c>
      <c r="D75" s="23">
        <f t="shared" si="22"/>
        <v>1156</v>
      </c>
      <c r="F75" s="58"/>
      <c r="G75" s="59" t="str">
        <f t="shared" si="27"/>
        <v/>
      </c>
      <c r="H75" s="60" t="str">
        <f t="shared" si="27"/>
        <v/>
      </c>
      <c r="I75" s="60" t="str">
        <f t="shared" si="27"/>
        <v/>
      </c>
      <c r="J75" s="60" t="str">
        <f t="shared" si="27"/>
        <v/>
      </c>
      <c r="K75" s="60" t="str">
        <f t="shared" si="27"/>
        <v/>
      </c>
      <c r="L75" s="60" t="str">
        <f t="shared" si="27"/>
        <v/>
      </c>
      <c r="M75" s="59" t="str">
        <f t="shared" si="27"/>
        <v/>
      </c>
      <c r="N75" s="60" t="str">
        <f t="shared" si="26"/>
        <v/>
      </c>
      <c r="O75" s="60" t="str">
        <f t="shared" si="26"/>
        <v/>
      </c>
      <c r="P75" s="60" t="str">
        <f t="shared" si="26"/>
        <v/>
      </c>
      <c r="Q75" s="59" t="str">
        <f t="shared" si="26"/>
        <v/>
      </c>
      <c r="R75" s="60" t="str">
        <f t="shared" si="26"/>
        <v/>
      </c>
      <c r="S75" s="59" t="str">
        <f t="shared" si="26"/>
        <v/>
      </c>
      <c r="T75" s="60" t="str">
        <f t="shared" si="26"/>
        <v/>
      </c>
      <c r="U75" s="60" t="str">
        <f t="shared" si="26"/>
        <v/>
      </c>
      <c r="V75" s="60">
        <f t="shared" si="26"/>
        <v>16</v>
      </c>
      <c r="W75" s="59" t="str">
        <f t="shared" si="26"/>
        <v/>
      </c>
      <c r="X75" s="60" t="str">
        <f t="shared" si="26"/>
        <v/>
      </c>
      <c r="Y75" s="59" t="str">
        <f t="shared" si="26"/>
        <v/>
      </c>
      <c r="Z75" s="60" t="str">
        <f t="shared" si="26"/>
        <v/>
      </c>
      <c r="AA75" s="60" t="str">
        <f t="shared" si="26"/>
        <v/>
      </c>
      <c r="AB75" s="60" t="str">
        <f t="shared" si="26"/>
        <v/>
      </c>
      <c r="AC75" s="59" t="str">
        <f t="shared" si="26"/>
        <v/>
      </c>
      <c r="AD75" s="60" t="str">
        <f t="shared" si="26"/>
        <v/>
      </c>
      <c r="AE75" s="60" t="str">
        <f t="shared" si="26"/>
        <v/>
      </c>
      <c r="AF75" s="60" t="str">
        <f t="shared" si="26"/>
        <v/>
      </c>
      <c r="AG75" s="60" t="str">
        <f t="shared" si="26"/>
        <v/>
      </c>
      <c r="AH75" s="60" t="str">
        <f t="shared" si="26"/>
        <v/>
      </c>
      <c r="AI75" s="61" t="str">
        <f t="shared" si="26"/>
        <v/>
      </c>
      <c r="AL75" s="54">
        <f t="shared" si="28"/>
        <v>17</v>
      </c>
      <c r="AM75" s="25">
        <f t="shared" si="23"/>
        <v>68</v>
      </c>
      <c r="AN75" s="69">
        <f t="shared" si="24"/>
        <v>76</v>
      </c>
      <c r="AO75" s="25">
        <f t="shared" si="29"/>
        <v>17</v>
      </c>
      <c r="AP75" s="25" t="str">
        <f t="shared" si="25"/>
        <v xml:space="preserve"> </v>
      </c>
      <c r="AQ75" s="25"/>
      <c r="AR75" s="25"/>
      <c r="AS75" s="25"/>
      <c r="AT75" s="25"/>
      <c r="AU75" s="55"/>
    </row>
    <row r="76" spans="1:47" x14ac:dyDescent="0.3">
      <c r="B76" s="40" t="s">
        <v>10</v>
      </c>
      <c r="C76" s="41">
        <v>69</v>
      </c>
      <c r="D76" s="23">
        <f t="shared" si="22"/>
        <v>1173</v>
      </c>
      <c r="F76" s="58"/>
      <c r="G76" s="59" t="str">
        <f t="shared" si="27"/>
        <v/>
      </c>
      <c r="H76" s="60" t="str">
        <f t="shared" si="27"/>
        <v/>
      </c>
      <c r="I76" s="60">
        <f t="shared" si="27"/>
        <v>3</v>
      </c>
      <c r="J76" s="60" t="str">
        <f t="shared" si="27"/>
        <v/>
      </c>
      <c r="K76" s="60" t="str">
        <f t="shared" si="27"/>
        <v/>
      </c>
      <c r="L76" s="60" t="str">
        <f t="shared" si="27"/>
        <v/>
      </c>
      <c r="M76" s="59" t="str">
        <f t="shared" si="27"/>
        <v/>
      </c>
      <c r="N76" s="60" t="str">
        <f t="shared" si="26"/>
        <v/>
      </c>
      <c r="O76" s="60" t="str">
        <f t="shared" si="26"/>
        <v/>
      </c>
      <c r="P76" s="60" t="str">
        <f t="shared" si="26"/>
        <v/>
      </c>
      <c r="Q76" s="59" t="str">
        <f t="shared" si="26"/>
        <v/>
      </c>
      <c r="R76" s="60" t="str">
        <f t="shared" si="26"/>
        <v/>
      </c>
      <c r="S76" s="59" t="str">
        <f t="shared" si="26"/>
        <v/>
      </c>
      <c r="T76" s="60" t="str">
        <f t="shared" si="26"/>
        <v/>
      </c>
      <c r="U76" s="60" t="str">
        <f t="shared" si="26"/>
        <v/>
      </c>
      <c r="V76" s="60" t="str">
        <f t="shared" si="26"/>
        <v/>
      </c>
      <c r="W76" s="59" t="str">
        <f t="shared" si="26"/>
        <v/>
      </c>
      <c r="X76" s="60" t="str">
        <f t="shared" si="26"/>
        <v/>
      </c>
      <c r="Y76" s="59" t="str">
        <f t="shared" si="26"/>
        <v/>
      </c>
      <c r="Z76" s="60" t="str">
        <f t="shared" si="26"/>
        <v/>
      </c>
      <c r="AA76" s="60" t="str">
        <f t="shared" si="26"/>
        <v/>
      </c>
      <c r="AB76" s="60" t="str">
        <f t="shared" si="26"/>
        <v/>
      </c>
      <c r="AC76" s="59" t="str">
        <f t="shared" si="26"/>
        <v/>
      </c>
      <c r="AD76" s="60" t="str">
        <f t="shared" si="26"/>
        <v/>
      </c>
      <c r="AE76" s="60" t="str">
        <f t="shared" si="26"/>
        <v/>
      </c>
      <c r="AF76" s="60" t="str">
        <f t="shared" si="26"/>
        <v/>
      </c>
      <c r="AG76" s="60" t="str">
        <f t="shared" si="26"/>
        <v/>
      </c>
      <c r="AH76" s="60" t="str">
        <f t="shared" si="26"/>
        <v/>
      </c>
      <c r="AI76" s="61" t="str">
        <f t="shared" si="26"/>
        <v/>
      </c>
      <c r="AL76" s="54">
        <f t="shared" si="28"/>
        <v>17</v>
      </c>
      <c r="AM76" s="25">
        <f t="shared" si="23"/>
        <v>69</v>
      </c>
      <c r="AN76" s="69">
        <f t="shared" si="24"/>
        <v>63</v>
      </c>
      <c r="AO76" s="25">
        <f t="shared" si="29"/>
        <v>17</v>
      </c>
      <c r="AP76" s="25" t="str">
        <f t="shared" si="25"/>
        <v xml:space="preserve"> </v>
      </c>
      <c r="AQ76" s="25"/>
      <c r="AR76" s="25"/>
      <c r="AS76" s="25"/>
      <c r="AT76" s="25"/>
      <c r="AU76" s="55"/>
    </row>
    <row r="77" spans="1:47" x14ac:dyDescent="0.3">
      <c r="B77" s="40" t="s">
        <v>10</v>
      </c>
      <c r="C77" s="41">
        <v>70</v>
      </c>
      <c r="D77" s="23">
        <f t="shared" si="22"/>
        <v>1190</v>
      </c>
      <c r="F77" s="58"/>
      <c r="G77" s="59" t="str">
        <f t="shared" si="27"/>
        <v/>
      </c>
      <c r="H77" s="60" t="str">
        <f t="shared" si="27"/>
        <v/>
      </c>
      <c r="I77" s="60" t="str">
        <f t="shared" si="27"/>
        <v/>
      </c>
      <c r="J77" s="60" t="str">
        <f t="shared" si="27"/>
        <v/>
      </c>
      <c r="K77" s="60" t="str">
        <f t="shared" si="27"/>
        <v/>
      </c>
      <c r="L77" s="60" t="str">
        <f t="shared" si="27"/>
        <v/>
      </c>
      <c r="M77" s="59" t="str">
        <f t="shared" si="27"/>
        <v/>
      </c>
      <c r="N77" s="60" t="str">
        <f t="shared" si="26"/>
        <v/>
      </c>
      <c r="O77" s="60" t="str">
        <f t="shared" si="26"/>
        <v/>
      </c>
      <c r="P77" s="60" t="str">
        <f t="shared" si="26"/>
        <v/>
      </c>
      <c r="Q77" s="59" t="str">
        <f t="shared" si="26"/>
        <v/>
      </c>
      <c r="R77" s="60" t="str">
        <f t="shared" si="26"/>
        <v/>
      </c>
      <c r="S77" s="59" t="str">
        <f t="shared" si="26"/>
        <v/>
      </c>
      <c r="T77" s="60" t="str">
        <f t="shared" si="26"/>
        <v/>
      </c>
      <c r="U77" s="60" t="str">
        <f t="shared" si="26"/>
        <v/>
      </c>
      <c r="V77" s="60" t="str">
        <f t="shared" si="26"/>
        <v/>
      </c>
      <c r="W77" s="59" t="str">
        <f t="shared" si="26"/>
        <v/>
      </c>
      <c r="X77" s="60" t="str">
        <f t="shared" si="26"/>
        <v/>
      </c>
      <c r="Y77" s="59" t="str">
        <f t="shared" si="26"/>
        <v/>
      </c>
      <c r="Z77" s="60">
        <f t="shared" si="26"/>
        <v>20</v>
      </c>
      <c r="AA77" s="60" t="str">
        <f t="shared" si="26"/>
        <v/>
      </c>
      <c r="AB77" s="60" t="str">
        <f t="shared" si="26"/>
        <v/>
      </c>
      <c r="AC77" s="59" t="str">
        <f t="shared" si="26"/>
        <v/>
      </c>
      <c r="AD77" s="60" t="str">
        <f t="shared" si="26"/>
        <v/>
      </c>
      <c r="AE77" s="60" t="str">
        <f t="shared" si="26"/>
        <v/>
      </c>
      <c r="AF77" s="60" t="str">
        <f t="shared" si="26"/>
        <v/>
      </c>
      <c r="AG77" s="60" t="str">
        <f t="shared" si="26"/>
        <v/>
      </c>
      <c r="AH77" s="60" t="str">
        <f t="shared" si="26"/>
        <v/>
      </c>
      <c r="AI77" s="61" t="str">
        <f t="shared" si="26"/>
        <v/>
      </c>
      <c r="AL77" s="54">
        <f t="shared" si="28"/>
        <v>17</v>
      </c>
      <c r="AM77" s="25">
        <f t="shared" si="23"/>
        <v>70</v>
      </c>
      <c r="AN77" s="69">
        <f t="shared" si="24"/>
        <v>80</v>
      </c>
      <c r="AO77" s="25">
        <f t="shared" si="29"/>
        <v>17</v>
      </c>
      <c r="AP77" s="25" t="str">
        <f t="shared" si="25"/>
        <v xml:space="preserve"> </v>
      </c>
      <c r="AQ77" s="25"/>
      <c r="AR77" s="25"/>
      <c r="AS77" s="25"/>
      <c r="AT77" s="25"/>
      <c r="AU77" s="55"/>
    </row>
    <row r="78" spans="1:47" x14ac:dyDescent="0.3">
      <c r="A78" s="23">
        <v>71</v>
      </c>
      <c r="B78" s="40" t="s">
        <v>11</v>
      </c>
      <c r="C78" s="41">
        <v>71</v>
      </c>
      <c r="D78" s="23">
        <f t="shared" si="22"/>
        <v>1207</v>
      </c>
      <c r="F78" s="58"/>
      <c r="G78" s="59" t="str">
        <f t="shared" si="27"/>
        <v/>
      </c>
      <c r="H78" s="60" t="str">
        <f t="shared" si="27"/>
        <v/>
      </c>
      <c r="I78" s="60" t="str">
        <f t="shared" si="27"/>
        <v/>
      </c>
      <c r="J78" s="60" t="str">
        <f t="shared" si="27"/>
        <v/>
      </c>
      <c r="K78" s="60" t="str">
        <f t="shared" si="27"/>
        <v/>
      </c>
      <c r="L78" s="60" t="str">
        <f t="shared" si="27"/>
        <v/>
      </c>
      <c r="M78" s="59">
        <f t="shared" si="27"/>
        <v>7</v>
      </c>
      <c r="N78" s="60" t="str">
        <f t="shared" si="26"/>
        <v/>
      </c>
      <c r="O78" s="60" t="str">
        <f t="shared" si="26"/>
        <v/>
      </c>
      <c r="P78" s="60" t="str">
        <f t="shared" si="26"/>
        <v/>
      </c>
      <c r="Q78" s="59" t="str">
        <f t="shared" si="26"/>
        <v/>
      </c>
      <c r="R78" s="60" t="str">
        <f t="shared" si="26"/>
        <v/>
      </c>
      <c r="S78" s="59" t="str">
        <f t="shared" si="26"/>
        <v/>
      </c>
      <c r="T78" s="60" t="str">
        <f t="shared" si="26"/>
        <v/>
      </c>
      <c r="U78" s="60" t="str">
        <f t="shared" si="26"/>
        <v/>
      </c>
      <c r="V78" s="60" t="str">
        <f t="shared" si="26"/>
        <v/>
      </c>
      <c r="W78" s="59" t="str">
        <f t="shared" si="26"/>
        <v/>
      </c>
      <c r="X78" s="60" t="str">
        <f t="shared" si="26"/>
        <v/>
      </c>
      <c r="Y78" s="59" t="str">
        <f t="shared" si="26"/>
        <v/>
      </c>
      <c r="Z78" s="60" t="str">
        <f t="shared" si="26"/>
        <v/>
      </c>
      <c r="AA78" s="60" t="str">
        <f t="shared" si="26"/>
        <v/>
      </c>
      <c r="AB78" s="60" t="str">
        <f t="shared" si="26"/>
        <v/>
      </c>
      <c r="AC78" s="59" t="str">
        <f t="shared" si="26"/>
        <v/>
      </c>
      <c r="AD78" s="60" t="str">
        <f t="shared" si="26"/>
        <v/>
      </c>
      <c r="AE78" s="60" t="str">
        <f t="shared" si="26"/>
        <v/>
      </c>
      <c r="AF78" s="60" t="str">
        <f t="shared" si="26"/>
        <v/>
      </c>
      <c r="AG78" s="60" t="str">
        <f t="shared" si="26"/>
        <v/>
      </c>
      <c r="AH78" s="60" t="str">
        <f t="shared" si="26"/>
        <v/>
      </c>
      <c r="AI78" s="61" t="str">
        <f t="shared" si="26"/>
        <v/>
      </c>
      <c r="AL78" s="54">
        <f t="shared" si="28"/>
        <v>17</v>
      </c>
      <c r="AM78" s="25">
        <f t="shared" si="23"/>
        <v>71</v>
      </c>
      <c r="AN78" s="69">
        <f t="shared" si="24"/>
        <v>67</v>
      </c>
      <c r="AO78" s="25">
        <f t="shared" si="29"/>
        <v>17</v>
      </c>
      <c r="AP78" s="25" t="str">
        <f t="shared" si="25"/>
        <v>#P</v>
      </c>
      <c r="AQ78" s="25"/>
      <c r="AR78" s="25"/>
      <c r="AS78" s="25"/>
      <c r="AT78" s="25"/>
      <c r="AU78" s="55"/>
    </row>
    <row r="79" spans="1:47" x14ac:dyDescent="0.3">
      <c r="B79" s="40" t="s">
        <v>10</v>
      </c>
      <c r="C79" s="41">
        <v>72</v>
      </c>
      <c r="D79" s="23">
        <f t="shared" si="22"/>
        <v>1224</v>
      </c>
      <c r="F79" s="58"/>
      <c r="G79" s="59" t="str">
        <f t="shared" si="27"/>
        <v/>
      </c>
      <c r="H79" s="60" t="str">
        <f t="shared" si="27"/>
        <v/>
      </c>
      <c r="I79" s="60" t="str">
        <f t="shared" si="27"/>
        <v/>
      </c>
      <c r="J79" s="60" t="str">
        <f t="shared" si="27"/>
        <v/>
      </c>
      <c r="K79" s="60" t="str">
        <f t="shared" si="27"/>
        <v/>
      </c>
      <c r="L79" s="60" t="str">
        <f t="shared" si="27"/>
        <v/>
      </c>
      <c r="M79" s="59" t="str">
        <f t="shared" si="27"/>
        <v/>
      </c>
      <c r="N79" s="60" t="str">
        <f t="shared" si="26"/>
        <v/>
      </c>
      <c r="O79" s="60" t="str">
        <f t="shared" si="26"/>
        <v/>
      </c>
      <c r="P79" s="60" t="str">
        <f t="shared" si="26"/>
        <v/>
      </c>
      <c r="Q79" s="59" t="str">
        <f t="shared" si="26"/>
        <v/>
      </c>
      <c r="R79" s="60" t="str">
        <f t="shared" si="26"/>
        <v/>
      </c>
      <c r="S79" s="59" t="str">
        <f t="shared" si="26"/>
        <v/>
      </c>
      <c r="T79" s="60" t="str">
        <f t="shared" si="26"/>
        <v/>
      </c>
      <c r="U79" s="60" t="str">
        <f t="shared" si="26"/>
        <v/>
      </c>
      <c r="V79" s="60" t="str">
        <f t="shared" si="26"/>
        <v/>
      </c>
      <c r="W79" s="59" t="str">
        <f t="shared" si="26"/>
        <v/>
      </c>
      <c r="X79" s="60" t="str">
        <f t="shared" si="26"/>
        <v/>
      </c>
      <c r="Y79" s="59" t="str">
        <f t="shared" si="26"/>
        <v/>
      </c>
      <c r="Z79" s="60" t="str">
        <f t="shared" si="26"/>
        <v/>
      </c>
      <c r="AA79" s="60" t="str">
        <f t="shared" si="26"/>
        <v/>
      </c>
      <c r="AB79" s="60" t="str">
        <f t="shared" si="26"/>
        <v/>
      </c>
      <c r="AC79" s="59" t="str">
        <f t="shared" si="26"/>
        <v/>
      </c>
      <c r="AD79" s="60">
        <f t="shared" ref="AD79:AI79" si="30">IF((MOD(($D79-AD$4),30)=0),AD$4,"")</f>
        <v>24</v>
      </c>
      <c r="AE79" s="60" t="str">
        <f t="shared" si="30"/>
        <v/>
      </c>
      <c r="AF79" s="60" t="str">
        <f t="shared" si="30"/>
        <v/>
      </c>
      <c r="AG79" s="60" t="str">
        <f t="shared" si="30"/>
        <v/>
      </c>
      <c r="AH79" s="60" t="str">
        <f t="shared" si="30"/>
        <v/>
      </c>
      <c r="AI79" s="61" t="str">
        <f t="shared" si="30"/>
        <v/>
      </c>
      <c r="AL79" s="54">
        <f t="shared" si="28"/>
        <v>17</v>
      </c>
      <c r="AM79" s="25">
        <f t="shared" si="23"/>
        <v>72</v>
      </c>
      <c r="AN79" s="69">
        <f t="shared" si="24"/>
        <v>84</v>
      </c>
      <c r="AO79" s="25">
        <f t="shared" si="29"/>
        <v>17</v>
      </c>
      <c r="AP79" s="25" t="str">
        <f t="shared" si="25"/>
        <v xml:space="preserve"> </v>
      </c>
      <c r="AQ79" s="25"/>
      <c r="AR79" s="25"/>
      <c r="AS79" s="25"/>
      <c r="AT79" s="25"/>
      <c r="AU79" s="55"/>
    </row>
    <row r="80" spans="1:47" x14ac:dyDescent="0.3">
      <c r="A80" s="23">
        <v>73</v>
      </c>
      <c r="B80" s="40" t="s">
        <v>10</v>
      </c>
      <c r="C80" s="41">
        <v>73</v>
      </c>
      <c r="D80" s="23">
        <f t="shared" si="22"/>
        <v>1241</v>
      </c>
      <c r="F80" s="58"/>
      <c r="G80" s="59" t="str">
        <f t="shared" si="27"/>
        <v/>
      </c>
      <c r="H80" s="60" t="str">
        <f t="shared" si="27"/>
        <v/>
      </c>
      <c r="I80" s="60" t="str">
        <f t="shared" si="27"/>
        <v/>
      </c>
      <c r="J80" s="60" t="str">
        <f t="shared" si="27"/>
        <v/>
      </c>
      <c r="K80" s="60" t="str">
        <f t="shared" si="27"/>
        <v/>
      </c>
      <c r="L80" s="60" t="str">
        <f t="shared" si="27"/>
        <v/>
      </c>
      <c r="M80" s="59" t="str">
        <f t="shared" si="27"/>
        <v/>
      </c>
      <c r="N80" s="60" t="str">
        <f t="shared" si="27"/>
        <v/>
      </c>
      <c r="O80" s="60" t="str">
        <f t="shared" si="27"/>
        <v/>
      </c>
      <c r="P80" s="60" t="str">
        <f t="shared" si="27"/>
        <v/>
      </c>
      <c r="Q80" s="59">
        <f t="shared" si="27"/>
        <v>11</v>
      </c>
      <c r="R80" s="60" t="str">
        <f t="shared" si="27"/>
        <v/>
      </c>
      <c r="S80" s="59" t="str">
        <f t="shared" si="27"/>
        <v/>
      </c>
      <c r="T80" s="60" t="str">
        <f t="shared" si="27"/>
        <v/>
      </c>
      <c r="U80" s="60" t="str">
        <f t="shared" si="27"/>
        <v/>
      </c>
      <c r="V80" s="60" t="str">
        <f t="shared" si="27"/>
        <v/>
      </c>
      <c r="W80" s="59" t="str">
        <f t="shared" ref="W80:AI89" si="31">IF((MOD(($D80-W$4),30)=0),W$4,"")</f>
        <v/>
      </c>
      <c r="X80" s="60" t="str">
        <f t="shared" si="31"/>
        <v/>
      </c>
      <c r="Y80" s="59" t="str">
        <f t="shared" si="31"/>
        <v/>
      </c>
      <c r="Z80" s="60" t="str">
        <f t="shared" si="31"/>
        <v/>
      </c>
      <c r="AA80" s="60" t="str">
        <f t="shared" si="31"/>
        <v/>
      </c>
      <c r="AB80" s="60" t="str">
        <f t="shared" si="31"/>
        <v/>
      </c>
      <c r="AC80" s="59" t="str">
        <f t="shared" si="31"/>
        <v/>
      </c>
      <c r="AD80" s="60" t="str">
        <f t="shared" si="31"/>
        <v/>
      </c>
      <c r="AE80" s="60" t="str">
        <f t="shared" si="31"/>
        <v/>
      </c>
      <c r="AF80" s="60" t="str">
        <f t="shared" si="31"/>
        <v/>
      </c>
      <c r="AG80" s="60" t="str">
        <f t="shared" si="31"/>
        <v/>
      </c>
      <c r="AH80" s="60" t="str">
        <f t="shared" si="31"/>
        <v/>
      </c>
      <c r="AI80" s="61" t="str">
        <f t="shared" si="31"/>
        <v/>
      </c>
      <c r="AL80" s="54">
        <f t="shared" si="28"/>
        <v>17</v>
      </c>
      <c r="AM80" s="25">
        <f t="shared" si="23"/>
        <v>73</v>
      </c>
      <c r="AN80" s="69">
        <f t="shared" si="24"/>
        <v>71</v>
      </c>
      <c r="AO80" s="25">
        <f t="shared" si="29"/>
        <v>17</v>
      </c>
      <c r="AP80" s="25" t="str">
        <f t="shared" si="25"/>
        <v xml:space="preserve"> </v>
      </c>
      <c r="AQ80" s="25"/>
      <c r="AR80" s="25"/>
      <c r="AS80" s="25"/>
      <c r="AT80" s="25"/>
      <c r="AU80" s="55"/>
    </row>
    <row r="81" spans="1:47" x14ac:dyDescent="0.3">
      <c r="B81" s="40" t="s">
        <v>10</v>
      </c>
      <c r="C81" s="41">
        <v>74</v>
      </c>
      <c r="D81" s="23">
        <f t="shared" si="22"/>
        <v>1258</v>
      </c>
      <c r="F81" s="58"/>
      <c r="G81" s="59" t="str">
        <f t="shared" si="27"/>
        <v/>
      </c>
      <c r="H81" s="60" t="str">
        <f t="shared" si="27"/>
        <v/>
      </c>
      <c r="I81" s="60" t="str">
        <f t="shared" si="27"/>
        <v/>
      </c>
      <c r="J81" s="60" t="str">
        <f t="shared" si="27"/>
        <v/>
      </c>
      <c r="K81" s="60" t="str">
        <f t="shared" si="27"/>
        <v/>
      </c>
      <c r="L81" s="60" t="str">
        <f t="shared" si="27"/>
        <v/>
      </c>
      <c r="M81" s="59" t="str">
        <f t="shared" si="27"/>
        <v/>
      </c>
      <c r="N81" s="60" t="str">
        <f t="shared" si="27"/>
        <v/>
      </c>
      <c r="O81" s="60" t="str">
        <f t="shared" si="27"/>
        <v/>
      </c>
      <c r="P81" s="60" t="str">
        <f t="shared" si="27"/>
        <v/>
      </c>
      <c r="Q81" s="59" t="str">
        <f t="shared" si="27"/>
        <v/>
      </c>
      <c r="R81" s="60" t="str">
        <f t="shared" si="27"/>
        <v/>
      </c>
      <c r="S81" s="59" t="str">
        <f t="shared" si="27"/>
        <v/>
      </c>
      <c r="T81" s="60" t="str">
        <f t="shared" si="27"/>
        <v/>
      </c>
      <c r="U81" s="60" t="str">
        <f t="shared" si="27"/>
        <v/>
      </c>
      <c r="V81" s="60" t="str">
        <f t="shared" si="27"/>
        <v/>
      </c>
      <c r="W81" s="59" t="str">
        <f t="shared" si="31"/>
        <v/>
      </c>
      <c r="X81" s="60" t="str">
        <f t="shared" si="31"/>
        <v/>
      </c>
      <c r="Y81" s="59" t="str">
        <f t="shared" si="31"/>
        <v/>
      </c>
      <c r="Z81" s="60" t="str">
        <f t="shared" si="31"/>
        <v/>
      </c>
      <c r="AA81" s="60" t="str">
        <f t="shared" si="31"/>
        <v/>
      </c>
      <c r="AB81" s="60" t="str">
        <f t="shared" si="31"/>
        <v/>
      </c>
      <c r="AC81" s="59" t="str">
        <f t="shared" si="31"/>
        <v/>
      </c>
      <c r="AD81" s="60" t="str">
        <f t="shared" si="31"/>
        <v/>
      </c>
      <c r="AE81" s="60" t="str">
        <f t="shared" si="31"/>
        <v/>
      </c>
      <c r="AF81" s="60" t="str">
        <f t="shared" si="31"/>
        <v/>
      </c>
      <c r="AG81" s="60" t="str">
        <f t="shared" si="31"/>
        <v/>
      </c>
      <c r="AH81" s="60">
        <f t="shared" si="31"/>
        <v>28</v>
      </c>
      <c r="AI81" s="61" t="str">
        <f t="shared" si="31"/>
        <v/>
      </c>
      <c r="AL81" s="54">
        <f t="shared" si="28"/>
        <v>17</v>
      </c>
      <c r="AM81" s="25">
        <f t="shared" si="23"/>
        <v>74</v>
      </c>
      <c r="AN81" s="69">
        <f t="shared" si="24"/>
        <v>88</v>
      </c>
      <c r="AO81" s="25">
        <f t="shared" si="29"/>
        <v>17</v>
      </c>
      <c r="AP81" s="25" t="str">
        <f t="shared" si="25"/>
        <v xml:space="preserve"> </v>
      </c>
      <c r="AQ81" s="25"/>
      <c r="AR81" s="25"/>
      <c r="AS81" s="25"/>
      <c r="AT81" s="25"/>
      <c r="AU81" s="55"/>
    </row>
    <row r="82" spans="1:47" x14ac:dyDescent="0.3">
      <c r="B82" s="40" t="s">
        <v>10</v>
      </c>
      <c r="C82" s="41">
        <v>75</v>
      </c>
      <c r="D82" s="23">
        <f t="shared" si="22"/>
        <v>1275</v>
      </c>
      <c r="F82" s="58"/>
      <c r="G82" s="59" t="str">
        <f t="shared" si="27"/>
        <v/>
      </c>
      <c r="H82" s="60" t="str">
        <f t="shared" si="27"/>
        <v/>
      </c>
      <c r="I82" s="60" t="str">
        <f t="shared" si="27"/>
        <v/>
      </c>
      <c r="J82" s="60" t="str">
        <f t="shared" si="27"/>
        <v/>
      </c>
      <c r="K82" s="60" t="str">
        <f t="shared" si="27"/>
        <v/>
      </c>
      <c r="L82" s="60" t="str">
        <f t="shared" si="27"/>
        <v/>
      </c>
      <c r="M82" s="59" t="str">
        <f t="shared" si="27"/>
        <v/>
      </c>
      <c r="N82" s="60" t="str">
        <f t="shared" si="27"/>
        <v/>
      </c>
      <c r="O82" s="60" t="str">
        <f t="shared" si="27"/>
        <v/>
      </c>
      <c r="P82" s="60" t="str">
        <f t="shared" si="27"/>
        <v/>
      </c>
      <c r="Q82" s="59" t="str">
        <f t="shared" si="27"/>
        <v/>
      </c>
      <c r="R82" s="60" t="str">
        <f t="shared" si="27"/>
        <v/>
      </c>
      <c r="S82" s="59" t="str">
        <f t="shared" si="27"/>
        <v/>
      </c>
      <c r="T82" s="60" t="str">
        <f t="shared" si="27"/>
        <v/>
      </c>
      <c r="U82" s="60">
        <f t="shared" si="27"/>
        <v>15</v>
      </c>
      <c r="V82" s="60" t="str">
        <f t="shared" si="27"/>
        <v/>
      </c>
      <c r="W82" s="59" t="str">
        <f t="shared" si="31"/>
        <v/>
      </c>
      <c r="X82" s="60" t="str">
        <f t="shared" si="31"/>
        <v/>
      </c>
      <c r="Y82" s="59" t="str">
        <f t="shared" si="31"/>
        <v/>
      </c>
      <c r="Z82" s="60" t="str">
        <f t="shared" si="31"/>
        <v/>
      </c>
      <c r="AA82" s="60" t="str">
        <f t="shared" si="31"/>
        <v/>
      </c>
      <c r="AB82" s="60" t="str">
        <f t="shared" si="31"/>
        <v/>
      </c>
      <c r="AC82" s="59" t="str">
        <f t="shared" si="31"/>
        <v/>
      </c>
      <c r="AD82" s="60" t="str">
        <f t="shared" si="31"/>
        <v/>
      </c>
      <c r="AE82" s="60" t="str">
        <f t="shared" si="31"/>
        <v/>
      </c>
      <c r="AF82" s="60" t="str">
        <f t="shared" si="31"/>
        <v/>
      </c>
      <c r="AG82" s="60" t="str">
        <f t="shared" si="31"/>
        <v/>
      </c>
      <c r="AH82" s="60" t="str">
        <f t="shared" si="31"/>
        <v/>
      </c>
      <c r="AI82" s="61" t="str">
        <f t="shared" si="31"/>
        <v/>
      </c>
      <c r="AL82" s="54">
        <f t="shared" si="28"/>
        <v>17</v>
      </c>
      <c r="AM82" s="25">
        <f t="shared" si="23"/>
        <v>75</v>
      </c>
      <c r="AN82" s="69">
        <f t="shared" si="24"/>
        <v>75</v>
      </c>
      <c r="AO82" s="25">
        <f t="shared" si="29"/>
        <v>17</v>
      </c>
      <c r="AP82" s="25" t="str">
        <f t="shared" si="25"/>
        <v xml:space="preserve"> </v>
      </c>
      <c r="AQ82" s="25"/>
      <c r="AR82" s="25"/>
      <c r="AS82" s="25"/>
      <c r="AT82" s="25"/>
      <c r="AU82" s="55"/>
    </row>
    <row r="83" spans="1:47" x14ac:dyDescent="0.3">
      <c r="B83" s="40" t="s">
        <v>10</v>
      </c>
      <c r="C83" s="41">
        <v>76</v>
      </c>
      <c r="D83" s="23">
        <f t="shared" si="22"/>
        <v>1292</v>
      </c>
      <c r="F83" s="58"/>
      <c r="G83" s="59" t="str">
        <f t="shared" si="27"/>
        <v/>
      </c>
      <c r="H83" s="60">
        <f t="shared" si="27"/>
        <v>2</v>
      </c>
      <c r="I83" s="60" t="str">
        <f t="shared" si="27"/>
        <v/>
      </c>
      <c r="J83" s="60" t="str">
        <f t="shared" si="27"/>
        <v/>
      </c>
      <c r="K83" s="60" t="str">
        <f t="shared" si="27"/>
        <v/>
      </c>
      <c r="L83" s="60" t="str">
        <f t="shared" si="27"/>
        <v/>
      </c>
      <c r="M83" s="59" t="str">
        <f t="shared" si="27"/>
        <v/>
      </c>
      <c r="N83" s="60" t="str">
        <f t="shared" si="27"/>
        <v/>
      </c>
      <c r="O83" s="60" t="str">
        <f t="shared" si="27"/>
        <v/>
      </c>
      <c r="P83" s="60" t="str">
        <f t="shared" si="27"/>
        <v/>
      </c>
      <c r="Q83" s="59" t="str">
        <f t="shared" si="27"/>
        <v/>
      </c>
      <c r="R83" s="60" t="str">
        <f t="shared" si="27"/>
        <v/>
      </c>
      <c r="S83" s="59" t="str">
        <f t="shared" si="27"/>
        <v/>
      </c>
      <c r="T83" s="60" t="str">
        <f t="shared" si="27"/>
        <v/>
      </c>
      <c r="U83" s="60" t="str">
        <f t="shared" si="27"/>
        <v/>
      </c>
      <c r="V83" s="60" t="str">
        <f t="shared" si="27"/>
        <v/>
      </c>
      <c r="W83" s="59" t="str">
        <f t="shared" si="31"/>
        <v/>
      </c>
      <c r="X83" s="60" t="str">
        <f t="shared" si="31"/>
        <v/>
      </c>
      <c r="Y83" s="59" t="str">
        <f t="shared" si="31"/>
        <v/>
      </c>
      <c r="Z83" s="60" t="str">
        <f t="shared" si="31"/>
        <v/>
      </c>
      <c r="AA83" s="60" t="str">
        <f t="shared" si="31"/>
        <v/>
      </c>
      <c r="AB83" s="60" t="str">
        <f t="shared" si="31"/>
        <v/>
      </c>
      <c r="AC83" s="59" t="str">
        <f t="shared" si="31"/>
        <v/>
      </c>
      <c r="AD83" s="60" t="str">
        <f t="shared" si="31"/>
        <v/>
      </c>
      <c r="AE83" s="60" t="str">
        <f t="shared" si="31"/>
        <v/>
      </c>
      <c r="AF83" s="60" t="str">
        <f t="shared" si="31"/>
        <v/>
      </c>
      <c r="AG83" s="60" t="str">
        <f t="shared" si="31"/>
        <v/>
      </c>
      <c r="AH83" s="60" t="str">
        <f t="shared" si="31"/>
        <v/>
      </c>
      <c r="AI83" s="61" t="str">
        <f t="shared" si="31"/>
        <v/>
      </c>
      <c r="AL83" s="54">
        <f t="shared" si="28"/>
        <v>17</v>
      </c>
      <c r="AM83" s="25">
        <f t="shared" si="23"/>
        <v>76</v>
      </c>
      <c r="AN83" s="69">
        <f t="shared" si="24"/>
        <v>62</v>
      </c>
      <c r="AO83" s="25">
        <f t="shared" si="29"/>
        <v>17</v>
      </c>
      <c r="AP83" s="25" t="str">
        <f t="shared" si="25"/>
        <v xml:space="preserve"> </v>
      </c>
      <c r="AQ83" s="25"/>
      <c r="AR83" s="25"/>
      <c r="AS83" s="25"/>
      <c r="AT83" s="25"/>
      <c r="AU83" s="55"/>
    </row>
    <row r="84" spans="1:47" x14ac:dyDescent="0.3">
      <c r="B84" s="40" t="s">
        <v>10</v>
      </c>
      <c r="C84" s="41">
        <v>77</v>
      </c>
      <c r="D84" s="23">
        <f t="shared" si="22"/>
        <v>1309</v>
      </c>
      <c r="F84" s="58"/>
      <c r="G84" s="59" t="str">
        <f t="shared" si="27"/>
        <v/>
      </c>
      <c r="H84" s="60" t="str">
        <f t="shared" si="27"/>
        <v/>
      </c>
      <c r="I84" s="60" t="str">
        <f t="shared" si="27"/>
        <v/>
      </c>
      <c r="J84" s="60" t="str">
        <f t="shared" si="27"/>
        <v/>
      </c>
      <c r="K84" s="60" t="str">
        <f t="shared" si="27"/>
        <v/>
      </c>
      <c r="L84" s="60" t="str">
        <f t="shared" si="27"/>
        <v/>
      </c>
      <c r="M84" s="59" t="str">
        <f t="shared" si="27"/>
        <v/>
      </c>
      <c r="N84" s="60" t="str">
        <f t="shared" si="27"/>
        <v/>
      </c>
      <c r="O84" s="60" t="str">
        <f t="shared" si="27"/>
        <v/>
      </c>
      <c r="P84" s="60" t="str">
        <f t="shared" si="27"/>
        <v/>
      </c>
      <c r="Q84" s="59" t="str">
        <f t="shared" si="27"/>
        <v/>
      </c>
      <c r="R84" s="60" t="str">
        <f t="shared" si="27"/>
        <v/>
      </c>
      <c r="S84" s="59" t="str">
        <f t="shared" si="27"/>
        <v/>
      </c>
      <c r="T84" s="60" t="str">
        <f t="shared" si="27"/>
        <v/>
      </c>
      <c r="U84" s="60" t="str">
        <f t="shared" si="27"/>
        <v/>
      </c>
      <c r="V84" s="60" t="str">
        <f t="shared" si="27"/>
        <v/>
      </c>
      <c r="W84" s="59" t="str">
        <f t="shared" si="31"/>
        <v/>
      </c>
      <c r="X84" s="60" t="str">
        <f t="shared" si="31"/>
        <v/>
      </c>
      <c r="Y84" s="59">
        <f t="shared" si="31"/>
        <v>19</v>
      </c>
      <c r="Z84" s="60" t="str">
        <f t="shared" si="31"/>
        <v/>
      </c>
      <c r="AA84" s="60" t="str">
        <f t="shared" si="31"/>
        <v/>
      </c>
      <c r="AB84" s="60" t="str">
        <f t="shared" si="31"/>
        <v/>
      </c>
      <c r="AC84" s="59" t="str">
        <f t="shared" si="31"/>
        <v/>
      </c>
      <c r="AD84" s="60" t="str">
        <f t="shared" si="31"/>
        <v/>
      </c>
      <c r="AE84" s="60" t="str">
        <f t="shared" si="31"/>
        <v/>
      </c>
      <c r="AF84" s="60" t="str">
        <f t="shared" si="31"/>
        <v/>
      </c>
      <c r="AG84" s="60" t="str">
        <f t="shared" si="31"/>
        <v/>
      </c>
      <c r="AH84" s="60" t="str">
        <f t="shared" si="31"/>
        <v/>
      </c>
      <c r="AI84" s="61" t="str">
        <f t="shared" si="31"/>
        <v/>
      </c>
      <c r="AL84" s="54">
        <f t="shared" si="28"/>
        <v>17</v>
      </c>
      <c r="AM84" s="25">
        <f t="shared" si="23"/>
        <v>77</v>
      </c>
      <c r="AN84" s="69">
        <f t="shared" si="24"/>
        <v>79</v>
      </c>
      <c r="AO84" s="25">
        <f t="shared" si="29"/>
        <v>17</v>
      </c>
      <c r="AP84" s="25" t="str">
        <f t="shared" si="25"/>
        <v xml:space="preserve"> </v>
      </c>
      <c r="AQ84" s="25"/>
      <c r="AR84" s="25"/>
      <c r="AS84" s="25"/>
      <c r="AT84" s="25"/>
      <c r="AU84" s="55"/>
    </row>
    <row r="85" spans="1:47" x14ac:dyDescent="0.3">
      <c r="B85" s="40" t="s">
        <v>10</v>
      </c>
      <c r="C85" s="41">
        <v>78</v>
      </c>
      <c r="D85" s="23">
        <f t="shared" si="22"/>
        <v>1326</v>
      </c>
      <c r="F85" s="58"/>
      <c r="G85" s="59" t="str">
        <f t="shared" si="27"/>
        <v/>
      </c>
      <c r="H85" s="60" t="str">
        <f t="shared" si="27"/>
        <v/>
      </c>
      <c r="I85" s="60" t="str">
        <f t="shared" si="27"/>
        <v/>
      </c>
      <c r="J85" s="60" t="str">
        <f t="shared" si="27"/>
        <v/>
      </c>
      <c r="K85" s="60" t="str">
        <f t="shared" si="27"/>
        <v/>
      </c>
      <c r="L85" s="60">
        <f t="shared" si="27"/>
        <v>6</v>
      </c>
      <c r="M85" s="59" t="str">
        <f t="shared" si="27"/>
        <v/>
      </c>
      <c r="N85" s="60" t="str">
        <f t="shared" si="27"/>
        <v/>
      </c>
      <c r="O85" s="60" t="str">
        <f t="shared" si="27"/>
        <v/>
      </c>
      <c r="P85" s="60" t="str">
        <f t="shared" si="27"/>
        <v/>
      </c>
      <c r="Q85" s="59" t="str">
        <f t="shared" si="27"/>
        <v/>
      </c>
      <c r="R85" s="60" t="str">
        <f t="shared" si="27"/>
        <v/>
      </c>
      <c r="S85" s="59" t="str">
        <f t="shared" si="27"/>
        <v/>
      </c>
      <c r="T85" s="60" t="str">
        <f t="shared" si="27"/>
        <v/>
      </c>
      <c r="U85" s="60" t="str">
        <f t="shared" si="27"/>
        <v/>
      </c>
      <c r="V85" s="60" t="str">
        <f t="shared" si="27"/>
        <v/>
      </c>
      <c r="W85" s="59" t="str">
        <f t="shared" si="31"/>
        <v/>
      </c>
      <c r="X85" s="60" t="str">
        <f t="shared" si="31"/>
        <v/>
      </c>
      <c r="Y85" s="59" t="str">
        <f t="shared" si="31"/>
        <v/>
      </c>
      <c r="Z85" s="60" t="str">
        <f t="shared" si="31"/>
        <v/>
      </c>
      <c r="AA85" s="60" t="str">
        <f t="shared" si="31"/>
        <v/>
      </c>
      <c r="AB85" s="60" t="str">
        <f t="shared" si="31"/>
        <v/>
      </c>
      <c r="AC85" s="59" t="str">
        <f t="shared" si="31"/>
        <v/>
      </c>
      <c r="AD85" s="60" t="str">
        <f t="shared" si="31"/>
        <v/>
      </c>
      <c r="AE85" s="60" t="str">
        <f t="shared" si="31"/>
        <v/>
      </c>
      <c r="AF85" s="60" t="str">
        <f t="shared" si="31"/>
        <v/>
      </c>
      <c r="AG85" s="60" t="str">
        <f t="shared" si="31"/>
        <v/>
      </c>
      <c r="AH85" s="60" t="str">
        <f t="shared" si="31"/>
        <v/>
      </c>
      <c r="AI85" s="61" t="str">
        <f t="shared" si="31"/>
        <v/>
      </c>
      <c r="AL85" s="54">
        <f t="shared" si="28"/>
        <v>17</v>
      </c>
      <c r="AM85" s="25">
        <f t="shared" si="23"/>
        <v>78</v>
      </c>
      <c r="AN85" s="69">
        <f t="shared" si="24"/>
        <v>66</v>
      </c>
      <c r="AO85" s="25">
        <f t="shared" si="29"/>
        <v>17</v>
      </c>
      <c r="AP85" s="25" t="str">
        <f t="shared" si="25"/>
        <v xml:space="preserve"> </v>
      </c>
      <c r="AQ85" s="25"/>
      <c r="AR85" s="25"/>
      <c r="AS85" s="25"/>
      <c r="AT85" s="25"/>
      <c r="AU85" s="55"/>
    </row>
    <row r="86" spans="1:47" x14ac:dyDescent="0.3">
      <c r="A86" s="23">
        <v>79</v>
      </c>
      <c r="B86" s="40" t="s">
        <v>11</v>
      </c>
      <c r="C86" s="41">
        <v>79</v>
      </c>
      <c r="D86" s="23">
        <f t="shared" si="22"/>
        <v>1343</v>
      </c>
      <c r="F86" s="58"/>
      <c r="G86" s="59" t="str">
        <f t="shared" si="27"/>
        <v/>
      </c>
      <c r="H86" s="60" t="str">
        <f t="shared" si="27"/>
        <v/>
      </c>
      <c r="I86" s="60" t="str">
        <f t="shared" si="27"/>
        <v/>
      </c>
      <c r="J86" s="60" t="str">
        <f t="shared" si="27"/>
        <v/>
      </c>
      <c r="K86" s="60" t="str">
        <f t="shared" si="27"/>
        <v/>
      </c>
      <c r="L86" s="60" t="str">
        <f t="shared" si="27"/>
        <v/>
      </c>
      <c r="M86" s="59" t="str">
        <f t="shared" si="27"/>
        <v/>
      </c>
      <c r="N86" s="60" t="str">
        <f t="shared" si="27"/>
        <v/>
      </c>
      <c r="O86" s="60" t="str">
        <f t="shared" si="27"/>
        <v/>
      </c>
      <c r="P86" s="60" t="str">
        <f t="shared" si="27"/>
        <v/>
      </c>
      <c r="Q86" s="59" t="str">
        <f t="shared" si="27"/>
        <v/>
      </c>
      <c r="R86" s="60" t="str">
        <f t="shared" si="27"/>
        <v/>
      </c>
      <c r="S86" s="59" t="str">
        <f t="shared" si="27"/>
        <v/>
      </c>
      <c r="T86" s="60" t="str">
        <f t="shared" si="27"/>
        <v/>
      </c>
      <c r="U86" s="60" t="str">
        <f t="shared" si="27"/>
        <v/>
      </c>
      <c r="V86" s="60" t="str">
        <f t="shared" si="27"/>
        <v/>
      </c>
      <c r="W86" s="59" t="str">
        <f t="shared" si="31"/>
        <v/>
      </c>
      <c r="X86" s="60" t="str">
        <f t="shared" si="31"/>
        <v/>
      </c>
      <c r="Y86" s="59" t="str">
        <f t="shared" si="31"/>
        <v/>
      </c>
      <c r="Z86" s="60" t="str">
        <f t="shared" si="31"/>
        <v/>
      </c>
      <c r="AA86" s="60" t="str">
        <f t="shared" si="31"/>
        <v/>
      </c>
      <c r="AB86" s="60" t="str">
        <f t="shared" si="31"/>
        <v/>
      </c>
      <c r="AC86" s="59">
        <f t="shared" si="31"/>
        <v>23</v>
      </c>
      <c r="AD86" s="60" t="str">
        <f t="shared" si="31"/>
        <v/>
      </c>
      <c r="AE86" s="60" t="str">
        <f t="shared" si="31"/>
        <v/>
      </c>
      <c r="AF86" s="60" t="str">
        <f t="shared" si="31"/>
        <v/>
      </c>
      <c r="AG86" s="60" t="str">
        <f t="shared" si="31"/>
        <v/>
      </c>
      <c r="AH86" s="60" t="str">
        <f t="shared" si="31"/>
        <v/>
      </c>
      <c r="AI86" s="61" t="str">
        <f t="shared" si="31"/>
        <v/>
      </c>
      <c r="AL86" s="54">
        <f t="shared" si="28"/>
        <v>17</v>
      </c>
      <c r="AM86" s="25">
        <f t="shared" si="23"/>
        <v>79</v>
      </c>
      <c r="AN86" s="69">
        <f t="shared" si="24"/>
        <v>83</v>
      </c>
      <c r="AO86" s="25">
        <f t="shared" si="29"/>
        <v>17</v>
      </c>
      <c r="AP86" s="25" t="str">
        <f t="shared" si="25"/>
        <v>#P</v>
      </c>
      <c r="AQ86" s="25"/>
      <c r="AR86" s="25"/>
      <c r="AS86" s="25"/>
      <c r="AT86" s="25"/>
      <c r="AU86" s="55"/>
    </row>
    <row r="87" spans="1:47" x14ac:dyDescent="0.3">
      <c r="B87" s="40" t="s">
        <v>10</v>
      </c>
      <c r="C87" s="41">
        <v>80</v>
      </c>
      <c r="D87" s="23">
        <f t="shared" si="22"/>
        <v>1360</v>
      </c>
      <c r="F87" s="58"/>
      <c r="G87" s="59" t="str">
        <f t="shared" si="27"/>
        <v/>
      </c>
      <c r="H87" s="60" t="str">
        <f t="shared" si="27"/>
        <v/>
      </c>
      <c r="I87" s="60" t="str">
        <f t="shared" si="27"/>
        <v/>
      </c>
      <c r="J87" s="60" t="str">
        <f t="shared" si="27"/>
        <v/>
      </c>
      <c r="K87" s="60" t="str">
        <f t="shared" si="27"/>
        <v/>
      </c>
      <c r="L87" s="60" t="str">
        <f t="shared" si="27"/>
        <v/>
      </c>
      <c r="M87" s="59" t="str">
        <f t="shared" si="27"/>
        <v/>
      </c>
      <c r="N87" s="60" t="str">
        <f t="shared" si="27"/>
        <v/>
      </c>
      <c r="O87" s="60" t="str">
        <f t="shared" si="27"/>
        <v/>
      </c>
      <c r="P87" s="60">
        <f t="shared" si="27"/>
        <v>10</v>
      </c>
      <c r="Q87" s="59" t="str">
        <f t="shared" si="27"/>
        <v/>
      </c>
      <c r="R87" s="60" t="str">
        <f t="shared" si="27"/>
        <v/>
      </c>
      <c r="S87" s="59" t="str">
        <f t="shared" si="27"/>
        <v/>
      </c>
      <c r="T87" s="60" t="str">
        <f t="shared" si="27"/>
        <v/>
      </c>
      <c r="U87" s="60" t="str">
        <f t="shared" si="27"/>
        <v/>
      </c>
      <c r="V87" s="60" t="str">
        <f t="shared" si="27"/>
        <v/>
      </c>
      <c r="W87" s="59" t="str">
        <f t="shared" si="31"/>
        <v/>
      </c>
      <c r="X87" s="60" t="str">
        <f t="shared" si="31"/>
        <v/>
      </c>
      <c r="Y87" s="59" t="str">
        <f t="shared" si="31"/>
        <v/>
      </c>
      <c r="Z87" s="60" t="str">
        <f t="shared" si="31"/>
        <v/>
      </c>
      <c r="AA87" s="60" t="str">
        <f t="shared" si="31"/>
        <v/>
      </c>
      <c r="AB87" s="60" t="str">
        <f t="shared" si="31"/>
        <v/>
      </c>
      <c r="AC87" s="59" t="str">
        <f t="shared" si="31"/>
        <v/>
      </c>
      <c r="AD87" s="60" t="str">
        <f t="shared" si="31"/>
        <v/>
      </c>
      <c r="AE87" s="60" t="str">
        <f t="shared" si="31"/>
        <v/>
      </c>
      <c r="AF87" s="60" t="str">
        <f t="shared" si="31"/>
        <v/>
      </c>
      <c r="AG87" s="60" t="str">
        <f t="shared" si="31"/>
        <v/>
      </c>
      <c r="AH87" s="60" t="str">
        <f t="shared" si="31"/>
        <v/>
      </c>
      <c r="AI87" s="61" t="str">
        <f t="shared" si="31"/>
        <v/>
      </c>
      <c r="AL87" s="54">
        <f t="shared" si="28"/>
        <v>17</v>
      </c>
      <c r="AM87" s="25">
        <f t="shared" si="23"/>
        <v>80</v>
      </c>
      <c r="AN87" s="69">
        <f t="shared" si="24"/>
        <v>70</v>
      </c>
      <c r="AO87" s="25">
        <f t="shared" si="29"/>
        <v>17</v>
      </c>
      <c r="AP87" s="25" t="str">
        <f t="shared" si="25"/>
        <v xml:space="preserve"> </v>
      </c>
      <c r="AQ87" s="25"/>
      <c r="AR87" s="25"/>
      <c r="AS87" s="25"/>
      <c r="AT87" s="25"/>
      <c r="AU87" s="55"/>
    </row>
    <row r="88" spans="1:47" x14ac:dyDescent="0.3">
      <c r="B88" s="40" t="s">
        <v>10</v>
      </c>
      <c r="C88" s="41">
        <v>81</v>
      </c>
      <c r="D88" s="23">
        <f t="shared" si="22"/>
        <v>1377</v>
      </c>
      <c r="F88" s="58"/>
      <c r="G88" s="59" t="str">
        <f t="shared" si="27"/>
        <v/>
      </c>
      <c r="H88" s="60" t="str">
        <f t="shared" si="27"/>
        <v/>
      </c>
      <c r="I88" s="60" t="str">
        <f t="shared" si="27"/>
        <v/>
      </c>
      <c r="J88" s="60" t="str">
        <f t="shared" si="27"/>
        <v/>
      </c>
      <c r="K88" s="60" t="str">
        <f t="shared" si="27"/>
        <v/>
      </c>
      <c r="L88" s="60" t="str">
        <f t="shared" si="27"/>
        <v/>
      </c>
      <c r="M88" s="59" t="str">
        <f t="shared" si="27"/>
        <v/>
      </c>
      <c r="N88" s="60" t="str">
        <f t="shared" si="27"/>
        <v/>
      </c>
      <c r="O88" s="60" t="str">
        <f t="shared" si="27"/>
        <v/>
      </c>
      <c r="P88" s="60" t="str">
        <f t="shared" si="27"/>
        <v/>
      </c>
      <c r="Q88" s="59" t="str">
        <f t="shared" si="27"/>
        <v/>
      </c>
      <c r="R88" s="60" t="str">
        <f t="shared" si="27"/>
        <v/>
      </c>
      <c r="S88" s="59" t="str">
        <f t="shared" si="27"/>
        <v/>
      </c>
      <c r="T88" s="60" t="str">
        <f t="shared" si="27"/>
        <v/>
      </c>
      <c r="U88" s="60" t="str">
        <f t="shared" si="27"/>
        <v/>
      </c>
      <c r="V88" s="60" t="str">
        <f t="shared" si="27"/>
        <v/>
      </c>
      <c r="W88" s="59" t="str">
        <f t="shared" si="31"/>
        <v/>
      </c>
      <c r="X88" s="60" t="str">
        <f t="shared" si="31"/>
        <v/>
      </c>
      <c r="Y88" s="59" t="str">
        <f t="shared" si="31"/>
        <v/>
      </c>
      <c r="Z88" s="60" t="str">
        <f t="shared" si="31"/>
        <v/>
      </c>
      <c r="AA88" s="60" t="str">
        <f t="shared" si="31"/>
        <v/>
      </c>
      <c r="AB88" s="60" t="str">
        <f t="shared" si="31"/>
        <v/>
      </c>
      <c r="AC88" s="59" t="str">
        <f t="shared" si="31"/>
        <v/>
      </c>
      <c r="AD88" s="60" t="str">
        <f t="shared" si="31"/>
        <v/>
      </c>
      <c r="AE88" s="60" t="str">
        <f t="shared" si="31"/>
        <v/>
      </c>
      <c r="AF88" s="60" t="str">
        <f t="shared" si="31"/>
        <v/>
      </c>
      <c r="AG88" s="60">
        <f t="shared" si="31"/>
        <v>27</v>
      </c>
      <c r="AH88" s="60" t="str">
        <f t="shared" si="31"/>
        <v/>
      </c>
      <c r="AI88" s="61" t="str">
        <f t="shared" si="31"/>
        <v/>
      </c>
      <c r="AL88" s="54">
        <f t="shared" si="28"/>
        <v>17</v>
      </c>
      <c r="AM88" s="25">
        <f t="shared" si="23"/>
        <v>81</v>
      </c>
      <c r="AN88" s="69">
        <f t="shared" si="24"/>
        <v>87</v>
      </c>
      <c r="AO88" s="25">
        <f t="shared" si="29"/>
        <v>17</v>
      </c>
      <c r="AP88" s="25" t="str">
        <f t="shared" si="25"/>
        <v xml:space="preserve"> </v>
      </c>
      <c r="AQ88" s="25"/>
      <c r="AR88" s="25"/>
      <c r="AS88" s="25"/>
      <c r="AT88" s="25"/>
      <c r="AU88" s="55"/>
    </row>
    <row r="89" spans="1:47" x14ac:dyDescent="0.3">
      <c r="B89" s="40" t="s">
        <v>10</v>
      </c>
      <c r="C89" s="41">
        <v>82</v>
      </c>
      <c r="D89" s="23">
        <f t="shared" si="22"/>
        <v>1394</v>
      </c>
      <c r="F89" s="58"/>
      <c r="G89" s="59" t="str">
        <f t="shared" si="27"/>
        <v/>
      </c>
      <c r="H89" s="60" t="str">
        <f t="shared" si="27"/>
        <v/>
      </c>
      <c r="I89" s="60" t="str">
        <f t="shared" si="27"/>
        <v/>
      </c>
      <c r="J89" s="60" t="str">
        <f t="shared" si="27"/>
        <v/>
      </c>
      <c r="K89" s="60" t="str">
        <f t="shared" si="27"/>
        <v/>
      </c>
      <c r="L89" s="60" t="str">
        <f t="shared" si="27"/>
        <v/>
      </c>
      <c r="M89" s="59" t="str">
        <f t="shared" si="27"/>
        <v/>
      </c>
      <c r="N89" s="60" t="str">
        <f t="shared" si="27"/>
        <v/>
      </c>
      <c r="O89" s="60" t="str">
        <f t="shared" si="27"/>
        <v/>
      </c>
      <c r="P89" s="60" t="str">
        <f t="shared" si="27"/>
        <v/>
      </c>
      <c r="Q89" s="59" t="str">
        <f t="shared" si="27"/>
        <v/>
      </c>
      <c r="R89" s="60" t="str">
        <f t="shared" si="27"/>
        <v/>
      </c>
      <c r="S89" s="59" t="str">
        <f t="shared" si="27"/>
        <v/>
      </c>
      <c r="T89" s="60">
        <f t="shared" si="27"/>
        <v>14</v>
      </c>
      <c r="U89" s="60" t="str">
        <f t="shared" si="27"/>
        <v/>
      </c>
      <c r="V89" s="60" t="str">
        <f t="shared" si="27"/>
        <v/>
      </c>
      <c r="W89" s="59" t="str">
        <f t="shared" si="31"/>
        <v/>
      </c>
      <c r="X89" s="60" t="str">
        <f t="shared" si="31"/>
        <v/>
      </c>
      <c r="Y89" s="59" t="str">
        <f t="shared" si="31"/>
        <v/>
      </c>
      <c r="Z89" s="60" t="str">
        <f t="shared" si="31"/>
        <v/>
      </c>
      <c r="AA89" s="60" t="str">
        <f t="shared" si="31"/>
        <v/>
      </c>
      <c r="AB89" s="60" t="str">
        <f t="shared" si="31"/>
        <v/>
      </c>
      <c r="AC89" s="59" t="str">
        <f t="shared" si="31"/>
        <v/>
      </c>
      <c r="AD89" s="60" t="str">
        <f t="shared" si="31"/>
        <v/>
      </c>
      <c r="AE89" s="60" t="str">
        <f t="shared" si="31"/>
        <v/>
      </c>
      <c r="AF89" s="60" t="str">
        <f t="shared" si="31"/>
        <v/>
      </c>
      <c r="AG89" s="60" t="str">
        <f t="shared" si="31"/>
        <v/>
      </c>
      <c r="AH89" s="60" t="str">
        <f t="shared" si="31"/>
        <v/>
      </c>
      <c r="AI89" s="61" t="str">
        <f t="shared" si="31"/>
        <v/>
      </c>
      <c r="AL89" s="54">
        <f t="shared" si="28"/>
        <v>17</v>
      </c>
      <c r="AM89" s="25">
        <f t="shared" si="23"/>
        <v>82</v>
      </c>
      <c r="AN89" s="69">
        <f t="shared" si="24"/>
        <v>74</v>
      </c>
      <c r="AO89" s="25">
        <f t="shared" si="29"/>
        <v>17</v>
      </c>
      <c r="AP89" s="25" t="str">
        <f t="shared" si="25"/>
        <v xml:space="preserve"> </v>
      </c>
      <c r="AQ89" s="25"/>
      <c r="AR89" s="25"/>
      <c r="AS89" s="25"/>
      <c r="AT89" s="25"/>
      <c r="AU89" s="55"/>
    </row>
    <row r="90" spans="1:47" x14ac:dyDescent="0.3">
      <c r="A90" s="23">
        <v>83</v>
      </c>
      <c r="B90" s="40" t="s">
        <v>11</v>
      </c>
      <c r="C90" s="41">
        <v>83</v>
      </c>
      <c r="D90" s="23">
        <f t="shared" si="22"/>
        <v>1411</v>
      </c>
      <c r="F90" s="58"/>
      <c r="G90" s="59">
        <f t="shared" si="27"/>
        <v>1</v>
      </c>
      <c r="H90" s="60" t="str">
        <f t="shared" si="27"/>
        <v/>
      </c>
      <c r="I90" s="60" t="str">
        <f t="shared" si="27"/>
        <v/>
      </c>
      <c r="J90" s="60" t="str">
        <f t="shared" si="27"/>
        <v/>
      </c>
      <c r="K90" s="60" t="str">
        <f t="shared" si="27"/>
        <v/>
      </c>
      <c r="L90" s="60" t="str">
        <f t="shared" si="27"/>
        <v/>
      </c>
      <c r="M90" s="59" t="str">
        <f t="shared" si="27"/>
        <v/>
      </c>
      <c r="N90" s="60" t="str">
        <f t="shared" si="27"/>
        <v/>
      </c>
      <c r="O90" s="60" t="str">
        <f t="shared" si="27"/>
        <v/>
      </c>
      <c r="P90" s="60" t="str">
        <f t="shared" ref="P90:AI96" si="32">IF((MOD(($D90-P$4),30)=0),P$4,"")</f>
        <v/>
      </c>
      <c r="Q90" s="59" t="str">
        <f t="shared" si="32"/>
        <v/>
      </c>
      <c r="R90" s="60" t="str">
        <f t="shared" si="32"/>
        <v/>
      </c>
      <c r="S90" s="59" t="str">
        <f t="shared" si="32"/>
        <v/>
      </c>
      <c r="T90" s="60" t="str">
        <f t="shared" si="32"/>
        <v/>
      </c>
      <c r="U90" s="60" t="str">
        <f t="shared" si="32"/>
        <v/>
      </c>
      <c r="V90" s="60" t="str">
        <f t="shared" si="32"/>
        <v/>
      </c>
      <c r="W90" s="59" t="str">
        <f t="shared" si="32"/>
        <v/>
      </c>
      <c r="X90" s="60" t="str">
        <f t="shared" si="32"/>
        <v/>
      </c>
      <c r="Y90" s="59" t="str">
        <f t="shared" si="32"/>
        <v/>
      </c>
      <c r="Z90" s="60" t="str">
        <f t="shared" si="32"/>
        <v/>
      </c>
      <c r="AA90" s="60" t="str">
        <f t="shared" si="32"/>
        <v/>
      </c>
      <c r="AB90" s="60" t="str">
        <f t="shared" si="32"/>
        <v/>
      </c>
      <c r="AC90" s="59" t="str">
        <f t="shared" si="32"/>
        <v/>
      </c>
      <c r="AD90" s="60" t="str">
        <f t="shared" si="32"/>
        <v/>
      </c>
      <c r="AE90" s="60" t="str">
        <f t="shared" si="32"/>
        <v/>
      </c>
      <c r="AF90" s="60" t="str">
        <f t="shared" si="32"/>
        <v/>
      </c>
      <c r="AG90" s="60" t="str">
        <f t="shared" si="32"/>
        <v/>
      </c>
      <c r="AH90" s="60" t="str">
        <f t="shared" si="32"/>
        <v/>
      </c>
      <c r="AI90" s="61" t="str">
        <f t="shared" si="32"/>
        <v/>
      </c>
      <c r="AL90" s="54">
        <f t="shared" si="28"/>
        <v>17</v>
      </c>
      <c r="AM90" s="25">
        <f t="shared" si="23"/>
        <v>83</v>
      </c>
      <c r="AN90" s="69">
        <f t="shared" si="24"/>
        <v>61</v>
      </c>
      <c r="AO90" s="25">
        <f t="shared" si="29"/>
        <v>17</v>
      </c>
      <c r="AP90" s="25" t="str">
        <f t="shared" si="25"/>
        <v>#P</v>
      </c>
      <c r="AQ90" s="25"/>
      <c r="AR90" s="25"/>
      <c r="AS90" s="25"/>
      <c r="AT90" s="25"/>
      <c r="AU90" s="55"/>
    </row>
    <row r="91" spans="1:47" x14ac:dyDescent="0.3">
      <c r="B91" s="40" t="s">
        <v>10</v>
      </c>
      <c r="C91" s="41">
        <v>84</v>
      </c>
      <c r="D91" s="23">
        <f t="shared" si="22"/>
        <v>1428</v>
      </c>
      <c r="F91" s="58"/>
      <c r="G91" s="59" t="str">
        <f t="shared" ref="G91:V96" si="33">IF((MOD(($D91-G$4),30)=0),G$4,"")</f>
        <v/>
      </c>
      <c r="H91" s="60" t="str">
        <f t="shared" si="33"/>
        <v/>
      </c>
      <c r="I91" s="60" t="str">
        <f t="shared" si="33"/>
        <v/>
      </c>
      <c r="J91" s="60" t="str">
        <f t="shared" si="33"/>
        <v/>
      </c>
      <c r="K91" s="60" t="str">
        <f t="shared" si="33"/>
        <v/>
      </c>
      <c r="L91" s="60" t="str">
        <f t="shared" si="33"/>
        <v/>
      </c>
      <c r="M91" s="59" t="str">
        <f t="shared" si="33"/>
        <v/>
      </c>
      <c r="N91" s="60" t="str">
        <f t="shared" si="33"/>
        <v/>
      </c>
      <c r="O91" s="60" t="str">
        <f t="shared" si="33"/>
        <v/>
      </c>
      <c r="P91" s="60" t="str">
        <f t="shared" si="33"/>
        <v/>
      </c>
      <c r="Q91" s="59" t="str">
        <f t="shared" si="33"/>
        <v/>
      </c>
      <c r="R91" s="60" t="str">
        <f t="shared" si="33"/>
        <v/>
      </c>
      <c r="S91" s="59" t="str">
        <f t="shared" si="33"/>
        <v/>
      </c>
      <c r="T91" s="60" t="str">
        <f t="shared" si="33"/>
        <v/>
      </c>
      <c r="U91" s="60" t="str">
        <f t="shared" si="32"/>
        <v/>
      </c>
      <c r="V91" s="60" t="str">
        <f t="shared" si="32"/>
        <v/>
      </c>
      <c r="W91" s="59" t="str">
        <f t="shared" si="32"/>
        <v/>
      </c>
      <c r="X91" s="60">
        <f t="shared" si="32"/>
        <v>18</v>
      </c>
      <c r="Y91" s="59" t="str">
        <f t="shared" si="32"/>
        <v/>
      </c>
      <c r="Z91" s="60" t="str">
        <f t="shared" si="32"/>
        <v/>
      </c>
      <c r="AA91" s="60" t="str">
        <f t="shared" si="32"/>
        <v/>
      </c>
      <c r="AB91" s="60" t="str">
        <f t="shared" si="32"/>
        <v/>
      </c>
      <c r="AC91" s="59" t="str">
        <f t="shared" si="32"/>
        <v/>
      </c>
      <c r="AD91" s="60" t="str">
        <f t="shared" si="32"/>
        <v/>
      </c>
      <c r="AE91" s="60" t="str">
        <f t="shared" si="32"/>
        <v/>
      </c>
      <c r="AF91" s="60" t="str">
        <f t="shared" si="32"/>
        <v/>
      </c>
      <c r="AG91" s="60" t="str">
        <f t="shared" si="32"/>
        <v/>
      </c>
      <c r="AH91" s="60" t="str">
        <f t="shared" si="32"/>
        <v/>
      </c>
      <c r="AI91" s="61" t="str">
        <f t="shared" si="32"/>
        <v/>
      </c>
      <c r="AL91" s="54">
        <f t="shared" si="28"/>
        <v>17</v>
      </c>
      <c r="AM91" s="25">
        <f t="shared" si="23"/>
        <v>84</v>
      </c>
      <c r="AN91" s="69">
        <f t="shared" si="24"/>
        <v>78</v>
      </c>
      <c r="AO91" s="25">
        <f t="shared" si="29"/>
        <v>17</v>
      </c>
      <c r="AP91" s="25" t="str">
        <f t="shared" si="25"/>
        <v xml:space="preserve"> </v>
      </c>
      <c r="AQ91" s="25"/>
      <c r="AR91" s="25"/>
      <c r="AS91" s="25"/>
      <c r="AT91" s="25"/>
      <c r="AU91" s="55"/>
    </row>
    <row r="92" spans="1:47" x14ac:dyDescent="0.3">
      <c r="B92" s="40" t="s">
        <v>10</v>
      </c>
      <c r="C92" s="41">
        <v>85</v>
      </c>
      <c r="D92" s="23">
        <f t="shared" si="22"/>
        <v>1445</v>
      </c>
      <c r="F92" s="58"/>
      <c r="G92" s="59" t="str">
        <f t="shared" si="33"/>
        <v/>
      </c>
      <c r="H92" s="60" t="str">
        <f t="shared" si="33"/>
        <v/>
      </c>
      <c r="I92" s="60" t="str">
        <f t="shared" si="33"/>
        <v/>
      </c>
      <c r="J92" s="60" t="str">
        <f t="shared" si="33"/>
        <v/>
      </c>
      <c r="K92" s="60">
        <f t="shared" si="33"/>
        <v>5</v>
      </c>
      <c r="L92" s="60" t="str">
        <f t="shared" si="33"/>
        <v/>
      </c>
      <c r="M92" s="59" t="str">
        <f t="shared" si="33"/>
        <v/>
      </c>
      <c r="N92" s="60" t="str">
        <f t="shared" si="33"/>
        <v/>
      </c>
      <c r="O92" s="60" t="str">
        <f t="shared" si="33"/>
        <v/>
      </c>
      <c r="P92" s="60" t="str">
        <f t="shared" si="33"/>
        <v/>
      </c>
      <c r="Q92" s="59" t="str">
        <f t="shared" si="33"/>
        <v/>
      </c>
      <c r="R92" s="60" t="str">
        <f t="shared" si="33"/>
        <v/>
      </c>
      <c r="S92" s="59" t="str">
        <f t="shared" si="33"/>
        <v/>
      </c>
      <c r="T92" s="60" t="str">
        <f t="shared" si="33"/>
        <v/>
      </c>
      <c r="U92" s="60" t="str">
        <f t="shared" si="33"/>
        <v/>
      </c>
      <c r="V92" s="60" t="str">
        <f t="shared" si="33"/>
        <v/>
      </c>
      <c r="W92" s="59" t="str">
        <f t="shared" si="32"/>
        <v/>
      </c>
      <c r="X92" s="60" t="str">
        <f t="shared" si="32"/>
        <v/>
      </c>
      <c r="Y92" s="59" t="str">
        <f t="shared" si="32"/>
        <v/>
      </c>
      <c r="Z92" s="60" t="str">
        <f t="shared" si="32"/>
        <v/>
      </c>
      <c r="AA92" s="60" t="str">
        <f t="shared" si="32"/>
        <v/>
      </c>
      <c r="AB92" s="60" t="str">
        <f t="shared" si="32"/>
        <v/>
      </c>
      <c r="AC92" s="59" t="str">
        <f t="shared" si="32"/>
        <v/>
      </c>
      <c r="AD92" s="60" t="str">
        <f t="shared" si="32"/>
        <v/>
      </c>
      <c r="AE92" s="60" t="str">
        <f t="shared" si="32"/>
        <v/>
      </c>
      <c r="AF92" s="60" t="str">
        <f t="shared" si="32"/>
        <v/>
      </c>
      <c r="AG92" s="60" t="str">
        <f t="shared" si="32"/>
        <v/>
      </c>
      <c r="AH92" s="60" t="str">
        <f t="shared" si="32"/>
        <v/>
      </c>
      <c r="AI92" s="61" t="str">
        <f t="shared" si="32"/>
        <v/>
      </c>
      <c r="AL92" s="54">
        <f t="shared" si="28"/>
        <v>17</v>
      </c>
      <c r="AM92" s="25">
        <f t="shared" si="23"/>
        <v>85</v>
      </c>
      <c r="AN92" s="69">
        <f t="shared" si="24"/>
        <v>65</v>
      </c>
      <c r="AO92" s="25">
        <f t="shared" si="29"/>
        <v>17</v>
      </c>
      <c r="AP92" s="25" t="str">
        <f t="shared" si="25"/>
        <v xml:space="preserve"> </v>
      </c>
      <c r="AQ92" s="25"/>
      <c r="AR92" s="25"/>
      <c r="AS92" s="25"/>
      <c r="AT92" s="25"/>
      <c r="AU92" s="55"/>
    </row>
    <row r="93" spans="1:47" x14ac:dyDescent="0.3">
      <c r="B93" s="40" t="s">
        <v>10</v>
      </c>
      <c r="C93" s="41">
        <v>86</v>
      </c>
      <c r="D93" s="23">
        <f t="shared" si="22"/>
        <v>1462</v>
      </c>
      <c r="F93" s="58"/>
      <c r="G93" s="59" t="str">
        <f t="shared" si="33"/>
        <v/>
      </c>
      <c r="H93" s="60" t="str">
        <f t="shared" si="33"/>
        <v/>
      </c>
      <c r="I93" s="60" t="str">
        <f t="shared" si="33"/>
        <v/>
      </c>
      <c r="J93" s="60" t="str">
        <f t="shared" si="33"/>
        <v/>
      </c>
      <c r="K93" s="60" t="str">
        <f t="shared" si="33"/>
        <v/>
      </c>
      <c r="L93" s="60" t="str">
        <f t="shared" si="33"/>
        <v/>
      </c>
      <c r="M93" s="59" t="str">
        <f t="shared" si="33"/>
        <v/>
      </c>
      <c r="N93" s="60" t="str">
        <f t="shared" si="33"/>
        <v/>
      </c>
      <c r="O93" s="60" t="str">
        <f t="shared" si="33"/>
        <v/>
      </c>
      <c r="P93" s="60" t="str">
        <f t="shared" si="33"/>
        <v/>
      </c>
      <c r="Q93" s="59" t="str">
        <f t="shared" si="33"/>
        <v/>
      </c>
      <c r="R93" s="60" t="str">
        <f t="shared" si="33"/>
        <v/>
      </c>
      <c r="S93" s="59" t="str">
        <f t="shared" si="33"/>
        <v/>
      </c>
      <c r="T93" s="60" t="str">
        <f t="shared" si="33"/>
        <v/>
      </c>
      <c r="U93" s="60" t="str">
        <f t="shared" si="33"/>
        <v/>
      </c>
      <c r="V93" s="60" t="str">
        <f t="shared" si="33"/>
        <v/>
      </c>
      <c r="W93" s="59" t="str">
        <f t="shared" si="32"/>
        <v/>
      </c>
      <c r="X93" s="60" t="str">
        <f t="shared" si="32"/>
        <v/>
      </c>
      <c r="Y93" s="59" t="str">
        <f t="shared" si="32"/>
        <v/>
      </c>
      <c r="Z93" s="60" t="str">
        <f t="shared" si="32"/>
        <v/>
      </c>
      <c r="AA93" s="60" t="str">
        <f t="shared" si="32"/>
        <v/>
      </c>
      <c r="AB93" s="60">
        <f t="shared" si="32"/>
        <v>22</v>
      </c>
      <c r="AC93" s="59" t="str">
        <f t="shared" si="32"/>
        <v/>
      </c>
      <c r="AD93" s="60" t="str">
        <f t="shared" si="32"/>
        <v/>
      </c>
      <c r="AE93" s="60" t="str">
        <f t="shared" si="32"/>
        <v/>
      </c>
      <c r="AF93" s="60" t="str">
        <f t="shared" si="32"/>
        <v/>
      </c>
      <c r="AG93" s="60" t="str">
        <f t="shared" si="32"/>
        <v/>
      </c>
      <c r="AH93" s="60" t="str">
        <f t="shared" si="32"/>
        <v/>
      </c>
      <c r="AI93" s="61" t="str">
        <f t="shared" si="32"/>
        <v/>
      </c>
      <c r="AL93" s="54">
        <f t="shared" si="28"/>
        <v>17</v>
      </c>
      <c r="AM93" s="25">
        <f t="shared" si="23"/>
        <v>86</v>
      </c>
      <c r="AN93" s="69">
        <f t="shared" si="24"/>
        <v>82</v>
      </c>
      <c r="AO93" s="25">
        <f t="shared" si="29"/>
        <v>17</v>
      </c>
      <c r="AP93" s="25" t="str">
        <f t="shared" si="25"/>
        <v xml:space="preserve"> </v>
      </c>
      <c r="AQ93" s="25"/>
      <c r="AR93" s="25"/>
      <c r="AS93" s="25"/>
      <c r="AT93" s="25"/>
      <c r="AU93" s="55"/>
    </row>
    <row r="94" spans="1:47" x14ac:dyDescent="0.3">
      <c r="B94" s="40" t="s">
        <v>10</v>
      </c>
      <c r="C94" s="41">
        <v>87</v>
      </c>
      <c r="D94" s="23">
        <f t="shared" si="22"/>
        <v>1479</v>
      </c>
      <c r="F94" s="58"/>
      <c r="G94" s="59" t="str">
        <f t="shared" si="33"/>
        <v/>
      </c>
      <c r="H94" s="60" t="str">
        <f t="shared" si="33"/>
        <v/>
      </c>
      <c r="I94" s="60" t="str">
        <f t="shared" si="33"/>
        <v/>
      </c>
      <c r="J94" s="60" t="str">
        <f t="shared" si="33"/>
        <v/>
      </c>
      <c r="K94" s="60" t="str">
        <f t="shared" si="33"/>
        <v/>
      </c>
      <c r="L94" s="60" t="str">
        <f t="shared" si="33"/>
        <v/>
      </c>
      <c r="M94" s="59" t="str">
        <f t="shared" si="33"/>
        <v/>
      </c>
      <c r="N94" s="60" t="str">
        <f t="shared" si="33"/>
        <v/>
      </c>
      <c r="O94" s="60">
        <f t="shared" si="33"/>
        <v>9</v>
      </c>
      <c r="P94" s="60" t="str">
        <f t="shared" si="33"/>
        <v/>
      </c>
      <c r="Q94" s="59" t="str">
        <f t="shared" si="33"/>
        <v/>
      </c>
      <c r="R94" s="60" t="str">
        <f t="shared" si="33"/>
        <v/>
      </c>
      <c r="S94" s="59" t="str">
        <f t="shared" si="33"/>
        <v/>
      </c>
      <c r="T94" s="60" t="str">
        <f t="shared" si="33"/>
        <v/>
      </c>
      <c r="U94" s="60" t="str">
        <f t="shared" si="33"/>
        <v/>
      </c>
      <c r="V94" s="60" t="str">
        <f t="shared" si="33"/>
        <v/>
      </c>
      <c r="W94" s="59" t="str">
        <f t="shared" si="32"/>
        <v/>
      </c>
      <c r="X94" s="60" t="str">
        <f t="shared" si="32"/>
        <v/>
      </c>
      <c r="Y94" s="59" t="str">
        <f t="shared" si="32"/>
        <v/>
      </c>
      <c r="Z94" s="60" t="str">
        <f t="shared" si="32"/>
        <v/>
      </c>
      <c r="AA94" s="60" t="str">
        <f t="shared" si="32"/>
        <v/>
      </c>
      <c r="AB94" s="60" t="str">
        <f t="shared" si="32"/>
        <v/>
      </c>
      <c r="AC94" s="59" t="str">
        <f t="shared" si="32"/>
        <v/>
      </c>
      <c r="AD94" s="60" t="str">
        <f t="shared" si="32"/>
        <v/>
      </c>
      <c r="AE94" s="60" t="str">
        <f t="shared" si="32"/>
        <v/>
      </c>
      <c r="AF94" s="60" t="str">
        <f t="shared" si="32"/>
        <v/>
      </c>
      <c r="AG94" s="60" t="str">
        <f t="shared" si="32"/>
        <v/>
      </c>
      <c r="AH94" s="60" t="str">
        <f t="shared" si="32"/>
        <v/>
      </c>
      <c r="AI94" s="61" t="str">
        <f t="shared" si="32"/>
        <v/>
      </c>
      <c r="AL94" s="54">
        <f t="shared" si="28"/>
        <v>17</v>
      </c>
      <c r="AM94" s="25">
        <f t="shared" si="23"/>
        <v>87</v>
      </c>
      <c r="AN94" s="69">
        <f t="shared" si="24"/>
        <v>69</v>
      </c>
      <c r="AO94" s="25">
        <f t="shared" si="29"/>
        <v>17</v>
      </c>
      <c r="AP94" s="25" t="str">
        <f t="shared" si="25"/>
        <v xml:space="preserve"> </v>
      </c>
      <c r="AQ94" s="25"/>
      <c r="AR94" s="25"/>
      <c r="AS94" s="25"/>
      <c r="AT94" s="25"/>
      <c r="AU94" s="55"/>
    </row>
    <row r="95" spans="1:47" x14ac:dyDescent="0.3">
      <c r="B95" s="40" t="s">
        <v>10</v>
      </c>
      <c r="C95" s="41">
        <v>88</v>
      </c>
      <c r="D95" s="23">
        <f t="shared" si="22"/>
        <v>1496</v>
      </c>
      <c r="F95" s="58"/>
      <c r="G95" s="59" t="str">
        <f t="shared" si="33"/>
        <v/>
      </c>
      <c r="H95" s="60" t="str">
        <f t="shared" si="33"/>
        <v/>
      </c>
      <c r="I95" s="60" t="str">
        <f t="shared" si="33"/>
        <v/>
      </c>
      <c r="J95" s="60" t="str">
        <f t="shared" si="33"/>
        <v/>
      </c>
      <c r="K95" s="60" t="str">
        <f t="shared" si="33"/>
        <v/>
      </c>
      <c r="L95" s="60" t="str">
        <f t="shared" si="33"/>
        <v/>
      </c>
      <c r="M95" s="59" t="str">
        <f t="shared" si="33"/>
        <v/>
      </c>
      <c r="N95" s="60" t="str">
        <f t="shared" si="33"/>
        <v/>
      </c>
      <c r="O95" s="60" t="str">
        <f t="shared" si="33"/>
        <v/>
      </c>
      <c r="P95" s="60" t="str">
        <f t="shared" si="33"/>
        <v/>
      </c>
      <c r="Q95" s="59" t="str">
        <f t="shared" si="33"/>
        <v/>
      </c>
      <c r="R95" s="60" t="str">
        <f t="shared" si="33"/>
        <v/>
      </c>
      <c r="S95" s="59" t="str">
        <f t="shared" si="33"/>
        <v/>
      </c>
      <c r="T95" s="60" t="str">
        <f t="shared" si="33"/>
        <v/>
      </c>
      <c r="U95" s="60" t="str">
        <f t="shared" si="33"/>
        <v/>
      </c>
      <c r="V95" s="60" t="str">
        <f t="shared" si="33"/>
        <v/>
      </c>
      <c r="W95" s="59" t="str">
        <f t="shared" si="32"/>
        <v/>
      </c>
      <c r="X95" s="60" t="str">
        <f t="shared" si="32"/>
        <v/>
      </c>
      <c r="Y95" s="59" t="str">
        <f t="shared" si="32"/>
        <v/>
      </c>
      <c r="Z95" s="60" t="str">
        <f t="shared" si="32"/>
        <v/>
      </c>
      <c r="AA95" s="60" t="str">
        <f t="shared" si="32"/>
        <v/>
      </c>
      <c r="AB95" s="60" t="str">
        <f t="shared" si="32"/>
        <v/>
      </c>
      <c r="AC95" s="59" t="str">
        <f t="shared" si="32"/>
        <v/>
      </c>
      <c r="AD95" s="60" t="str">
        <f t="shared" si="32"/>
        <v/>
      </c>
      <c r="AE95" s="60" t="str">
        <f t="shared" si="32"/>
        <v/>
      </c>
      <c r="AF95" s="60">
        <f t="shared" si="32"/>
        <v>26</v>
      </c>
      <c r="AG95" s="60" t="str">
        <f t="shared" si="32"/>
        <v/>
      </c>
      <c r="AH95" s="60" t="str">
        <f t="shared" si="32"/>
        <v/>
      </c>
      <c r="AI95" s="61" t="str">
        <f t="shared" si="32"/>
        <v/>
      </c>
      <c r="AL95" s="54">
        <f t="shared" si="28"/>
        <v>17</v>
      </c>
      <c r="AM95" s="25">
        <f t="shared" si="23"/>
        <v>88</v>
      </c>
      <c r="AN95" s="69">
        <f t="shared" si="24"/>
        <v>86</v>
      </c>
      <c r="AO95" s="25">
        <f t="shared" si="29"/>
        <v>17</v>
      </c>
      <c r="AP95" s="25" t="str">
        <f t="shared" si="25"/>
        <v xml:space="preserve"> </v>
      </c>
      <c r="AQ95" s="25"/>
      <c r="AR95" s="25"/>
      <c r="AS95" s="25"/>
      <c r="AT95" s="25"/>
      <c r="AU95" s="55"/>
    </row>
    <row r="96" spans="1:47" ht="19.2" thickBot="1" x14ac:dyDescent="0.35">
      <c r="A96" s="23">
        <v>89</v>
      </c>
      <c r="B96" s="42" t="s">
        <v>11</v>
      </c>
      <c r="C96" s="43">
        <v>89</v>
      </c>
      <c r="D96" s="23">
        <f t="shared" si="22"/>
        <v>1513</v>
      </c>
      <c r="F96" s="62"/>
      <c r="G96" s="63" t="str">
        <f t="shared" si="33"/>
        <v/>
      </c>
      <c r="H96" s="64" t="str">
        <f t="shared" si="33"/>
        <v/>
      </c>
      <c r="I96" s="64" t="str">
        <f t="shared" si="33"/>
        <v/>
      </c>
      <c r="J96" s="64" t="str">
        <f t="shared" si="33"/>
        <v/>
      </c>
      <c r="K96" s="64" t="str">
        <f t="shared" si="33"/>
        <v/>
      </c>
      <c r="L96" s="64" t="str">
        <f t="shared" si="33"/>
        <v/>
      </c>
      <c r="M96" s="63" t="str">
        <f t="shared" si="33"/>
        <v/>
      </c>
      <c r="N96" s="64" t="str">
        <f t="shared" si="33"/>
        <v/>
      </c>
      <c r="O96" s="64" t="str">
        <f t="shared" si="33"/>
        <v/>
      </c>
      <c r="P96" s="64" t="str">
        <f t="shared" si="33"/>
        <v/>
      </c>
      <c r="Q96" s="63" t="str">
        <f t="shared" si="33"/>
        <v/>
      </c>
      <c r="R96" s="64" t="str">
        <f t="shared" si="33"/>
        <v/>
      </c>
      <c r="S96" s="63">
        <f t="shared" si="33"/>
        <v>13</v>
      </c>
      <c r="T96" s="64" t="str">
        <f t="shared" si="33"/>
        <v/>
      </c>
      <c r="U96" s="64" t="str">
        <f t="shared" si="33"/>
        <v/>
      </c>
      <c r="V96" s="64" t="str">
        <f t="shared" si="33"/>
        <v/>
      </c>
      <c r="W96" s="63" t="str">
        <f t="shared" si="32"/>
        <v/>
      </c>
      <c r="X96" s="64" t="str">
        <f t="shared" si="32"/>
        <v/>
      </c>
      <c r="Y96" s="63" t="str">
        <f t="shared" si="32"/>
        <v/>
      </c>
      <c r="Z96" s="64" t="str">
        <f t="shared" si="32"/>
        <v/>
      </c>
      <c r="AA96" s="64" t="str">
        <f t="shared" si="32"/>
        <v/>
      </c>
      <c r="AB96" s="64" t="str">
        <f t="shared" si="32"/>
        <v/>
      </c>
      <c r="AC96" s="63" t="str">
        <f t="shared" si="32"/>
        <v/>
      </c>
      <c r="AD96" s="64" t="str">
        <f t="shared" si="32"/>
        <v/>
      </c>
      <c r="AE96" s="64" t="str">
        <f t="shared" si="32"/>
        <v/>
      </c>
      <c r="AF96" s="64" t="str">
        <f t="shared" si="32"/>
        <v/>
      </c>
      <c r="AG96" s="64" t="str">
        <f t="shared" si="32"/>
        <v/>
      </c>
      <c r="AH96" s="64" t="str">
        <f t="shared" si="32"/>
        <v/>
      </c>
      <c r="AI96" s="65" t="str">
        <f t="shared" si="32"/>
        <v/>
      </c>
      <c r="AL96" s="54">
        <f t="shared" si="28"/>
        <v>17</v>
      </c>
      <c r="AM96" s="25">
        <f t="shared" si="23"/>
        <v>89</v>
      </c>
      <c r="AN96" s="69">
        <f>60+SUM(F96:AI96)</f>
        <v>73</v>
      </c>
      <c r="AO96" s="25">
        <f t="shared" si="29"/>
        <v>17</v>
      </c>
      <c r="AP96" s="25" t="str">
        <f t="shared" si="25"/>
        <v>#P</v>
      </c>
      <c r="AQ96" s="25"/>
      <c r="AR96" s="25"/>
      <c r="AS96" s="25"/>
      <c r="AT96" s="25"/>
      <c r="AU96" s="55"/>
    </row>
    <row r="97" spans="1:47" ht="19.2" thickBot="1" x14ac:dyDescent="0.35">
      <c r="AL97" s="56"/>
      <c r="AM97" s="70"/>
      <c r="AN97" s="76"/>
      <c r="AO97" s="70"/>
      <c r="AP97" s="70"/>
      <c r="AQ97" s="70"/>
      <c r="AR97" s="70"/>
      <c r="AS97" s="70"/>
      <c r="AT97" s="70"/>
      <c r="AU97" s="57"/>
    </row>
    <row r="101" spans="1:47" x14ac:dyDescent="0.3">
      <c r="A101" s="23">
        <v>97</v>
      </c>
    </row>
    <row r="102" spans="1:47" x14ac:dyDescent="0.3">
      <c r="A102" s="23">
        <v>101</v>
      </c>
    </row>
    <row r="103" spans="1:47" x14ac:dyDescent="0.3">
      <c r="A103" s="23">
        <v>103</v>
      </c>
    </row>
    <row r="104" spans="1:47" x14ac:dyDescent="0.3">
      <c r="A104" s="23">
        <v>107</v>
      </c>
    </row>
    <row r="105" spans="1:47" x14ac:dyDescent="0.3">
      <c r="A105" s="23">
        <v>109</v>
      </c>
    </row>
    <row r="106" spans="1:47" x14ac:dyDescent="0.3">
      <c r="A106" s="23">
        <v>113</v>
      </c>
    </row>
    <row r="107" spans="1:47" x14ac:dyDescent="0.3">
      <c r="A107" s="23">
        <v>127</v>
      </c>
    </row>
    <row r="108" spans="1:47" x14ac:dyDescent="0.3">
      <c r="A108" s="23">
        <v>131</v>
      </c>
    </row>
    <row r="109" spans="1:47" x14ac:dyDescent="0.3">
      <c r="A109" s="23">
        <v>137</v>
      </c>
    </row>
    <row r="110" spans="1:47" x14ac:dyDescent="0.3">
      <c r="A110" s="23">
        <v>139</v>
      </c>
    </row>
    <row r="111" spans="1:47" x14ac:dyDescent="0.3">
      <c r="A111" s="23">
        <v>149</v>
      </c>
    </row>
    <row r="112" spans="1:47" x14ac:dyDescent="0.3">
      <c r="A112" s="23">
        <v>151</v>
      </c>
    </row>
    <row r="113" spans="1:1" x14ac:dyDescent="0.3">
      <c r="A113" s="23">
        <v>157</v>
      </c>
    </row>
    <row r="114" spans="1:1" x14ac:dyDescent="0.3">
      <c r="A114" s="23">
        <v>163</v>
      </c>
    </row>
    <row r="115" spans="1:1" x14ac:dyDescent="0.3">
      <c r="A115" s="23">
        <v>167</v>
      </c>
    </row>
    <row r="116" spans="1:1" x14ac:dyDescent="0.3">
      <c r="A116" s="23">
        <v>173</v>
      </c>
    </row>
    <row r="117" spans="1:1" x14ac:dyDescent="0.3">
      <c r="A117" s="23">
        <v>179</v>
      </c>
    </row>
    <row r="118" spans="1:1" x14ac:dyDescent="0.3">
      <c r="A118" s="23">
        <v>181</v>
      </c>
    </row>
    <row r="119" spans="1:1" x14ac:dyDescent="0.3">
      <c r="A119" s="23">
        <v>191</v>
      </c>
    </row>
    <row r="120" spans="1:1" x14ac:dyDescent="0.3">
      <c r="A120" s="23">
        <v>193</v>
      </c>
    </row>
    <row r="121" spans="1:1" x14ac:dyDescent="0.3">
      <c r="A121" s="23">
        <v>197</v>
      </c>
    </row>
    <row r="122" spans="1:1" x14ac:dyDescent="0.3">
      <c r="A122" s="23">
        <v>199</v>
      </c>
    </row>
  </sheetData>
  <pageMargins left="0.25" right="0.25" top="0.25" bottom="0.25" header="0.25" footer="0.2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EE96-402C-4D1C-B4C7-A5953B7AC47E}">
  <dimension ref="B2:AI34"/>
  <sheetViews>
    <sheetView topLeftCell="B1" zoomScale="70" zoomScaleNormal="70" workbookViewId="0">
      <selection activeCell="G6" sqref="G6"/>
    </sheetView>
  </sheetViews>
  <sheetFormatPr defaultRowHeight="18.600000000000001" x14ac:dyDescent="0.45"/>
  <cols>
    <col min="1" max="1" width="8.88671875" style="44"/>
    <col min="2" max="2" width="4.21875" style="23" customWidth="1"/>
    <col min="3" max="3" width="5.6640625" style="23" customWidth="1"/>
    <col min="4" max="4" width="6.21875" style="23" customWidth="1"/>
    <col min="5" max="5" width="4.21875" style="23" customWidth="1"/>
    <col min="6" max="16384" width="8.88671875" style="44"/>
  </cols>
  <sheetData>
    <row r="2" spans="2:35" x14ac:dyDescent="0.45">
      <c r="D2" s="37">
        <v>7</v>
      </c>
    </row>
    <row r="4" spans="2:35" ht="19.2" thickBot="1" x14ac:dyDescent="0.5">
      <c r="F4" s="44">
        <v>0</v>
      </c>
      <c r="G4" s="44">
        <v>1</v>
      </c>
      <c r="H4" s="44">
        <v>2</v>
      </c>
      <c r="I4" s="44">
        <v>3</v>
      </c>
      <c r="J4" s="44">
        <v>4</v>
      </c>
      <c r="K4" s="44">
        <v>5</v>
      </c>
      <c r="L4" s="44">
        <v>6</v>
      </c>
      <c r="M4" s="44">
        <v>7</v>
      </c>
      <c r="N4" s="44">
        <v>8</v>
      </c>
      <c r="O4" s="44">
        <v>9</v>
      </c>
      <c r="P4" s="44">
        <v>10</v>
      </c>
      <c r="Q4" s="44">
        <v>11</v>
      </c>
      <c r="R4" s="44">
        <v>12</v>
      </c>
      <c r="S4" s="44">
        <v>13</v>
      </c>
      <c r="T4" s="44">
        <v>14</v>
      </c>
      <c r="U4" s="44">
        <v>15</v>
      </c>
      <c r="V4" s="44">
        <v>16</v>
      </c>
      <c r="W4" s="44">
        <v>17</v>
      </c>
      <c r="X4" s="44">
        <v>18</v>
      </c>
      <c r="Y4" s="44">
        <v>19</v>
      </c>
      <c r="Z4" s="44">
        <v>20</v>
      </c>
      <c r="AA4" s="44">
        <v>21</v>
      </c>
      <c r="AB4" s="44">
        <v>22</v>
      </c>
      <c r="AC4" s="44">
        <v>23</v>
      </c>
      <c r="AD4" s="44">
        <v>24</v>
      </c>
      <c r="AE4" s="44">
        <v>25</v>
      </c>
      <c r="AF4" s="44">
        <v>26</v>
      </c>
      <c r="AG4" s="44">
        <v>27</v>
      </c>
      <c r="AH4" s="44">
        <v>28</v>
      </c>
      <c r="AI4" s="44">
        <v>29</v>
      </c>
    </row>
    <row r="5" spans="2:35" x14ac:dyDescent="0.45">
      <c r="B5" s="38"/>
      <c r="C5" s="39">
        <v>0</v>
      </c>
      <c r="D5" s="23">
        <f>C5*$D$2</f>
        <v>0</v>
      </c>
    </row>
    <row r="6" spans="2:35" x14ac:dyDescent="0.45">
      <c r="B6" s="40" t="s">
        <v>3</v>
      </c>
      <c r="C6" s="41">
        <v>1</v>
      </c>
      <c r="D6" s="23">
        <f t="shared" ref="D6:D34" si="0">C6*$D$2</f>
        <v>7</v>
      </c>
      <c r="G6" s="44">
        <f>($D6-G$4)/30</f>
        <v>0.2</v>
      </c>
      <c r="H6" s="44">
        <f t="shared" ref="H6:L6" si="1">($D6-H$4)/30</f>
        <v>0.16666666666666666</v>
      </c>
      <c r="I6" s="44">
        <f t="shared" si="1"/>
        <v>0.13333333333333333</v>
      </c>
      <c r="J6" s="44">
        <f t="shared" si="1"/>
        <v>0.1</v>
      </c>
      <c r="K6" s="44">
        <f t="shared" si="1"/>
        <v>6.6666666666666666E-2</v>
      </c>
      <c r="L6" s="44">
        <f t="shared" si="1"/>
        <v>3.3333333333333333E-2</v>
      </c>
      <c r="M6" s="44">
        <f>($D6-M$4)/30</f>
        <v>0</v>
      </c>
      <c r="N6" s="44">
        <f t="shared" ref="N6:AI17" si="2">($D6-N$4)/30</f>
        <v>-3.3333333333333333E-2</v>
      </c>
      <c r="O6" s="44">
        <f t="shared" si="2"/>
        <v>-6.6666666666666666E-2</v>
      </c>
      <c r="P6" s="44">
        <f t="shared" si="2"/>
        <v>-0.1</v>
      </c>
      <c r="Q6" s="44">
        <f t="shared" si="2"/>
        <v>-0.13333333333333333</v>
      </c>
      <c r="R6" s="44">
        <f t="shared" si="2"/>
        <v>-0.16666666666666666</v>
      </c>
      <c r="S6" s="44">
        <f t="shared" si="2"/>
        <v>-0.2</v>
      </c>
      <c r="T6" s="44">
        <f t="shared" si="2"/>
        <v>-0.23333333333333334</v>
      </c>
      <c r="U6" s="44">
        <f t="shared" si="2"/>
        <v>-0.26666666666666666</v>
      </c>
      <c r="V6" s="44">
        <f t="shared" si="2"/>
        <v>-0.3</v>
      </c>
      <c r="W6" s="44">
        <f t="shared" si="2"/>
        <v>-0.33333333333333331</v>
      </c>
      <c r="X6" s="44">
        <f t="shared" si="2"/>
        <v>-0.36666666666666664</v>
      </c>
      <c r="Y6" s="44">
        <f t="shared" si="2"/>
        <v>-0.4</v>
      </c>
      <c r="Z6" s="44">
        <f t="shared" si="2"/>
        <v>-0.43333333333333335</v>
      </c>
      <c r="AA6" s="44">
        <f t="shared" si="2"/>
        <v>-0.46666666666666667</v>
      </c>
      <c r="AB6" s="44">
        <f t="shared" si="2"/>
        <v>-0.5</v>
      </c>
      <c r="AC6" s="44">
        <f t="shared" si="2"/>
        <v>-0.53333333333333333</v>
      </c>
      <c r="AD6" s="44">
        <f t="shared" si="2"/>
        <v>-0.56666666666666665</v>
      </c>
      <c r="AE6" s="44">
        <f t="shared" si="2"/>
        <v>-0.6</v>
      </c>
      <c r="AF6" s="44">
        <f t="shared" si="2"/>
        <v>-0.6333333333333333</v>
      </c>
      <c r="AG6" s="44">
        <f t="shared" si="2"/>
        <v>-0.66666666666666663</v>
      </c>
      <c r="AH6" s="44">
        <f t="shared" si="2"/>
        <v>-0.7</v>
      </c>
      <c r="AI6" s="44">
        <f t="shared" si="2"/>
        <v>-0.73333333333333328</v>
      </c>
    </row>
    <row r="7" spans="2:35" x14ac:dyDescent="0.45">
      <c r="B7" s="40" t="s">
        <v>3</v>
      </c>
      <c r="C7" s="41">
        <v>2</v>
      </c>
      <c r="D7" s="23">
        <f t="shared" si="0"/>
        <v>14</v>
      </c>
      <c r="G7" s="44">
        <f t="shared" ref="G7:V28" si="3">($D7-G$4)/30</f>
        <v>0.43333333333333335</v>
      </c>
      <c r="H7" s="44">
        <f t="shared" si="3"/>
        <v>0.4</v>
      </c>
      <c r="I7" s="44">
        <f t="shared" si="3"/>
        <v>0.36666666666666664</v>
      </c>
      <c r="J7" s="44">
        <f t="shared" si="3"/>
        <v>0.33333333333333331</v>
      </c>
      <c r="K7" s="44">
        <f t="shared" si="3"/>
        <v>0.3</v>
      </c>
      <c r="L7" s="44">
        <f t="shared" si="3"/>
        <v>0.26666666666666666</v>
      </c>
      <c r="M7" s="44">
        <f t="shared" si="3"/>
        <v>0.23333333333333334</v>
      </c>
      <c r="N7" s="44">
        <f t="shared" si="3"/>
        <v>0.2</v>
      </c>
      <c r="O7" s="44">
        <f t="shared" si="3"/>
        <v>0.16666666666666666</v>
      </c>
      <c r="P7" s="44">
        <f t="shared" si="3"/>
        <v>0.13333333333333333</v>
      </c>
      <c r="Q7" s="44">
        <f t="shared" si="3"/>
        <v>0.1</v>
      </c>
      <c r="R7" s="44">
        <f t="shared" si="3"/>
        <v>6.6666666666666666E-2</v>
      </c>
      <c r="S7" s="44">
        <f t="shared" si="3"/>
        <v>3.3333333333333333E-2</v>
      </c>
      <c r="T7" s="44">
        <f t="shared" si="3"/>
        <v>0</v>
      </c>
      <c r="U7" s="44">
        <f t="shared" si="3"/>
        <v>-3.3333333333333333E-2</v>
      </c>
      <c r="V7" s="44">
        <f t="shared" si="3"/>
        <v>-6.6666666666666666E-2</v>
      </c>
      <c r="W7" s="44">
        <f t="shared" si="2"/>
        <v>-0.1</v>
      </c>
      <c r="X7" s="44">
        <f t="shared" si="2"/>
        <v>-0.13333333333333333</v>
      </c>
      <c r="Y7" s="44">
        <f t="shared" si="2"/>
        <v>-0.16666666666666666</v>
      </c>
      <c r="Z7" s="44">
        <f t="shared" si="2"/>
        <v>-0.2</v>
      </c>
      <c r="AA7" s="44">
        <f t="shared" si="2"/>
        <v>-0.23333333333333334</v>
      </c>
      <c r="AB7" s="44">
        <f t="shared" si="2"/>
        <v>-0.26666666666666666</v>
      </c>
      <c r="AC7" s="44">
        <f t="shared" si="2"/>
        <v>-0.3</v>
      </c>
      <c r="AD7" s="44">
        <f t="shared" si="2"/>
        <v>-0.33333333333333331</v>
      </c>
      <c r="AE7" s="44">
        <f t="shared" si="2"/>
        <v>-0.36666666666666664</v>
      </c>
      <c r="AF7" s="44">
        <f t="shared" si="2"/>
        <v>-0.4</v>
      </c>
      <c r="AG7" s="44">
        <f t="shared" si="2"/>
        <v>-0.43333333333333335</v>
      </c>
      <c r="AH7" s="44">
        <f t="shared" si="2"/>
        <v>-0.46666666666666667</v>
      </c>
      <c r="AI7" s="44">
        <f t="shared" si="2"/>
        <v>-0.5</v>
      </c>
    </row>
    <row r="8" spans="2:35" x14ac:dyDescent="0.45">
      <c r="B8" s="40" t="s">
        <v>3</v>
      </c>
      <c r="C8" s="41">
        <v>3</v>
      </c>
      <c r="D8" s="23">
        <f t="shared" si="0"/>
        <v>21</v>
      </c>
      <c r="G8" s="44">
        <f t="shared" si="3"/>
        <v>0.66666666666666663</v>
      </c>
      <c r="H8" s="44">
        <f t="shared" si="3"/>
        <v>0.6333333333333333</v>
      </c>
      <c r="I8" s="44">
        <f t="shared" si="3"/>
        <v>0.6</v>
      </c>
      <c r="J8" s="44">
        <f t="shared" si="3"/>
        <v>0.56666666666666665</v>
      </c>
      <c r="K8" s="44">
        <f t="shared" si="3"/>
        <v>0.53333333333333333</v>
      </c>
      <c r="L8" s="44">
        <f t="shared" si="3"/>
        <v>0.5</v>
      </c>
      <c r="M8" s="44">
        <f t="shared" si="3"/>
        <v>0.46666666666666667</v>
      </c>
      <c r="N8" s="44">
        <f t="shared" si="2"/>
        <v>0.43333333333333335</v>
      </c>
      <c r="O8" s="44">
        <f t="shared" si="2"/>
        <v>0.4</v>
      </c>
      <c r="P8" s="44">
        <f t="shared" si="2"/>
        <v>0.36666666666666664</v>
      </c>
      <c r="Q8" s="44">
        <f t="shared" si="2"/>
        <v>0.33333333333333331</v>
      </c>
      <c r="R8" s="44">
        <f t="shared" si="2"/>
        <v>0.3</v>
      </c>
      <c r="S8" s="44">
        <f t="shared" si="2"/>
        <v>0.26666666666666666</v>
      </c>
      <c r="T8" s="44">
        <f t="shared" si="2"/>
        <v>0.23333333333333334</v>
      </c>
      <c r="U8" s="44">
        <f t="shared" si="2"/>
        <v>0.2</v>
      </c>
      <c r="V8" s="44">
        <f t="shared" si="2"/>
        <v>0.16666666666666666</v>
      </c>
      <c r="W8" s="44">
        <f t="shared" si="2"/>
        <v>0.13333333333333333</v>
      </c>
      <c r="X8" s="44">
        <f t="shared" si="2"/>
        <v>0.1</v>
      </c>
      <c r="Y8" s="44">
        <f t="shared" si="2"/>
        <v>6.6666666666666666E-2</v>
      </c>
      <c r="Z8" s="44">
        <f t="shared" si="2"/>
        <v>3.3333333333333333E-2</v>
      </c>
      <c r="AA8" s="44">
        <f t="shared" si="2"/>
        <v>0</v>
      </c>
      <c r="AB8" s="44">
        <f t="shared" si="2"/>
        <v>-3.3333333333333333E-2</v>
      </c>
      <c r="AC8" s="44">
        <f t="shared" si="2"/>
        <v>-6.6666666666666666E-2</v>
      </c>
      <c r="AD8" s="44">
        <f t="shared" si="2"/>
        <v>-0.1</v>
      </c>
      <c r="AE8" s="44">
        <f t="shared" si="2"/>
        <v>-0.13333333333333333</v>
      </c>
      <c r="AF8" s="44">
        <f t="shared" si="2"/>
        <v>-0.16666666666666666</v>
      </c>
      <c r="AG8" s="44">
        <f t="shared" si="2"/>
        <v>-0.2</v>
      </c>
      <c r="AH8" s="44">
        <f t="shared" si="2"/>
        <v>-0.23333333333333334</v>
      </c>
      <c r="AI8" s="44">
        <f t="shared" si="2"/>
        <v>-0.26666666666666666</v>
      </c>
    </row>
    <row r="9" spans="2:35" x14ac:dyDescent="0.45">
      <c r="B9" s="40"/>
      <c r="C9" s="41">
        <v>4</v>
      </c>
      <c r="D9" s="23">
        <f t="shared" si="0"/>
        <v>28</v>
      </c>
      <c r="G9" s="44">
        <f t="shared" si="3"/>
        <v>0.9</v>
      </c>
      <c r="H9" s="44">
        <f t="shared" si="3"/>
        <v>0.8666666666666667</v>
      </c>
      <c r="I9" s="44">
        <f t="shared" si="3"/>
        <v>0.83333333333333337</v>
      </c>
      <c r="J9" s="44">
        <f t="shared" si="3"/>
        <v>0.8</v>
      </c>
      <c r="K9" s="44">
        <f t="shared" si="3"/>
        <v>0.76666666666666672</v>
      </c>
      <c r="L9" s="44">
        <f t="shared" si="3"/>
        <v>0.73333333333333328</v>
      </c>
      <c r="M9" s="44">
        <f t="shared" si="3"/>
        <v>0.7</v>
      </c>
      <c r="N9" s="44">
        <f t="shared" si="2"/>
        <v>0.66666666666666663</v>
      </c>
      <c r="O9" s="44">
        <f t="shared" si="2"/>
        <v>0.6333333333333333</v>
      </c>
      <c r="P9" s="44">
        <f t="shared" si="2"/>
        <v>0.6</v>
      </c>
      <c r="Q9" s="44">
        <f t="shared" si="2"/>
        <v>0.56666666666666665</v>
      </c>
      <c r="R9" s="44">
        <f t="shared" si="2"/>
        <v>0.53333333333333333</v>
      </c>
      <c r="S9" s="44">
        <f t="shared" si="2"/>
        <v>0.5</v>
      </c>
      <c r="T9" s="44">
        <f t="shared" si="2"/>
        <v>0.46666666666666667</v>
      </c>
      <c r="U9" s="44">
        <f t="shared" si="2"/>
        <v>0.43333333333333335</v>
      </c>
      <c r="V9" s="44">
        <f t="shared" si="2"/>
        <v>0.4</v>
      </c>
      <c r="W9" s="44">
        <f t="shared" si="2"/>
        <v>0.36666666666666664</v>
      </c>
      <c r="X9" s="44">
        <f t="shared" si="2"/>
        <v>0.33333333333333331</v>
      </c>
      <c r="Y9" s="44">
        <f t="shared" si="2"/>
        <v>0.3</v>
      </c>
      <c r="Z9" s="44">
        <f t="shared" si="2"/>
        <v>0.26666666666666666</v>
      </c>
      <c r="AA9" s="44">
        <f t="shared" si="2"/>
        <v>0.23333333333333334</v>
      </c>
      <c r="AB9" s="44">
        <f t="shared" si="2"/>
        <v>0.2</v>
      </c>
      <c r="AC9" s="44">
        <f t="shared" si="2"/>
        <v>0.16666666666666666</v>
      </c>
      <c r="AD9" s="44">
        <f t="shared" si="2"/>
        <v>0.13333333333333333</v>
      </c>
      <c r="AE9" s="44">
        <f t="shared" si="2"/>
        <v>0.1</v>
      </c>
      <c r="AF9" s="44">
        <f t="shared" si="2"/>
        <v>6.6666666666666666E-2</v>
      </c>
      <c r="AG9" s="44">
        <f t="shared" si="2"/>
        <v>3.3333333333333333E-2</v>
      </c>
      <c r="AH9" s="44">
        <f t="shared" si="2"/>
        <v>0</v>
      </c>
      <c r="AI9" s="44">
        <f t="shared" si="2"/>
        <v>-3.3333333333333333E-2</v>
      </c>
    </row>
    <row r="10" spans="2:35" x14ac:dyDescent="0.45">
      <c r="B10" s="40" t="s">
        <v>3</v>
      </c>
      <c r="C10" s="41">
        <v>5</v>
      </c>
      <c r="D10" s="23">
        <f t="shared" si="0"/>
        <v>35</v>
      </c>
      <c r="G10" s="44">
        <f t="shared" si="3"/>
        <v>1.1333333333333333</v>
      </c>
      <c r="H10" s="44">
        <f t="shared" si="3"/>
        <v>1.1000000000000001</v>
      </c>
      <c r="I10" s="44">
        <f t="shared" si="3"/>
        <v>1.0666666666666667</v>
      </c>
      <c r="J10" s="44">
        <f t="shared" si="3"/>
        <v>1.0333333333333334</v>
      </c>
      <c r="K10" s="44">
        <f t="shared" si="3"/>
        <v>1</v>
      </c>
      <c r="L10" s="44">
        <f t="shared" si="3"/>
        <v>0.96666666666666667</v>
      </c>
      <c r="M10" s="44">
        <f t="shared" si="3"/>
        <v>0.93333333333333335</v>
      </c>
      <c r="N10" s="44">
        <f t="shared" si="2"/>
        <v>0.9</v>
      </c>
      <c r="O10" s="44">
        <f t="shared" si="2"/>
        <v>0.8666666666666667</v>
      </c>
      <c r="P10" s="44">
        <f t="shared" si="2"/>
        <v>0.83333333333333337</v>
      </c>
      <c r="Q10" s="44">
        <f t="shared" si="2"/>
        <v>0.8</v>
      </c>
      <c r="R10" s="44">
        <f t="shared" si="2"/>
        <v>0.76666666666666672</v>
      </c>
      <c r="S10" s="44">
        <f t="shared" si="2"/>
        <v>0.73333333333333328</v>
      </c>
      <c r="T10" s="44">
        <f t="shared" si="2"/>
        <v>0.7</v>
      </c>
      <c r="U10" s="44">
        <f t="shared" si="2"/>
        <v>0.66666666666666663</v>
      </c>
      <c r="V10" s="44">
        <f t="shared" si="2"/>
        <v>0.6333333333333333</v>
      </c>
      <c r="W10" s="44">
        <f t="shared" si="2"/>
        <v>0.6</v>
      </c>
      <c r="X10" s="44">
        <f t="shared" si="2"/>
        <v>0.56666666666666665</v>
      </c>
      <c r="Y10" s="44">
        <f t="shared" si="2"/>
        <v>0.53333333333333333</v>
      </c>
      <c r="Z10" s="44">
        <f t="shared" si="2"/>
        <v>0.5</v>
      </c>
      <c r="AA10" s="44">
        <f t="shared" si="2"/>
        <v>0.46666666666666667</v>
      </c>
      <c r="AB10" s="44">
        <f t="shared" si="2"/>
        <v>0.43333333333333335</v>
      </c>
      <c r="AC10" s="44">
        <f t="shared" si="2"/>
        <v>0.4</v>
      </c>
      <c r="AD10" s="44">
        <f t="shared" si="2"/>
        <v>0.36666666666666664</v>
      </c>
      <c r="AE10" s="44">
        <f t="shared" si="2"/>
        <v>0.33333333333333331</v>
      </c>
      <c r="AF10" s="44">
        <f t="shared" si="2"/>
        <v>0.3</v>
      </c>
      <c r="AG10" s="44">
        <f t="shared" si="2"/>
        <v>0.26666666666666666</v>
      </c>
      <c r="AH10" s="44">
        <f t="shared" si="2"/>
        <v>0.23333333333333334</v>
      </c>
      <c r="AI10" s="44">
        <f t="shared" si="2"/>
        <v>0.2</v>
      </c>
    </row>
    <row r="11" spans="2:35" x14ac:dyDescent="0.45">
      <c r="B11" s="40"/>
      <c r="C11" s="41">
        <v>6</v>
      </c>
      <c r="D11" s="23">
        <f t="shared" si="0"/>
        <v>42</v>
      </c>
      <c r="G11" s="44">
        <f t="shared" si="3"/>
        <v>1.3666666666666667</v>
      </c>
      <c r="H11" s="44">
        <f t="shared" si="3"/>
        <v>1.3333333333333333</v>
      </c>
      <c r="I11" s="44">
        <f t="shared" si="3"/>
        <v>1.3</v>
      </c>
      <c r="J11" s="44">
        <f t="shared" si="3"/>
        <v>1.2666666666666666</v>
      </c>
      <c r="K11" s="44">
        <f t="shared" si="3"/>
        <v>1.2333333333333334</v>
      </c>
      <c r="L11" s="44">
        <f t="shared" si="3"/>
        <v>1.2</v>
      </c>
      <c r="M11" s="44">
        <f t="shared" si="3"/>
        <v>1.1666666666666667</v>
      </c>
      <c r="N11" s="44">
        <f t="shared" si="2"/>
        <v>1.1333333333333333</v>
      </c>
      <c r="O11" s="44">
        <f t="shared" si="2"/>
        <v>1.1000000000000001</v>
      </c>
      <c r="P11" s="44">
        <f t="shared" si="2"/>
        <v>1.0666666666666667</v>
      </c>
      <c r="Q11" s="44">
        <f t="shared" si="2"/>
        <v>1.0333333333333334</v>
      </c>
      <c r="R11" s="44">
        <f t="shared" si="2"/>
        <v>1</v>
      </c>
      <c r="S11" s="44">
        <f t="shared" si="2"/>
        <v>0.96666666666666667</v>
      </c>
      <c r="T11" s="44">
        <f t="shared" si="2"/>
        <v>0.93333333333333335</v>
      </c>
      <c r="U11" s="44">
        <f t="shared" si="2"/>
        <v>0.9</v>
      </c>
      <c r="V11" s="44">
        <f t="shared" si="2"/>
        <v>0.8666666666666667</v>
      </c>
      <c r="W11" s="44">
        <f t="shared" si="2"/>
        <v>0.83333333333333337</v>
      </c>
      <c r="X11" s="44">
        <f t="shared" si="2"/>
        <v>0.8</v>
      </c>
      <c r="Y11" s="44">
        <f t="shared" si="2"/>
        <v>0.76666666666666672</v>
      </c>
      <c r="Z11" s="44">
        <f t="shared" si="2"/>
        <v>0.73333333333333328</v>
      </c>
      <c r="AA11" s="44">
        <f t="shared" si="2"/>
        <v>0.7</v>
      </c>
      <c r="AB11" s="44">
        <f t="shared" si="2"/>
        <v>0.66666666666666663</v>
      </c>
      <c r="AC11" s="44">
        <f t="shared" si="2"/>
        <v>0.6333333333333333</v>
      </c>
      <c r="AD11" s="44">
        <f t="shared" si="2"/>
        <v>0.6</v>
      </c>
      <c r="AE11" s="44">
        <f t="shared" si="2"/>
        <v>0.56666666666666665</v>
      </c>
      <c r="AF11" s="44">
        <f t="shared" si="2"/>
        <v>0.53333333333333333</v>
      </c>
      <c r="AG11" s="44">
        <f t="shared" si="2"/>
        <v>0.5</v>
      </c>
      <c r="AH11" s="44">
        <f t="shared" si="2"/>
        <v>0.46666666666666667</v>
      </c>
      <c r="AI11" s="44">
        <f t="shared" si="2"/>
        <v>0.43333333333333335</v>
      </c>
    </row>
    <row r="12" spans="2:35" x14ac:dyDescent="0.45">
      <c r="B12" s="40" t="s">
        <v>3</v>
      </c>
      <c r="C12" s="41">
        <v>7</v>
      </c>
      <c r="D12" s="23">
        <f t="shared" si="0"/>
        <v>49</v>
      </c>
      <c r="G12" s="44">
        <f t="shared" si="3"/>
        <v>1.6</v>
      </c>
      <c r="H12" s="44">
        <f t="shared" si="3"/>
        <v>1.5666666666666667</v>
      </c>
      <c r="I12" s="44">
        <f t="shared" si="3"/>
        <v>1.5333333333333334</v>
      </c>
      <c r="J12" s="44">
        <f t="shared" si="3"/>
        <v>1.5</v>
      </c>
      <c r="K12" s="44">
        <f t="shared" si="3"/>
        <v>1.4666666666666666</v>
      </c>
      <c r="L12" s="44">
        <f t="shared" si="3"/>
        <v>1.4333333333333333</v>
      </c>
      <c r="M12" s="44">
        <f t="shared" si="3"/>
        <v>1.4</v>
      </c>
      <c r="N12" s="44">
        <f t="shared" si="2"/>
        <v>1.3666666666666667</v>
      </c>
      <c r="O12" s="44">
        <f t="shared" si="2"/>
        <v>1.3333333333333333</v>
      </c>
      <c r="P12" s="44">
        <f t="shared" si="2"/>
        <v>1.3</v>
      </c>
      <c r="Q12" s="44">
        <f t="shared" si="2"/>
        <v>1.2666666666666666</v>
      </c>
      <c r="R12" s="44">
        <f t="shared" si="2"/>
        <v>1.2333333333333334</v>
      </c>
      <c r="S12" s="44">
        <f t="shared" si="2"/>
        <v>1.2</v>
      </c>
      <c r="T12" s="44">
        <f t="shared" si="2"/>
        <v>1.1666666666666667</v>
      </c>
      <c r="U12" s="44">
        <f t="shared" si="2"/>
        <v>1.1333333333333333</v>
      </c>
      <c r="V12" s="44">
        <f t="shared" si="2"/>
        <v>1.1000000000000001</v>
      </c>
      <c r="W12" s="44">
        <f t="shared" si="2"/>
        <v>1.0666666666666667</v>
      </c>
      <c r="X12" s="44">
        <f t="shared" si="2"/>
        <v>1.0333333333333334</v>
      </c>
      <c r="Y12" s="44">
        <f t="shared" si="2"/>
        <v>1</v>
      </c>
      <c r="Z12" s="44">
        <f t="shared" si="2"/>
        <v>0.96666666666666667</v>
      </c>
      <c r="AA12" s="44">
        <f t="shared" si="2"/>
        <v>0.93333333333333335</v>
      </c>
      <c r="AB12" s="44">
        <f t="shared" si="2"/>
        <v>0.9</v>
      </c>
      <c r="AC12" s="44">
        <f t="shared" si="2"/>
        <v>0.8666666666666667</v>
      </c>
      <c r="AD12" s="44">
        <f t="shared" si="2"/>
        <v>0.83333333333333337</v>
      </c>
      <c r="AE12" s="44">
        <f t="shared" si="2"/>
        <v>0.8</v>
      </c>
      <c r="AF12" s="44">
        <f t="shared" si="2"/>
        <v>0.76666666666666672</v>
      </c>
      <c r="AG12" s="44">
        <f t="shared" si="2"/>
        <v>0.73333333333333328</v>
      </c>
      <c r="AH12" s="44">
        <f t="shared" si="2"/>
        <v>0.7</v>
      </c>
      <c r="AI12" s="44">
        <f t="shared" si="2"/>
        <v>0.66666666666666663</v>
      </c>
    </row>
    <row r="13" spans="2:35" x14ac:dyDescent="0.45">
      <c r="B13" s="40"/>
      <c r="C13" s="41">
        <v>8</v>
      </c>
      <c r="D13" s="23">
        <f t="shared" si="0"/>
        <v>56</v>
      </c>
      <c r="G13" s="44">
        <f t="shared" si="3"/>
        <v>1.8333333333333333</v>
      </c>
      <c r="H13" s="44">
        <f t="shared" si="3"/>
        <v>1.8</v>
      </c>
      <c r="I13" s="44">
        <f t="shared" si="3"/>
        <v>1.7666666666666666</v>
      </c>
      <c r="J13" s="44">
        <f t="shared" si="3"/>
        <v>1.7333333333333334</v>
      </c>
      <c r="K13" s="44">
        <f t="shared" si="3"/>
        <v>1.7</v>
      </c>
      <c r="L13" s="44">
        <f t="shared" si="3"/>
        <v>1.6666666666666667</v>
      </c>
      <c r="M13" s="44">
        <f t="shared" si="3"/>
        <v>1.6333333333333333</v>
      </c>
      <c r="N13" s="44">
        <f t="shared" si="2"/>
        <v>1.6</v>
      </c>
      <c r="O13" s="44">
        <f t="shared" si="2"/>
        <v>1.5666666666666667</v>
      </c>
      <c r="P13" s="44">
        <f t="shared" si="2"/>
        <v>1.5333333333333334</v>
      </c>
      <c r="Q13" s="44">
        <f t="shared" si="2"/>
        <v>1.5</v>
      </c>
      <c r="R13" s="44">
        <f t="shared" si="2"/>
        <v>1.4666666666666666</v>
      </c>
      <c r="S13" s="44">
        <f t="shared" si="2"/>
        <v>1.4333333333333333</v>
      </c>
      <c r="T13" s="44">
        <f t="shared" si="2"/>
        <v>1.4</v>
      </c>
      <c r="U13" s="44">
        <f t="shared" si="2"/>
        <v>1.3666666666666667</v>
      </c>
      <c r="V13" s="44">
        <f t="shared" si="2"/>
        <v>1.3333333333333333</v>
      </c>
      <c r="W13" s="44">
        <f t="shared" si="2"/>
        <v>1.3</v>
      </c>
      <c r="X13" s="44">
        <f t="shared" si="2"/>
        <v>1.2666666666666666</v>
      </c>
      <c r="Y13" s="44">
        <f t="shared" si="2"/>
        <v>1.2333333333333334</v>
      </c>
      <c r="Z13" s="44">
        <f t="shared" si="2"/>
        <v>1.2</v>
      </c>
      <c r="AA13" s="44">
        <f t="shared" si="2"/>
        <v>1.1666666666666667</v>
      </c>
      <c r="AB13" s="44">
        <f t="shared" si="2"/>
        <v>1.1333333333333333</v>
      </c>
      <c r="AC13" s="44">
        <f t="shared" si="2"/>
        <v>1.1000000000000001</v>
      </c>
      <c r="AD13" s="44">
        <f t="shared" si="2"/>
        <v>1.0666666666666667</v>
      </c>
      <c r="AE13" s="44">
        <f t="shared" si="2"/>
        <v>1.0333333333333334</v>
      </c>
      <c r="AF13" s="44">
        <f t="shared" si="2"/>
        <v>1</v>
      </c>
      <c r="AG13" s="44">
        <f t="shared" si="2"/>
        <v>0.96666666666666667</v>
      </c>
      <c r="AH13" s="44">
        <f t="shared" si="2"/>
        <v>0.93333333333333335</v>
      </c>
      <c r="AI13" s="44">
        <f t="shared" si="2"/>
        <v>0.9</v>
      </c>
    </row>
    <row r="14" spans="2:35" x14ac:dyDescent="0.45">
      <c r="B14" s="40"/>
      <c r="C14" s="41">
        <v>9</v>
      </c>
      <c r="D14" s="23">
        <f t="shared" si="0"/>
        <v>63</v>
      </c>
      <c r="G14" s="44">
        <f t="shared" si="3"/>
        <v>2.0666666666666669</v>
      </c>
      <c r="H14" s="44">
        <f t="shared" si="3"/>
        <v>2.0333333333333332</v>
      </c>
      <c r="I14" s="44">
        <f t="shared" si="3"/>
        <v>2</v>
      </c>
      <c r="J14" s="44">
        <f t="shared" si="3"/>
        <v>1.9666666666666666</v>
      </c>
      <c r="K14" s="44">
        <f t="shared" si="3"/>
        <v>1.9333333333333333</v>
      </c>
      <c r="L14" s="44">
        <f t="shared" si="3"/>
        <v>1.9</v>
      </c>
      <c r="M14" s="44">
        <f t="shared" si="3"/>
        <v>1.8666666666666667</v>
      </c>
      <c r="N14" s="44">
        <f t="shared" si="2"/>
        <v>1.8333333333333333</v>
      </c>
      <c r="O14" s="44">
        <f t="shared" si="2"/>
        <v>1.8</v>
      </c>
      <c r="P14" s="44">
        <f t="shared" si="2"/>
        <v>1.7666666666666666</v>
      </c>
      <c r="Q14" s="44">
        <f t="shared" si="2"/>
        <v>1.7333333333333334</v>
      </c>
      <c r="R14" s="44">
        <f t="shared" si="2"/>
        <v>1.7</v>
      </c>
      <c r="S14" s="44">
        <f t="shared" si="2"/>
        <v>1.6666666666666667</v>
      </c>
      <c r="T14" s="44">
        <f t="shared" si="2"/>
        <v>1.6333333333333333</v>
      </c>
      <c r="U14" s="44">
        <f t="shared" si="2"/>
        <v>1.6</v>
      </c>
      <c r="V14" s="44">
        <f t="shared" si="2"/>
        <v>1.5666666666666667</v>
      </c>
      <c r="W14" s="44">
        <f t="shared" si="2"/>
        <v>1.5333333333333334</v>
      </c>
      <c r="X14" s="44">
        <f t="shared" si="2"/>
        <v>1.5</v>
      </c>
      <c r="Y14" s="44">
        <f t="shared" si="2"/>
        <v>1.4666666666666666</v>
      </c>
      <c r="Z14" s="44">
        <f t="shared" si="2"/>
        <v>1.4333333333333333</v>
      </c>
      <c r="AA14" s="44">
        <f t="shared" si="2"/>
        <v>1.4</v>
      </c>
      <c r="AB14" s="44">
        <f t="shared" si="2"/>
        <v>1.3666666666666667</v>
      </c>
      <c r="AC14" s="44">
        <f t="shared" si="2"/>
        <v>1.3333333333333333</v>
      </c>
      <c r="AD14" s="44">
        <f t="shared" si="2"/>
        <v>1.3</v>
      </c>
      <c r="AE14" s="44">
        <f t="shared" si="2"/>
        <v>1.2666666666666666</v>
      </c>
      <c r="AF14" s="44">
        <f t="shared" si="2"/>
        <v>1.2333333333333334</v>
      </c>
      <c r="AG14" s="44">
        <f t="shared" si="2"/>
        <v>1.2</v>
      </c>
      <c r="AH14" s="44">
        <f t="shared" si="2"/>
        <v>1.1666666666666667</v>
      </c>
      <c r="AI14" s="44">
        <f t="shared" si="2"/>
        <v>1.1333333333333333</v>
      </c>
    </row>
    <row r="15" spans="2:35" x14ac:dyDescent="0.45">
      <c r="B15" s="40"/>
      <c r="C15" s="41">
        <v>10</v>
      </c>
      <c r="D15" s="23">
        <f t="shared" si="0"/>
        <v>70</v>
      </c>
      <c r="G15" s="44">
        <f t="shared" si="3"/>
        <v>2.2999999999999998</v>
      </c>
      <c r="H15" s="44">
        <f t="shared" si="3"/>
        <v>2.2666666666666666</v>
      </c>
      <c r="I15" s="44">
        <f t="shared" si="3"/>
        <v>2.2333333333333334</v>
      </c>
      <c r="J15" s="44">
        <f t="shared" si="3"/>
        <v>2.2000000000000002</v>
      </c>
      <c r="K15" s="44">
        <f t="shared" si="3"/>
        <v>2.1666666666666665</v>
      </c>
      <c r="L15" s="44">
        <f t="shared" si="3"/>
        <v>2.1333333333333333</v>
      </c>
      <c r="M15" s="44">
        <f t="shared" si="3"/>
        <v>2.1</v>
      </c>
      <c r="N15" s="44">
        <f t="shared" si="2"/>
        <v>2.0666666666666669</v>
      </c>
      <c r="O15" s="44">
        <f t="shared" si="2"/>
        <v>2.0333333333333332</v>
      </c>
      <c r="P15" s="44">
        <f t="shared" si="2"/>
        <v>2</v>
      </c>
      <c r="Q15" s="44">
        <f t="shared" si="2"/>
        <v>1.9666666666666666</v>
      </c>
      <c r="R15" s="44">
        <f t="shared" si="2"/>
        <v>1.9333333333333333</v>
      </c>
      <c r="S15" s="44">
        <f t="shared" si="2"/>
        <v>1.9</v>
      </c>
      <c r="T15" s="44">
        <f t="shared" si="2"/>
        <v>1.8666666666666667</v>
      </c>
      <c r="U15" s="44">
        <f t="shared" si="2"/>
        <v>1.8333333333333333</v>
      </c>
      <c r="V15" s="44">
        <f t="shared" si="2"/>
        <v>1.8</v>
      </c>
      <c r="W15" s="44">
        <f t="shared" si="2"/>
        <v>1.7666666666666666</v>
      </c>
      <c r="X15" s="44">
        <f t="shared" si="2"/>
        <v>1.7333333333333334</v>
      </c>
      <c r="Y15" s="44">
        <f t="shared" si="2"/>
        <v>1.7</v>
      </c>
      <c r="Z15" s="44">
        <f t="shared" si="2"/>
        <v>1.6666666666666667</v>
      </c>
      <c r="AA15" s="44">
        <f t="shared" si="2"/>
        <v>1.6333333333333333</v>
      </c>
      <c r="AB15" s="44">
        <f t="shared" si="2"/>
        <v>1.6</v>
      </c>
      <c r="AC15" s="44">
        <f t="shared" si="2"/>
        <v>1.5666666666666667</v>
      </c>
      <c r="AD15" s="44">
        <f t="shared" si="2"/>
        <v>1.5333333333333334</v>
      </c>
      <c r="AE15" s="44">
        <f t="shared" si="2"/>
        <v>1.5</v>
      </c>
      <c r="AF15" s="44">
        <f t="shared" si="2"/>
        <v>1.4666666666666666</v>
      </c>
      <c r="AG15" s="44">
        <f t="shared" si="2"/>
        <v>1.4333333333333333</v>
      </c>
      <c r="AH15" s="44">
        <f t="shared" si="2"/>
        <v>1.4</v>
      </c>
      <c r="AI15" s="44">
        <f t="shared" si="2"/>
        <v>1.3666666666666667</v>
      </c>
    </row>
    <row r="16" spans="2:35" x14ac:dyDescent="0.45">
      <c r="B16" s="40" t="s">
        <v>3</v>
      </c>
      <c r="C16" s="41">
        <v>11</v>
      </c>
      <c r="D16" s="23">
        <f t="shared" si="0"/>
        <v>77</v>
      </c>
      <c r="G16" s="44">
        <f t="shared" si="3"/>
        <v>2.5333333333333332</v>
      </c>
      <c r="H16" s="44">
        <f t="shared" si="3"/>
        <v>2.5</v>
      </c>
      <c r="I16" s="44">
        <f t="shared" si="3"/>
        <v>2.4666666666666668</v>
      </c>
      <c r="J16" s="44">
        <f t="shared" si="3"/>
        <v>2.4333333333333331</v>
      </c>
      <c r="K16" s="44">
        <f t="shared" si="3"/>
        <v>2.4</v>
      </c>
      <c r="L16" s="44">
        <f t="shared" si="3"/>
        <v>2.3666666666666667</v>
      </c>
      <c r="M16" s="44">
        <f t="shared" si="3"/>
        <v>2.3333333333333335</v>
      </c>
      <c r="N16" s="44">
        <f t="shared" si="2"/>
        <v>2.2999999999999998</v>
      </c>
      <c r="O16" s="44">
        <f t="shared" si="2"/>
        <v>2.2666666666666666</v>
      </c>
      <c r="P16" s="44">
        <f t="shared" si="2"/>
        <v>2.2333333333333334</v>
      </c>
      <c r="Q16" s="44">
        <f t="shared" si="2"/>
        <v>2.2000000000000002</v>
      </c>
      <c r="R16" s="44">
        <f t="shared" si="2"/>
        <v>2.1666666666666665</v>
      </c>
      <c r="S16" s="44">
        <f t="shared" si="2"/>
        <v>2.1333333333333333</v>
      </c>
      <c r="T16" s="44">
        <f t="shared" si="2"/>
        <v>2.1</v>
      </c>
      <c r="U16" s="44">
        <f t="shared" si="2"/>
        <v>2.0666666666666669</v>
      </c>
      <c r="V16" s="44">
        <f t="shared" si="2"/>
        <v>2.0333333333333332</v>
      </c>
      <c r="W16" s="44">
        <f t="shared" si="2"/>
        <v>2</v>
      </c>
      <c r="X16" s="44">
        <f t="shared" si="2"/>
        <v>1.9666666666666666</v>
      </c>
      <c r="Y16" s="44">
        <f t="shared" si="2"/>
        <v>1.9333333333333333</v>
      </c>
      <c r="Z16" s="44">
        <f t="shared" si="2"/>
        <v>1.9</v>
      </c>
      <c r="AA16" s="44">
        <f t="shared" si="2"/>
        <v>1.8666666666666667</v>
      </c>
      <c r="AB16" s="44">
        <f t="shared" si="2"/>
        <v>1.8333333333333333</v>
      </c>
      <c r="AC16" s="44">
        <f t="shared" si="2"/>
        <v>1.8</v>
      </c>
      <c r="AD16" s="44">
        <f t="shared" si="2"/>
        <v>1.7666666666666666</v>
      </c>
      <c r="AE16" s="44">
        <f t="shared" si="2"/>
        <v>1.7333333333333334</v>
      </c>
      <c r="AF16" s="44">
        <f t="shared" si="2"/>
        <v>1.7</v>
      </c>
      <c r="AG16" s="44">
        <f t="shared" si="2"/>
        <v>1.6666666666666667</v>
      </c>
      <c r="AH16" s="44">
        <f t="shared" si="2"/>
        <v>1.6333333333333333</v>
      </c>
      <c r="AI16" s="44">
        <f t="shared" si="2"/>
        <v>1.6</v>
      </c>
    </row>
    <row r="17" spans="2:35" x14ac:dyDescent="0.45">
      <c r="B17" s="40"/>
      <c r="C17" s="41">
        <v>12</v>
      </c>
      <c r="D17" s="23">
        <f t="shared" si="0"/>
        <v>84</v>
      </c>
      <c r="G17" s="44">
        <f t="shared" si="3"/>
        <v>2.7666666666666666</v>
      </c>
      <c r="H17" s="44">
        <f t="shared" si="3"/>
        <v>2.7333333333333334</v>
      </c>
      <c r="I17" s="44">
        <f t="shared" si="3"/>
        <v>2.7</v>
      </c>
      <c r="J17" s="44">
        <f t="shared" si="3"/>
        <v>2.6666666666666665</v>
      </c>
      <c r="K17" s="44">
        <f t="shared" si="3"/>
        <v>2.6333333333333333</v>
      </c>
      <c r="L17" s="44">
        <f t="shared" si="3"/>
        <v>2.6</v>
      </c>
      <c r="M17" s="44">
        <f t="shared" si="3"/>
        <v>2.5666666666666669</v>
      </c>
      <c r="N17" s="44">
        <f t="shared" si="2"/>
        <v>2.5333333333333332</v>
      </c>
      <c r="O17" s="44">
        <f t="shared" si="2"/>
        <v>2.5</v>
      </c>
      <c r="P17" s="44">
        <f t="shared" si="2"/>
        <v>2.4666666666666668</v>
      </c>
      <c r="Q17" s="44">
        <f t="shared" si="2"/>
        <v>2.4333333333333331</v>
      </c>
      <c r="R17" s="44">
        <f t="shared" si="2"/>
        <v>2.4</v>
      </c>
      <c r="S17" s="44">
        <f t="shared" si="2"/>
        <v>2.3666666666666667</v>
      </c>
      <c r="T17" s="44">
        <f t="shared" si="2"/>
        <v>2.3333333333333335</v>
      </c>
      <c r="U17" s="44">
        <f t="shared" si="2"/>
        <v>2.2999999999999998</v>
      </c>
      <c r="V17" s="44">
        <f t="shared" si="2"/>
        <v>2.2666666666666666</v>
      </c>
      <c r="W17" s="44">
        <f t="shared" si="2"/>
        <v>2.2333333333333334</v>
      </c>
      <c r="X17" s="44">
        <f t="shared" si="2"/>
        <v>2.2000000000000002</v>
      </c>
      <c r="Y17" s="44">
        <f t="shared" si="2"/>
        <v>2.1666666666666665</v>
      </c>
      <c r="Z17" s="44">
        <f t="shared" si="2"/>
        <v>2.1333333333333333</v>
      </c>
      <c r="AA17" s="44">
        <f t="shared" si="2"/>
        <v>2.1</v>
      </c>
      <c r="AB17" s="44">
        <f t="shared" si="2"/>
        <v>2.0666666666666669</v>
      </c>
      <c r="AC17" s="44">
        <f t="shared" si="2"/>
        <v>2.0333333333333332</v>
      </c>
      <c r="AD17" s="44">
        <f t="shared" si="2"/>
        <v>2</v>
      </c>
      <c r="AE17" s="44">
        <f t="shared" si="2"/>
        <v>1.9666666666666666</v>
      </c>
      <c r="AF17" s="44">
        <f t="shared" si="2"/>
        <v>1.9333333333333333</v>
      </c>
      <c r="AG17" s="44">
        <f t="shared" si="2"/>
        <v>1.9</v>
      </c>
      <c r="AH17" s="44">
        <f t="shared" si="2"/>
        <v>1.8666666666666667</v>
      </c>
      <c r="AI17" s="44">
        <f t="shared" si="2"/>
        <v>1.8333333333333333</v>
      </c>
    </row>
    <row r="18" spans="2:35" x14ac:dyDescent="0.45">
      <c r="B18" s="40" t="s">
        <v>3</v>
      </c>
      <c r="C18" s="41">
        <v>13</v>
      </c>
      <c r="D18" s="23">
        <f t="shared" si="0"/>
        <v>91</v>
      </c>
      <c r="G18" s="44">
        <f t="shared" si="3"/>
        <v>3</v>
      </c>
      <c r="H18" s="44">
        <f t="shared" si="3"/>
        <v>2.9666666666666668</v>
      </c>
      <c r="I18" s="44">
        <f t="shared" si="3"/>
        <v>2.9333333333333331</v>
      </c>
      <c r="J18" s="44">
        <f t="shared" si="3"/>
        <v>2.9</v>
      </c>
      <c r="K18" s="44">
        <f t="shared" si="3"/>
        <v>2.8666666666666667</v>
      </c>
      <c r="L18" s="44">
        <f t="shared" si="3"/>
        <v>2.8333333333333335</v>
      </c>
      <c r="M18" s="44">
        <f t="shared" si="3"/>
        <v>2.8</v>
      </c>
      <c r="N18" s="44">
        <f t="shared" si="3"/>
        <v>2.7666666666666666</v>
      </c>
      <c r="O18" s="44">
        <f t="shared" si="3"/>
        <v>2.7333333333333334</v>
      </c>
      <c r="P18" s="44">
        <f t="shared" si="3"/>
        <v>2.7</v>
      </c>
      <c r="Q18" s="44">
        <f t="shared" si="3"/>
        <v>2.6666666666666665</v>
      </c>
      <c r="R18" s="44">
        <f t="shared" si="3"/>
        <v>2.6333333333333333</v>
      </c>
      <c r="S18" s="44">
        <f t="shared" si="3"/>
        <v>2.6</v>
      </c>
      <c r="T18" s="44">
        <f t="shared" si="3"/>
        <v>2.5666666666666669</v>
      </c>
      <c r="U18" s="44">
        <f t="shared" si="3"/>
        <v>2.5333333333333332</v>
      </c>
      <c r="V18" s="44">
        <f t="shared" si="3"/>
        <v>2.5</v>
      </c>
      <c r="W18" s="44">
        <f t="shared" ref="W18:AI27" si="4">($D18-W$4)/30</f>
        <v>2.4666666666666668</v>
      </c>
      <c r="X18" s="44">
        <f t="shared" si="4"/>
        <v>2.4333333333333331</v>
      </c>
      <c r="Y18" s="44">
        <f t="shared" si="4"/>
        <v>2.4</v>
      </c>
      <c r="Z18" s="44">
        <f t="shared" si="4"/>
        <v>2.3666666666666667</v>
      </c>
      <c r="AA18" s="44">
        <f t="shared" si="4"/>
        <v>2.3333333333333335</v>
      </c>
      <c r="AB18" s="44">
        <f t="shared" si="4"/>
        <v>2.2999999999999998</v>
      </c>
      <c r="AC18" s="44">
        <f t="shared" si="4"/>
        <v>2.2666666666666666</v>
      </c>
      <c r="AD18" s="44">
        <f t="shared" si="4"/>
        <v>2.2333333333333334</v>
      </c>
      <c r="AE18" s="44">
        <f t="shared" si="4"/>
        <v>2.2000000000000002</v>
      </c>
      <c r="AF18" s="44">
        <f t="shared" si="4"/>
        <v>2.1666666666666665</v>
      </c>
      <c r="AG18" s="44">
        <f t="shared" si="4"/>
        <v>2.1333333333333333</v>
      </c>
      <c r="AH18" s="44">
        <f t="shared" si="4"/>
        <v>2.1</v>
      </c>
      <c r="AI18" s="44">
        <f t="shared" si="4"/>
        <v>2.0666666666666669</v>
      </c>
    </row>
    <row r="19" spans="2:35" x14ac:dyDescent="0.45">
      <c r="B19" s="40"/>
      <c r="C19" s="41">
        <v>14</v>
      </c>
      <c r="D19" s="23">
        <f t="shared" si="0"/>
        <v>98</v>
      </c>
      <c r="G19" s="44">
        <f t="shared" si="3"/>
        <v>3.2333333333333334</v>
      </c>
      <c r="H19" s="44">
        <f t="shared" si="3"/>
        <v>3.2</v>
      </c>
      <c r="I19" s="44">
        <f t="shared" si="3"/>
        <v>3.1666666666666665</v>
      </c>
      <c r="J19" s="44">
        <f t="shared" si="3"/>
        <v>3.1333333333333333</v>
      </c>
      <c r="K19" s="44">
        <f t="shared" si="3"/>
        <v>3.1</v>
      </c>
      <c r="L19" s="44">
        <f t="shared" si="3"/>
        <v>3.0666666666666669</v>
      </c>
      <c r="M19" s="44">
        <f t="shared" si="3"/>
        <v>3.0333333333333332</v>
      </c>
      <c r="N19" s="44">
        <f t="shared" si="3"/>
        <v>3</v>
      </c>
      <c r="O19" s="44">
        <f t="shared" si="3"/>
        <v>2.9666666666666668</v>
      </c>
      <c r="P19" s="44">
        <f t="shared" si="3"/>
        <v>2.9333333333333331</v>
      </c>
      <c r="Q19" s="44">
        <f t="shared" si="3"/>
        <v>2.9</v>
      </c>
      <c r="R19" s="44">
        <f t="shared" si="3"/>
        <v>2.8666666666666667</v>
      </c>
      <c r="S19" s="44">
        <f t="shared" si="3"/>
        <v>2.8333333333333335</v>
      </c>
      <c r="T19" s="44">
        <f t="shared" si="3"/>
        <v>2.8</v>
      </c>
      <c r="U19" s="44">
        <f t="shared" si="3"/>
        <v>2.7666666666666666</v>
      </c>
      <c r="V19" s="44">
        <f t="shared" si="3"/>
        <v>2.7333333333333334</v>
      </c>
      <c r="W19" s="44">
        <f t="shared" si="4"/>
        <v>2.7</v>
      </c>
      <c r="X19" s="44">
        <f t="shared" si="4"/>
        <v>2.6666666666666665</v>
      </c>
      <c r="Y19" s="44">
        <f t="shared" si="4"/>
        <v>2.6333333333333333</v>
      </c>
      <c r="Z19" s="44">
        <f t="shared" si="4"/>
        <v>2.6</v>
      </c>
      <c r="AA19" s="44">
        <f t="shared" si="4"/>
        <v>2.5666666666666669</v>
      </c>
      <c r="AB19" s="44">
        <f t="shared" si="4"/>
        <v>2.5333333333333332</v>
      </c>
      <c r="AC19" s="44">
        <f t="shared" si="4"/>
        <v>2.5</v>
      </c>
      <c r="AD19" s="44">
        <f t="shared" si="4"/>
        <v>2.4666666666666668</v>
      </c>
      <c r="AE19" s="44">
        <f t="shared" si="4"/>
        <v>2.4333333333333331</v>
      </c>
      <c r="AF19" s="44">
        <f t="shared" si="4"/>
        <v>2.4</v>
      </c>
      <c r="AG19" s="44">
        <f t="shared" si="4"/>
        <v>2.3666666666666667</v>
      </c>
      <c r="AH19" s="44">
        <f t="shared" si="4"/>
        <v>2.3333333333333335</v>
      </c>
      <c r="AI19" s="44">
        <f t="shared" si="4"/>
        <v>2.2999999999999998</v>
      </c>
    </row>
    <row r="20" spans="2:35" x14ac:dyDescent="0.45">
      <c r="B20" s="40"/>
      <c r="C20" s="41">
        <v>15</v>
      </c>
      <c r="D20" s="23">
        <f t="shared" si="0"/>
        <v>105</v>
      </c>
      <c r="G20" s="44">
        <f t="shared" si="3"/>
        <v>3.4666666666666668</v>
      </c>
      <c r="H20" s="44">
        <f t="shared" si="3"/>
        <v>3.4333333333333331</v>
      </c>
      <c r="I20" s="44">
        <f t="shared" si="3"/>
        <v>3.4</v>
      </c>
      <c r="J20" s="44">
        <f t="shared" si="3"/>
        <v>3.3666666666666667</v>
      </c>
      <c r="K20" s="44">
        <f t="shared" si="3"/>
        <v>3.3333333333333335</v>
      </c>
      <c r="L20" s="44">
        <f t="shared" si="3"/>
        <v>3.3</v>
      </c>
      <c r="M20" s="44">
        <f t="shared" si="3"/>
        <v>3.2666666666666666</v>
      </c>
      <c r="N20" s="44">
        <f t="shared" si="3"/>
        <v>3.2333333333333334</v>
      </c>
      <c r="O20" s="44">
        <f t="shared" si="3"/>
        <v>3.2</v>
      </c>
      <c r="P20" s="44">
        <f t="shared" si="3"/>
        <v>3.1666666666666665</v>
      </c>
      <c r="Q20" s="44">
        <f t="shared" si="3"/>
        <v>3.1333333333333333</v>
      </c>
      <c r="R20" s="44">
        <f t="shared" si="3"/>
        <v>3.1</v>
      </c>
      <c r="S20" s="44">
        <f t="shared" si="3"/>
        <v>3.0666666666666669</v>
      </c>
      <c r="T20" s="44">
        <f t="shared" si="3"/>
        <v>3.0333333333333332</v>
      </c>
      <c r="U20" s="44">
        <f t="shared" si="3"/>
        <v>3</v>
      </c>
      <c r="V20" s="44">
        <f t="shared" si="3"/>
        <v>2.9666666666666668</v>
      </c>
      <c r="W20" s="44">
        <f t="shared" si="4"/>
        <v>2.9333333333333331</v>
      </c>
      <c r="X20" s="44">
        <f t="shared" si="4"/>
        <v>2.9</v>
      </c>
      <c r="Y20" s="44">
        <f t="shared" si="4"/>
        <v>2.8666666666666667</v>
      </c>
      <c r="Z20" s="44">
        <f t="shared" si="4"/>
        <v>2.8333333333333335</v>
      </c>
      <c r="AA20" s="44">
        <f t="shared" si="4"/>
        <v>2.8</v>
      </c>
      <c r="AB20" s="44">
        <f t="shared" si="4"/>
        <v>2.7666666666666666</v>
      </c>
      <c r="AC20" s="44">
        <f t="shared" si="4"/>
        <v>2.7333333333333334</v>
      </c>
      <c r="AD20" s="44">
        <f t="shared" si="4"/>
        <v>2.7</v>
      </c>
      <c r="AE20" s="44">
        <f t="shared" si="4"/>
        <v>2.6666666666666665</v>
      </c>
      <c r="AF20" s="44">
        <f t="shared" si="4"/>
        <v>2.6333333333333333</v>
      </c>
      <c r="AG20" s="44">
        <f t="shared" si="4"/>
        <v>2.6</v>
      </c>
      <c r="AH20" s="44">
        <f t="shared" si="4"/>
        <v>2.5666666666666669</v>
      </c>
      <c r="AI20" s="44">
        <f t="shared" si="4"/>
        <v>2.5333333333333332</v>
      </c>
    </row>
    <row r="21" spans="2:35" x14ac:dyDescent="0.45">
      <c r="B21" s="40"/>
      <c r="C21" s="41">
        <v>16</v>
      </c>
      <c r="D21" s="23">
        <f t="shared" si="0"/>
        <v>112</v>
      </c>
      <c r="G21" s="44">
        <f t="shared" si="3"/>
        <v>3.7</v>
      </c>
      <c r="H21" s="44">
        <f t="shared" si="3"/>
        <v>3.6666666666666665</v>
      </c>
      <c r="I21" s="44">
        <f t="shared" si="3"/>
        <v>3.6333333333333333</v>
      </c>
      <c r="J21" s="44">
        <f t="shared" si="3"/>
        <v>3.6</v>
      </c>
      <c r="K21" s="44">
        <f t="shared" si="3"/>
        <v>3.5666666666666669</v>
      </c>
      <c r="L21" s="44">
        <f t="shared" si="3"/>
        <v>3.5333333333333332</v>
      </c>
      <c r="M21" s="44">
        <f t="shared" si="3"/>
        <v>3.5</v>
      </c>
      <c r="N21" s="44">
        <f t="shared" si="3"/>
        <v>3.4666666666666668</v>
      </c>
      <c r="O21" s="44">
        <f t="shared" si="3"/>
        <v>3.4333333333333331</v>
      </c>
      <c r="P21" s="44">
        <f t="shared" si="3"/>
        <v>3.4</v>
      </c>
      <c r="Q21" s="44">
        <f t="shared" si="3"/>
        <v>3.3666666666666667</v>
      </c>
      <c r="R21" s="44">
        <f t="shared" si="3"/>
        <v>3.3333333333333335</v>
      </c>
      <c r="S21" s="44">
        <f t="shared" si="3"/>
        <v>3.3</v>
      </c>
      <c r="T21" s="44">
        <f t="shared" si="3"/>
        <v>3.2666666666666666</v>
      </c>
      <c r="U21" s="44">
        <f t="shared" si="3"/>
        <v>3.2333333333333334</v>
      </c>
      <c r="V21" s="44">
        <f t="shared" si="3"/>
        <v>3.2</v>
      </c>
      <c r="W21" s="44">
        <f t="shared" si="4"/>
        <v>3.1666666666666665</v>
      </c>
      <c r="X21" s="44">
        <f t="shared" si="4"/>
        <v>3.1333333333333333</v>
      </c>
      <c r="Y21" s="44">
        <f t="shared" si="4"/>
        <v>3.1</v>
      </c>
      <c r="Z21" s="44">
        <f t="shared" si="4"/>
        <v>3.0666666666666669</v>
      </c>
      <c r="AA21" s="44">
        <f t="shared" si="4"/>
        <v>3.0333333333333332</v>
      </c>
      <c r="AB21" s="44">
        <f t="shared" si="4"/>
        <v>3</v>
      </c>
      <c r="AC21" s="44">
        <f t="shared" si="4"/>
        <v>2.9666666666666668</v>
      </c>
      <c r="AD21" s="44">
        <f t="shared" si="4"/>
        <v>2.9333333333333331</v>
      </c>
      <c r="AE21" s="44">
        <f t="shared" si="4"/>
        <v>2.9</v>
      </c>
      <c r="AF21" s="44">
        <f t="shared" si="4"/>
        <v>2.8666666666666667</v>
      </c>
      <c r="AG21" s="44">
        <f t="shared" si="4"/>
        <v>2.8333333333333335</v>
      </c>
      <c r="AH21" s="44">
        <f t="shared" si="4"/>
        <v>2.8</v>
      </c>
      <c r="AI21" s="44">
        <f t="shared" si="4"/>
        <v>2.7666666666666666</v>
      </c>
    </row>
    <row r="22" spans="2:35" x14ac:dyDescent="0.45">
      <c r="B22" s="40" t="s">
        <v>3</v>
      </c>
      <c r="C22" s="41">
        <v>17</v>
      </c>
      <c r="D22" s="23">
        <f t="shared" si="0"/>
        <v>119</v>
      </c>
      <c r="G22" s="44">
        <f t="shared" si="3"/>
        <v>3.9333333333333331</v>
      </c>
      <c r="H22" s="44">
        <f t="shared" si="3"/>
        <v>3.9</v>
      </c>
      <c r="I22" s="44">
        <f t="shared" si="3"/>
        <v>3.8666666666666667</v>
      </c>
      <c r="J22" s="44">
        <f t="shared" si="3"/>
        <v>3.8333333333333335</v>
      </c>
      <c r="K22" s="44">
        <f t="shared" si="3"/>
        <v>3.8</v>
      </c>
      <c r="L22" s="44">
        <f t="shared" si="3"/>
        <v>3.7666666666666666</v>
      </c>
      <c r="M22" s="44">
        <f t="shared" si="3"/>
        <v>3.7333333333333334</v>
      </c>
      <c r="N22" s="44">
        <f t="shared" si="3"/>
        <v>3.7</v>
      </c>
      <c r="O22" s="44">
        <f t="shared" si="3"/>
        <v>3.6666666666666665</v>
      </c>
      <c r="P22" s="44">
        <f t="shared" si="3"/>
        <v>3.6333333333333333</v>
      </c>
      <c r="Q22" s="44">
        <f t="shared" si="3"/>
        <v>3.6</v>
      </c>
      <c r="R22" s="44">
        <f t="shared" si="3"/>
        <v>3.5666666666666669</v>
      </c>
      <c r="S22" s="44">
        <f t="shared" si="3"/>
        <v>3.5333333333333332</v>
      </c>
      <c r="T22" s="44">
        <f t="shared" si="3"/>
        <v>3.5</v>
      </c>
      <c r="U22" s="44">
        <f t="shared" si="3"/>
        <v>3.4666666666666668</v>
      </c>
      <c r="V22" s="44">
        <f t="shared" si="3"/>
        <v>3.4333333333333331</v>
      </c>
      <c r="W22" s="44">
        <f t="shared" si="4"/>
        <v>3.4</v>
      </c>
      <c r="X22" s="44">
        <f t="shared" si="4"/>
        <v>3.3666666666666667</v>
      </c>
      <c r="Y22" s="44">
        <f t="shared" si="4"/>
        <v>3.3333333333333335</v>
      </c>
      <c r="Z22" s="44">
        <f t="shared" si="4"/>
        <v>3.3</v>
      </c>
      <c r="AA22" s="44">
        <f t="shared" si="4"/>
        <v>3.2666666666666666</v>
      </c>
      <c r="AB22" s="44">
        <f t="shared" si="4"/>
        <v>3.2333333333333334</v>
      </c>
      <c r="AC22" s="44">
        <f t="shared" si="4"/>
        <v>3.2</v>
      </c>
      <c r="AD22" s="44">
        <f t="shared" si="4"/>
        <v>3.1666666666666665</v>
      </c>
      <c r="AE22" s="44">
        <f t="shared" si="4"/>
        <v>3.1333333333333333</v>
      </c>
      <c r="AF22" s="44">
        <f t="shared" si="4"/>
        <v>3.1</v>
      </c>
      <c r="AG22" s="44">
        <f t="shared" si="4"/>
        <v>3.0666666666666669</v>
      </c>
      <c r="AH22" s="44">
        <f t="shared" si="4"/>
        <v>3.0333333333333332</v>
      </c>
      <c r="AI22" s="44">
        <f t="shared" si="4"/>
        <v>3</v>
      </c>
    </row>
    <row r="23" spans="2:35" x14ac:dyDescent="0.45">
      <c r="B23" s="40"/>
      <c r="C23" s="41">
        <v>18</v>
      </c>
      <c r="D23" s="23">
        <f t="shared" si="0"/>
        <v>126</v>
      </c>
      <c r="G23" s="44">
        <f t="shared" si="3"/>
        <v>4.166666666666667</v>
      </c>
      <c r="H23" s="44">
        <f t="shared" si="3"/>
        <v>4.1333333333333337</v>
      </c>
      <c r="I23" s="44">
        <f t="shared" si="3"/>
        <v>4.0999999999999996</v>
      </c>
      <c r="J23" s="44">
        <f t="shared" si="3"/>
        <v>4.0666666666666664</v>
      </c>
      <c r="K23" s="44">
        <f t="shared" si="3"/>
        <v>4.0333333333333332</v>
      </c>
      <c r="L23" s="44">
        <f t="shared" si="3"/>
        <v>4</v>
      </c>
      <c r="M23" s="44">
        <f t="shared" si="3"/>
        <v>3.9666666666666668</v>
      </c>
      <c r="N23" s="44">
        <f t="shared" si="3"/>
        <v>3.9333333333333331</v>
      </c>
      <c r="O23" s="44">
        <f t="shared" si="3"/>
        <v>3.9</v>
      </c>
      <c r="P23" s="44">
        <f t="shared" si="3"/>
        <v>3.8666666666666667</v>
      </c>
      <c r="Q23" s="44">
        <f t="shared" si="3"/>
        <v>3.8333333333333335</v>
      </c>
      <c r="R23" s="44">
        <f t="shared" si="3"/>
        <v>3.8</v>
      </c>
      <c r="S23" s="44">
        <f t="shared" si="3"/>
        <v>3.7666666666666666</v>
      </c>
      <c r="T23" s="44">
        <f t="shared" si="3"/>
        <v>3.7333333333333334</v>
      </c>
      <c r="U23" s="44">
        <f t="shared" si="3"/>
        <v>3.7</v>
      </c>
      <c r="V23" s="44">
        <f t="shared" si="3"/>
        <v>3.6666666666666665</v>
      </c>
      <c r="W23" s="44">
        <f t="shared" si="4"/>
        <v>3.6333333333333333</v>
      </c>
      <c r="X23" s="44">
        <f t="shared" si="4"/>
        <v>3.6</v>
      </c>
      <c r="Y23" s="44">
        <f t="shared" si="4"/>
        <v>3.5666666666666669</v>
      </c>
      <c r="Z23" s="44">
        <f t="shared" si="4"/>
        <v>3.5333333333333332</v>
      </c>
      <c r="AA23" s="44">
        <f t="shared" si="4"/>
        <v>3.5</v>
      </c>
      <c r="AB23" s="44">
        <f t="shared" si="4"/>
        <v>3.4666666666666668</v>
      </c>
      <c r="AC23" s="44">
        <f t="shared" si="4"/>
        <v>3.4333333333333331</v>
      </c>
      <c r="AD23" s="44">
        <f t="shared" si="4"/>
        <v>3.4</v>
      </c>
      <c r="AE23" s="44">
        <f t="shared" si="4"/>
        <v>3.3666666666666667</v>
      </c>
      <c r="AF23" s="44">
        <f t="shared" si="4"/>
        <v>3.3333333333333335</v>
      </c>
      <c r="AG23" s="44">
        <f t="shared" si="4"/>
        <v>3.3</v>
      </c>
      <c r="AH23" s="44">
        <f t="shared" si="4"/>
        <v>3.2666666666666666</v>
      </c>
      <c r="AI23" s="44">
        <f t="shared" si="4"/>
        <v>3.2333333333333334</v>
      </c>
    </row>
    <row r="24" spans="2:35" x14ac:dyDescent="0.45">
      <c r="B24" s="40" t="s">
        <v>3</v>
      </c>
      <c r="C24" s="41">
        <v>19</v>
      </c>
      <c r="D24" s="23">
        <f t="shared" si="0"/>
        <v>133</v>
      </c>
      <c r="G24" s="44">
        <f t="shared" si="3"/>
        <v>4.4000000000000004</v>
      </c>
      <c r="H24" s="44">
        <f t="shared" si="3"/>
        <v>4.3666666666666663</v>
      </c>
      <c r="I24" s="44">
        <f t="shared" si="3"/>
        <v>4.333333333333333</v>
      </c>
      <c r="J24" s="44">
        <f t="shared" si="3"/>
        <v>4.3</v>
      </c>
      <c r="K24" s="44">
        <f t="shared" si="3"/>
        <v>4.2666666666666666</v>
      </c>
      <c r="L24" s="44">
        <f t="shared" si="3"/>
        <v>4.2333333333333334</v>
      </c>
      <c r="M24" s="44">
        <f t="shared" si="3"/>
        <v>4.2</v>
      </c>
      <c r="N24" s="44">
        <f t="shared" si="3"/>
        <v>4.166666666666667</v>
      </c>
      <c r="O24" s="44">
        <f t="shared" si="3"/>
        <v>4.1333333333333337</v>
      </c>
      <c r="P24" s="44">
        <f t="shared" si="3"/>
        <v>4.0999999999999996</v>
      </c>
      <c r="Q24" s="44">
        <f t="shared" si="3"/>
        <v>4.0666666666666664</v>
      </c>
      <c r="R24" s="44">
        <f t="shared" si="3"/>
        <v>4.0333333333333332</v>
      </c>
      <c r="S24" s="44">
        <f t="shared" si="3"/>
        <v>4</v>
      </c>
      <c r="T24" s="44">
        <f t="shared" si="3"/>
        <v>3.9666666666666668</v>
      </c>
      <c r="U24" s="44">
        <f t="shared" si="3"/>
        <v>3.9333333333333331</v>
      </c>
      <c r="V24" s="44">
        <f t="shared" si="3"/>
        <v>3.9</v>
      </c>
      <c r="W24" s="44">
        <f t="shared" si="4"/>
        <v>3.8666666666666667</v>
      </c>
      <c r="X24" s="44">
        <f t="shared" si="4"/>
        <v>3.8333333333333335</v>
      </c>
      <c r="Y24" s="44">
        <f t="shared" si="4"/>
        <v>3.8</v>
      </c>
      <c r="Z24" s="44">
        <f t="shared" si="4"/>
        <v>3.7666666666666666</v>
      </c>
      <c r="AA24" s="44">
        <f t="shared" si="4"/>
        <v>3.7333333333333334</v>
      </c>
      <c r="AB24" s="44">
        <f t="shared" si="4"/>
        <v>3.7</v>
      </c>
      <c r="AC24" s="44">
        <f t="shared" si="4"/>
        <v>3.6666666666666665</v>
      </c>
      <c r="AD24" s="44">
        <f t="shared" si="4"/>
        <v>3.6333333333333333</v>
      </c>
      <c r="AE24" s="44">
        <f t="shared" si="4"/>
        <v>3.6</v>
      </c>
      <c r="AF24" s="44">
        <f t="shared" si="4"/>
        <v>3.5666666666666669</v>
      </c>
      <c r="AG24" s="44">
        <f t="shared" si="4"/>
        <v>3.5333333333333332</v>
      </c>
      <c r="AH24" s="44">
        <f t="shared" si="4"/>
        <v>3.5</v>
      </c>
      <c r="AI24" s="44">
        <f t="shared" si="4"/>
        <v>3.4666666666666668</v>
      </c>
    </row>
    <row r="25" spans="2:35" x14ac:dyDescent="0.45">
      <c r="B25" s="40"/>
      <c r="C25" s="41">
        <v>20</v>
      </c>
      <c r="D25" s="23">
        <f t="shared" si="0"/>
        <v>140</v>
      </c>
      <c r="G25" s="44">
        <f t="shared" si="3"/>
        <v>4.6333333333333337</v>
      </c>
      <c r="H25" s="44">
        <f t="shared" si="3"/>
        <v>4.5999999999999996</v>
      </c>
      <c r="I25" s="44">
        <f t="shared" si="3"/>
        <v>4.5666666666666664</v>
      </c>
      <c r="J25" s="44">
        <f t="shared" si="3"/>
        <v>4.5333333333333332</v>
      </c>
      <c r="K25" s="44">
        <f t="shared" si="3"/>
        <v>4.5</v>
      </c>
      <c r="L25" s="44">
        <f t="shared" si="3"/>
        <v>4.4666666666666668</v>
      </c>
      <c r="M25" s="44">
        <f t="shared" si="3"/>
        <v>4.4333333333333336</v>
      </c>
      <c r="N25" s="44">
        <f t="shared" si="3"/>
        <v>4.4000000000000004</v>
      </c>
      <c r="O25" s="44">
        <f t="shared" si="3"/>
        <v>4.3666666666666663</v>
      </c>
      <c r="P25" s="44">
        <f t="shared" si="3"/>
        <v>4.333333333333333</v>
      </c>
      <c r="Q25" s="44">
        <f t="shared" si="3"/>
        <v>4.3</v>
      </c>
      <c r="R25" s="44">
        <f t="shared" si="3"/>
        <v>4.2666666666666666</v>
      </c>
      <c r="S25" s="44">
        <f t="shared" si="3"/>
        <v>4.2333333333333334</v>
      </c>
      <c r="T25" s="44">
        <f t="shared" si="3"/>
        <v>4.2</v>
      </c>
      <c r="U25" s="44">
        <f t="shared" si="3"/>
        <v>4.166666666666667</v>
      </c>
      <c r="V25" s="44">
        <f t="shared" si="3"/>
        <v>4.1333333333333337</v>
      </c>
      <c r="W25" s="44">
        <f t="shared" si="4"/>
        <v>4.0999999999999996</v>
      </c>
      <c r="X25" s="44">
        <f t="shared" si="4"/>
        <v>4.0666666666666664</v>
      </c>
      <c r="Y25" s="44">
        <f t="shared" si="4"/>
        <v>4.0333333333333332</v>
      </c>
      <c r="Z25" s="44">
        <f t="shared" si="4"/>
        <v>4</v>
      </c>
      <c r="AA25" s="44">
        <f t="shared" si="4"/>
        <v>3.9666666666666668</v>
      </c>
      <c r="AB25" s="44">
        <f t="shared" si="4"/>
        <v>3.9333333333333331</v>
      </c>
      <c r="AC25" s="44">
        <f t="shared" si="4"/>
        <v>3.9</v>
      </c>
      <c r="AD25" s="44">
        <f t="shared" si="4"/>
        <v>3.8666666666666667</v>
      </c>
      <c r="AE25" s="44">
        <f t="shared" si="4"/>
        <v>3.8333333333333335</v>
      </c>
      <c r="AF25" s="44">
        <f t="shared" si="4"/>
        <v>3.8</v>
      </c>
      <c r="AG25" s="44">
        <f t="shared" si="4"/>
        <v>3.7666666666666666</v>
      </c>
      <c r="AH25" s="44">
        <f t="shared" si="4"/>
        <v>3.7333333333333334</v>
      </c>
      <c r="AI25" s="44">
        <f t="shared" si="4"/>
        <v>3.7</v>
      </c>
    </row>
    <row r="26" spans="2:35" x14ac:dyDescent="0.45">
      <c r="B26" s="40"/>
      <c r="C26" s="41">
        <v>21</v>
      </c>
      <c r="D26" s="23">
        <f t="shared" si="0"/>
        <v>147</v>
      </c>
      <c r="G26" s="44">
        <f t="shared" si="3"/>
        <v>4.8666666666666663</v>
      </c>
      <c r="H26" s="44">
        <f t="shared" si="3"/>
        <v>4.833333333333333</v>
      </c>
      <c r="I26" s="44">
        <f t="shared" si="3"/>
        <v>4.8</v>
      </c>
      <c r="J26" s="44">
        <f t="shared" si="3"/>
        <v>4.7666666666666666</v>
      </c>
      <c r="K26" s="44">
        <f t="shared" si="3"/>
        <v>4.7333333333333334</v>
      </c>
      <c r="L26" s="44">
        <f t="shared" si="3"/>
        <v>4.7</v>
      </c>
      <c r="M26" s="44">
        <f t="shared" si="3"/>
        <v>4.666666666666667</v>
      </c>
      <c r="N26" s="44">
        <f t="shared" si="3"/>
        <v>4.6333333333333337</v>
      </c>
      <c r="O26" s="44">
        <f t="shared" si="3"/>
        <v>4.5999999999999996</v>
      </c>
      <c r="P26" s="44">
        <f t="shared" si="3"/>
        <v>4.5666666666666664</v>
      </c>
      <c r="Q26" s="44">
        <f t="shared" si="3"/>
        <v>4.5333333333333332</v>
      </c>
      <c r="R26" s="44">
        <f t="shared" si="3"/>
        <v>4.5</v>
      </c>
      <c r="S26" s="44">
        <f t="shared" si="3"/>
        <v>4.4666666666666668</v>
      </c>
      <c r="T26" s="44">
        <f t="shared" si="3"/>
        <v>4.4333333333333336</v>
      </c>
      <c r="U26" s="44">
        <f t="shared" si="3"/>
        <v>4.4000000000000004</v>
      </c>
      <c r="V26" s="44">
        <f t="shared" si="3"/>
        <v>4.3666666666666663</v>
      </c>
      <c r="W26" s="44">
        <f t="shared" si="4"/>
        <v>4.333333333333333</v>
      </c>
      <c r="X26" s="44">
        <f t="shared" si="4"/>
        <v>4.3</v>
      </c>
      <c r="Y26" s="44">
        <f t="shared" si="4"/>
        <v>4.2666666666666666</v>
      </c>
      <c r="Z26" s="44">
        <f t="shared" si="4"/>
        <v>4.2333333333333334</v>
      </c>
      <c r="AA26" s="44">
        <f t="shared" si="4"/>
        <v>4.2</v>
      </c>
      <c r="AB26" s="44">
        <f t="shared" si="4"/>
        <v>4.166666666666667</v>
      </c>
      <c r="AC26" s="44">
        <f t="shared" si="4"/>
        <v>4.1333333333333337</v>
      </c>
      <c r="AD26" s="44">
        <f t="shared" si="4"/>
        <v>4.0999999999999996</v>
      </c>
      <c r="AE26" s="44">
        <f t="shared" si="4"/>
        <v>4.0666666666666664</v>
      </c>
      <c r="AF26" s="44">
        <f t="shared" si="4"/>
        <v>4.0333333333333332</v>
      </c>
      <c r="AG26" s="44">
        <f t="shared" si="4"/>
        <v>4</v>
      </c>
      <c r="AH26" s="44">
        <f t="shared" si="4"/>
        <v>3.9666666666666668</v>
      </c>
      <c r="AI26" s="44">
        <f t="shared" si="4"/>
        <v>3.9333333333333331</v>
      </c>
    </row>
    <row r="27" spans="2:35" x14ac:dyDescent="0.45">
      <c r="B27" s="40"/>
      <c r="C27" s="41">
        <v>22</v>
      </c>
      <c r="D27" s="23">
        <f t="shared" si="0"/>
        <v>154</v>
      </c>
      <c r="G27" s="44">
        <f t="shared" si="3"/>
        <v>5.0999999999999996</v>
      </c>
      <c r="H27" s="44">
        <f t="shared" si="3"/>
        <v>5.0666666666666664</v>
      </c>
      <c r="I27" s="44">
        <f t="shared" si="3"/>
        <v>5.0333333333333332</v>
      </c>
      <c r="J27" s="44">
        <f t="shared" si="3"/>
        <v>5</v>
      </c>
      <c r="K27" s="44">
        <f t="shared" si="3"/>
        <v>4.9666666666666668</v>
      </c>
      <c r="L27" s="44">
        <f t="shared" si="3"/>
        <v>4.9333333333333336</v>
      </c>
      <c r="M27" s="44">
        <f t="shared" si="3"/>
        <v>4.9000000000000004</v>
      </c>
      <c r="N27" s="44">
        <f t="shared" si="3"/>
        <v>4.8666666666666663</v>
      </c>
      <c r="O27" s="44">
        <f t="shared" si="3"/>
        <v>4.833333333333333</v>
      </c>
      <c r="P27" s="44">
        <f t="shared" si="3"/>
        <v>4.8</v>
      </c>
      <c r="Q27" s="44">
        <f t="shared" si="3"/>
        <v>4.7666666666666666</v>
      </c>
      <c r="R27" s="44">
        <f t="shared" si="3"/>
        <v>4.7333333333333334</v>
      </c>
      <c r="S27" s="44">
        <f t="shared" si="3"/>
        <v>4.7</v>
      </c>
      <c r="T27" s="44">
        <f t="shared" si="3"/>
        <v>4.666666666666667</v>
      </c>
      <c r="U27" s="44">
        <f t="shared" si="3"/>
        <v>4.6333333333333337</v>
      </c>
      <c r="V27" s="44">
        <f t="shared" si="3"/>
        <v>4.5999999999999996</v>
      </c>
      <c r="W27" s="44">
        <f t="shared" si="4"/>
        <v>4.5666666666666664</v>
      </c>
      <c r="X27" s="44">
        <f t="shared" si="4"/>
        <v>4.5333333333333332</v>
      </c>
      <c r="Y27" s="44">
        <f t="shared" si="4"/>
        <v>4.5</v>
      </c>
      <c r="Z27" s="44">
        <f t="shared" si="4"/>
        <v>4.4666666666666668</v>
      </c>
      <c r="AA27" s="44">
        <f t="shared" si="4"/>
        <v>4.4333333333333336</v>
      </c>
      <c r="AB27" s="44">
        <f t="shared" si="4"/>
        <v>4.4000000000000004</v>
      </c>
      <c r="AC27" s="44">
        <f t="shared" si="4"/>
        <v>4.3666666666666663</v>
      </c>
      <c r="AD27" s="44">
        <f t="shared" si="4"/>
        <v>4.333333333333333</v>
      </c>
      <c r="AE27" s="44">
        <f t="shared" si="4"/>
        <v>4.3</v>
      </c>
      <c r="AF27" s="44">
        <f t="shared" si="4"/>
        <v>4.2666666666666666</v>
      </c>
      <c r="AG27" s="44">
        <f t="shared" si="4"/>
        <v>4.2333333333333334</v>
      </c>
      <c r="AH27" s="44">
        <f t="shared" si="4"/>
        <v>4.2</v>
      </c>
      <c r="AI27" s="44">
        <f t="shared" si="4"/>
        <v>4.166666666666667</v>
      </c>
    </row>
    <row r="28" spans="2:35" x14ac:dyDescent="0.45">
      <c r="B28" s="40" t="s">
        <v>3</v>
      </c>
      <c r="C28" s="41">
        <v>23</v>
      </c>
      <c r="D28" s="23">
        <f t="shared" si="0"/>
        <v>161</v>
      </c>
      <c r="G28" s="44">
        <f t="shared" si="3"/>
        <v>5.333333333333333</v>
      </c>
      <c r="H28" s="44">
        <f t="shared" si="3"/>
        <v>5.3</v>
      </c>
      <c r="I28" s="44">
        <f t="shared" si="3"/>
        <v>5.2666666666666666</v>
      </c>
      <c r="J28" s="44">
        <f t="shared" si="3"/>
        <v>5.2333333333333334</v>
      </c>
      <c r="K28" s="44">
        <f t="shared" si="3"/>
        <v>5.2</v>
      </c>
      <c r="L28" s="44">
        <f t="shared" si="3"/>
        <v>5.166666666666667</v>
      </c>
      <c r="M28" s="44">
        <f t="shared" si="3"/>
        <v>5.1333333333333337</v>
      </c>
      <c r="N28" s="44">
        <f t="shared" si="3"/>
        <v>5.0999999999999996</v>
      </c>
      <c r="O28" s="44">
        <f t="shared" si="3"/>
        <v>5.0666666666666664</v>
      </c>
      <c r="P28" s="44">
        <f t="shared" ref="P28:AI34" si="5">($D28-P$4)/30</f>
        <v>5.0333333333333332</v>
      </c>
      <c r="Q28" s="44">
        <f t="shared" si="5"/>
        <v>5</v>
      </c>
      <c r="R28" s="44">
        <f t="shared" si="5"/>
        <v>4.9666666666666668</v>
      </c>
      <c r="S28" s="44">
        <f t="shared" si="5"/>
        <v>4.9333333333333336</v>
      </c>
      <c r="T28" s="44">
        <f t="shared" si="5"/>
        <v>4.9000000000000004</v>
      </c>
      <c r="U28" s="44">
        <f t="shared" si="5"/>
        <v>4.8666666666666663</v>
      </c>
      <c r="V28" s="44">
        <f t="shared" si="5"/>
        <v>4.833333333333333</v>
      </c>
      <c r="W28" s="44">
        <f t="shared" si="5"/>
        <v>4.8</v>
      </c>
      <c r="X28" s="44">
        <f t="shared" si="5"/>
        <v>4.7666666666666666</v>
      </c>
      <c r="Y28" s="44">
        <f t="shared" si="5"/>
        <v>4.7333333333333334</v>
      </c>
      <c r="Z28" s="44">
        <f t="shared" si="5"/>
        <v>4.7</v>
      </c>
      <c r="AA28" s="44">
        <f t="shared" si="5"/>
        <v>4.666666666666667</v>
      </c>
      <c r="AB28" s="44">
        <f t="shared" si="5"/>
        <v>4.6333333333333337</v>
      </c>
      <c r="AC28" s="44">
        <f t="shared" si="5"/>
        <v>4.5999999999999996</v>
      </c>
      <c r="AD28" s="44">
        <f t="shared" si="5"/>
        <v>4.5666666666666664</v>
      </c>
      <c r="AE28" s="44">
        <f t="shared" si="5"/>
        <v>4.5333333333333332</v>
      </c>
      <c r="AF28" s="44">
        <f t="shared" si="5"/>
        <v>4.5</v>
      </c>
      <c r="AG28" s="44">
        <f t="shared" si="5"/>
        <v>4.4666666666666668</v>
      </c>
      <c r="AH28" s="44">
        <f t="shared" si="5"/>
        <v>4.4333333333333336</v>
      </c>
      <c r="AI28" s="44">
        <f t="shared" si="5"/>
        <v>4.4000000000000004</v>
      </c>
    </row>
    <row r="29" spans="2:35" x14ac:dyDescent="0.45">
      <c r="B29" s="40"/>
      <c r="C29" s="41">
        <v>24</v>
      </c>
      <c r="D29" s="23">
        <f t="shared" si="0"/>
        <v>168</v>
      </c>
      <c r="G29" s="44">
        <f t="shared" ref="G29:V34" si="6">($D29-G$4)/30</f>
        <v>5.5666666666666664</v>
      </c>
      <c r="H29" s="44">
        <f t="shared" si="6"/>
        <v>5.5333333333333332</v>
      </c>
      <c r="I29" s="44">
        <f t="shared" si="6"/>
        <v>5.5</v>
      </c>
      <c r="J29" s="44">
        <f t="shared" si="6"/>
        <v>5.4666666666666668</v>
      </c>
      <c r="K29" s="44">
        <f t="shared" si="6"/>
        <v>5.4333333333333336</v>
      </c>
      <c r="L29" s="44">
        <f t="shared" si="6"/>
        <v>5.4</v>
      </c>
      <c r="M29" s="44">
        <f t="shared" si="6"/>
        <v>5.3666666666666663</v>
      </c>
      <c r="N29" s="44">
        <f t="shared" si="6"/>
        <v>5.333333333333333</v>
      </c>
      <c r="O29" s="44">
        <f t="shared" si="6"/>
        <v>5.3</v>
      </c>
      <c r="P29" s="44">
        <f t="shared" si="6"/>
        <v>5.2666666666666666</v>
      </c>
      <c r="Q29" s="44">
        <f t="shared" si="6"/>
        <v>5.2333333333333334</v>
      </c>
      <c r="R29" s="44">
        <f t="shared" si="6"/>
        <v>5.2</v>
      </c>
      <c r="S29" s="44">
        <f t="shared" si="6"/>
        <v>5.166666666666667</v>
      </c>
      <c r="T29" s="44">
        <f t="shared" si="6"/>
        <v>5.1333333333333337</v>
      </c>
      <c r="U29" s="44">
        <f t="shared" si="6"/>
        <v>5.0999999999999996</v>
      </c>
      <c r="V29" s="44">
        <f t="shared" si="6"/>
        <v>5.0666666666666664</v>
      </c>
      <c r="W29" s="44">
        <f t="shared" si="5"/>
        <v>5.0333333333333332</v>
      </c>
      <c r="X29" s="44">
        <f t="shared" si="5"/>
        <v>5</v>
      </c>
      <c r="Y29" s="44">
        <f t="shared" si="5"/>
        <v>4.9666666666666668</v>
      </c>
      <c r="Z29" s="44">
        <f t="shared" si="5"/>
        <v>4.9333333333333336</v>
      </c>
      <c r="AA29" s="44">
        <f t="shared" si="5"/>
        <v>4.9000000000000004</v>
      </c>
      <c r="AB29" s="44">
        <f t="shared" si="5"/>
        <v>4.8666666666666663</v>
      </c>
      <c r="AC29" s="44">
        <f t="shared" si="5"/>
        <v>4.833333333333333</v>
      </c>
      <c r="AD29" s="44">
        <f t="shared" si="5"/>
        <v>4.8</v>
      </c>
      <c r="AE29" s="44">
        <f t="shared" si="5"/>
        <v>4.7666666666666666</v>
      </c>
      <c r="AF29" s="44">
        <f t="shared" si="5"/>
        <v>4.7333333333333334</v>
      </c>
      <c r="AG29" s="44">
        <f t="shared" si="5"/>
        <v>4.7</v>
      </c>
      <c r="AH29" s="44">
        <f t="shared" si="5"/>
        <v>4.666666666666667</v>
      </c>
      <c r="AI29" s="44">
        <f t="shared" si="5"/>
        <v>4.6333333333333337</v>
      </c>
    </row>
    <row r="30" spans="2:35" x14ac:dyDescent="0.45">
      <c r="B30" s="40"/>
      <c r="C30" s="41">
        <v>25</v>
      </c>
      <c r="D30" s="23">
        <f t="shared" si="0"/>
        <v>175</v>
      </c>
      <c r="G30" s="44">
        <f t="shared" si="6"/>
        <v>5.8</v>
      </c>
      <c r="H30" s="44">
        <f t="shared" si="6"/>
        <v>5.7666666666666666</v>
      </c>
      <c r="I30" s="44">
        <f t="shared" si="6"/>
        <v>5.7333333333333334</v>
      </c>
      <c r="J30" s="44">
        <f t="shared" si="6"/>
        <v>5.7</v>
      </c>
      <c r="K30" s="44">
        <f t="shared" si="6"/>
        <v>5.666666666666667</v>
      </c>
      <c r="L30" s="44">
        <f t="shared" si="6"/>
        <v>5.6333333333333337</v>
      </c>
      <c r="M30" s="44">
        <f t="shared" si="6"/>
        <v>5.6</v>
      </c>
      <c r="N30" s="44">
        <f t="shared" si="6"/>
        <v>5.5666666666666664</v>
      </c>
      <c r="O30" s="44">
        <f t="shared" si="6"/>
        <v>5.5333333333333332</v>
      </c>
      <c r="P30" s="44">
        <f t="shared" si="6"/>
        <v>5.5</v>
      </c>
      <c r="Q30" s="44">
        <f t="shared" si="6"/>
        <v>5.4666666666666668</v>
      </c>
      <c r="R30" s="44">
        <f t="shared" si="6"/>
        <v>5.4333333333333336</v>
      </c>
      <c r="S30" s="44">
        <f t="shared" si="6"/>
        <v>5.4</v>
      </c>
      <c r="T30" s="44">
        <f t="shared" si="6"/>
        <v>5.3666666666666663</v>
      </c>
      <c r="U30" s="44">
        <f t="shared" si="6"/>
        <v>5.333333333333333</v>
      </c>
      <c r="V30" s="44">
        <f t="shared" si="6"/>
        <v>5.3</v>
      </c>
      <c r="W30" s="44">
        <f t="shared" si="5"/>
        <v>5.2666666666666666</v>
      </c>
      <c r="X30" s="44">
        <f t="shared" si="5"/>
        <v>5.2333333333333334</v>
      </c>
      <c r="Y30" s="44">
        <f t="shared" si="5"/>
        <v>5.2</v>
      </c>
      <c r="Z30" s="44">
        <f t="shared" si="5"/>
        <v>5.166666666666667</v>
      </c>
      <c r="AA30" s="44">
        <f t="shared" si="5"/>
        <v>5.1333333333333337</v>
      </c>
      <c r="AB30" s="44">
        <f t="shared" si="5"/>
        <v>5.0999999999999996</v>
      </c>
      <c r="AC30" s="44">
        <f t="shared" si="5"/>
        <v>5.0666666666666664</v>
      </c>
      <c r="AD30" s="44">
        <f t="shared" si="5"/>
        <v>5.0333333333333332</v>
      </c>
      <c r="AE30" s="44">
        <f t="shared" si="5"/>
        <v>5</v>
      </c>
      <c r="AF30" s="44">
        <f t="shared" si="5"/>
        <v>4.9666666666666668</v>
      </c>
      <c r="AG30" s="44">
        <f t="shared" si="5"/>
        <v>4.9333333333333336</v>
      </c>
      <c r="AH30" s="44">
        <f t="shared" si="5"/>
        <v>4.9000000000000004</v>
      </c>
      <c r="AI30" s="44">
        <f t="shared" si="5"/>
        <v>4.8666666666666663</v>
      </c>
    </row>
    <row r="31" spans="2:35" x14ac:dyDescent="0.45">
      <c r="B31" s="40"/>
      <c r="C31" s="41">
        <v>26</v>
      </c>
      <c r="D31" s="23">
        <f t="shared" si="0"/>
        <v>182</v>
      </c>
      <c r="G31" s="44">
        <f t="shared" si="6"/>
        <v>6.0333333333333332</v>
      </c>
      <c r="H31" s="44">
        <f t="shared" si="6"/>
        <v>6</v>
      </c>
      <c r="I31" s="44">
        <f t="shared" si="6"/>
        <v>5.9666666666666668</v>
      </c>
      <c r="J31" s="44">
        <f t="shared" si="6"/>
        <v>5.9333333333333336</v>
      </c>
      <c r="K31" s="44">
        <f t="shared" si="6"/>
        <v>5.9</v>
      </c>
      <c r="L31" s="44">
        <f t="shared" si="6"/>
        <v>5.8666666666666663</v>
      </c>
      <c r="M31" s="44">
        <f t="shared" si="6"/>
        <v>5.833333333333333</v>
      </c>
      <c r="N31" s="44">
        <f t="shared" si="6"/>
        <v>5.8</v>
      </c>
      <c r="O31" s="44">
        <f t="shared" si="6"/>
        <v>5.7666666666666666</v>
      </c>
      <c r="P31" s="44">
        <f t="shared" si="6"/>
        <v>5.7333333333333334</v>
      </c>
      <c r="Q31" s="44">
        <f t="shared" si="6"/>
        <v>5.7</v>
      </c>
      <c r="R31" s="44">
        <f t="shared" si="6"/>
        <v>5.666666666666667</v>
      </c>
      <c r="S31" s="44">
        <f t="shared" si="6"/>
        <v>5.6333333333333337</v>
      </c>
      <c r="T31" s="44">
        <f t="shared" si="6"/>
        <v>5.6</v>
      </c>
      <c r="U31" s="44">
        <f t="shared" si="6"/>
        <v>5.5666666666666664</v>
      </c>
      <c r="V31" s="44">
        <f t="shared" si="6"/>
        <v>5.5333333333333332</v>
      </c>
      <c r="W31" s="44">
        <f t="shared" si="5"/>
        <v>5.5</v>
      </c>
      <c r="X31" s="44">
        <f t="shared" si="5"/>
        <v>5.4666666666666668</v>
      </c>
      <c r="Y31" s="44">
        <f t="shared" si="5"/>
        <v>5.4333333333333336</v>
      </c>
      <c r="Z31" s="44">
        <f t="shared" si="5"/>
        <v>5.4</v>
      </c>
      <c r="AA31" s="44">
        <f t="shared" si="5"/>
        <v>5.3666666666666663</v>
      </c>
      <c r="AB31" s="44">
        <f t="shared" si="5"/>
        <v>5.333333333333333</v>
      </c>
      <c r="AC31" s="44">
        <f t="shared" si="5"/>
        <v>5.3</v>
      </c>
      <c r="AD31" s="44">
        <f t="shared" si="5"/>
        <v>5.2666666666666666</v>
      </c>
      <c r="AE31" s="44">
        <f t="shared" si="5"/>
        <v>5.2333333333333334</v>
      </c>
      <c r="AF31" s="44">
        <f t="shared" si="5"/>
        <v>5.2</v>
      </c>
      <c r="AG31" s="44">
        <f t="shared" si="5"/>
        <v>5.166666666666667</v>
      </c>
      <c r="AH31" s="44">
        <f t="shared" si="5"/>
        <v>5.1333333333333337</v>
      </c>
      <c r="AI31" s="44">
        <f t="shared" si="5"/>
        <v>5.0999999999999996</v>
      </c>
    </row>
    <row r="32" spans="2:35" x14ac:dyDescent="0.45">
      <c r="B32" s="40" t="s">
        <v>3</v>
      </c>
      <c r="C32" s="41">
        <v>27</v>
      </c>
      <c r="D32" s="23">
        <f t="shared" si="0"/>
        <v>189</v>
      </c>
      <c r="G32" s="44">
        <f t="shared" si="6"/>
        <v>6.2666666666666666</v>
      </c>
      <c r="H32" s="44">
        <f t="shared" si="6"/>
        <v>6.2333333333333334</v>
      </c>
      <c r="I32" s="44">
        <f t="shared" si="6"/>
        <v>6.2</v>
      </c>
      <c r="J32" s="44">
        <f t="shared" si="6"/>
        <v>6.166666666666667</v>
      </c>
      <c r="K32" s="44">
        <f t="shared" si="6"/>
        <v>6.1333333333333337</v>
      </c>
      <c r="L32" s="44">
        <f t="shared" si="6"/>
        <v>6.1</v>
      </c>
      <c r="M32" s="44">
        <f t="shared" si="6"/>
        <v>6.0666666666666664</v>
      </c>
      <c r="N32" s="44">
        <f t="shared" si="6"/>
        <v>6.0333333333333332</v>
      </c>
      <c r="O32" s="44">
        <f t="shared" si="6"/>
        <v>6</v>
      </c>
      <c r="P32" s="44">
        <f t="shared" si="6"/>
        <v>5.9666666666666668</v>
      </c>
      <c r="Q32" s="44">
        <f t="shared" si="6"/>
        <v>5.9333333333333336</v>
      </c>
      <c r="R32" s="44">
        <f t="shared" si="6"/>
        <v>5.9</v>
      </c>
      <c r="S32" s="44">
        <f t="shared" si="6"/>
        <v>5.8666666666666663</v>
      </c>
      <c r="T32" s="44">
        <f t="shared" si="6"/>
        <v>5.833333333333333</v>
      </c>
      <c r="U32" s="44">
        <f t="shared" si="6"/>
        <v>5.8</v>
      </c>
      <c r="V32" s="44">
        <f t="shared" si="6"/>
        <v>5.7666666666666666</v>
      </c>
      <c r="W32" s="44">
        <f t="shared" si="5"/>
        <v>5.7333333333333334</v>
      </c>
      <c r="X32" s="44">
        <f t="shared" si="5"/>
        <v>5.7</v>
      </c>
      <c r="Y32" s="44">
        <f t="shared" si="5"/>
        <v>5.666666666666667</v>
      </c>
      <c r="Z32" s="44">
        <f t="shared" si="5"/>
        <v>5.6333333333333337</v>
      </c>
      <c r="AA32" s="44">
        <f t="shared" si="5"/>
        <v>5.6</v>
      </c>
      <c r="AB32" s="44">
        <f t="shared" si="5"/>
        <v>5.5666666666666664</v>
      </c>
      <c r="AC32" s="44">
        <f t="shared" si="5"/>
        <v>5.5333333333333332</v>
      </c>
      <c r="AD32" s="44">
        <f t="shared" si="5"/>
        <v>5.5</v>
      </c>
      <c r="AE32" s="44">
        <f t="shared" si="5"/>
        <v>5.4666666666666668</v>
      </c>
      <c r="AF32" s="44">
        <f t="shared" si="5"/>
        <v>5.4333333333333336</v>
      </c>
      <c r="AG32" s="44">
        <f t="shared" si="5"/>
        <v>5.4</v>
      </c>
      <c r="AH32" s="44">
        <f t="shared" si="5"/>
        <v>5.3666666666666663</v>
      </c>
      <c r="AI32" s="44">
        <f t="shared" si="5"/>
        <v>5.333333333333333</v>
      </c>
    </row>
    <row r="33" spans="2:35" x14ac:dyDescent="0.45">
      <c r="B33" s="40"/>
      <c r="C33" s="41">
        <v>28</v>
      </c>
      <c r="D33" s="23">
        <f t="shared" si="0"/>
        <v>196</v>
      </c>
      <c r="G33" s="44">
        <f t="shared" si="6"/>
        <v>6.5</v>
      </c>
      <c r="H33" s="44">
        <f t="shared" si="6"/>
        <v>6.4666666666666668</v>
      </c>
      <c r="I33" s="44">
        <f t="shared" si="6"/>
        <v>6.4333333333333336</v>
      </c>
      <c r="J33" s="44">
        <f t="shared" si="6"/>
        <v>6.4</v>
      </c>
      <c r="K33" s="44">
        <f t="shared" si="6"/>
        <v>6.3666666666666663</v>
      </c>
      <c r="L33" s="44">
        <f t="shared" si="6"/>
        <v>6.333333333333333</v>
      </c>
      <c r="M33" s="44">
        <f t="shared" si="6"/>
        <v>6.3</v>
      </c>
      <c r="N33" s="44">
        <f t="shared" si="6"/>
        <v>6.2666666666666666</v>
      </c>
      <c r="O33" s="44">
        <f t="shared" si="6"/>
        <v>6.2333333333333334</v>
      </c>
      <c r="P33" s="44">
        <f t="shared" si="6"/>
        <v>6.2</v>
      </c>
      <c r="Q33" s="44">
        <f t="shared" si="6"/>
        <v>6.166666666666667</v>
      </c>
      <c r="R33" s="44">
        <f t="shared" si="6"/>
        <v>6.1333333333333337</v>
      </c>
      <c r="S33" s="44">
        <f t="shared" si="6"/>
        <v>6.1</v>
      </c>
      <c r="T33" s="44">
        <f t="shared" si="6"/>
        <v>6.0666666666666664</v>
      </c>
      <c r="U33" s="44">
        <f t="shared" si="6"/>
        <v>6.0333333333333332</v>
      </c>
      <c r="V33" s="44">
        <f t="shared" si="6"/>
        <v>6</v>
      </c>
      <c r="W33" s="44">
        <f t="shared" si="5"/>
        <v>5.9666666666666668</v>
      </c>
      <c r="X33" s="44">
        <f t="shared" si="5"/>
        <v>5.9333333333333336</v>
      </c>
      <c r="Y33" s="44">
        <f t="shared" si="5"/>
        <v>5.9</v>
      </c>
      <c r="Z33" s="44">
        <f t="shared" si="5"/>
        <v>5.8666666666666663</v>
      </c>
      <c r="AA33" s="44">
        <f t="shared" si="5"/>
        <v>5.833333333333333</v>
      </c>
      <c r="AB33" s="44">
        <f t="shared" si="5"/>
        <v>5.8</v>
      </c>
      <c r="AC33" s="44">
        <f t="shared" si="5"/>
        <v>5.7666666666666666</v>
      </c>
      <c r="AD33" s="44">
        <f t="shared" si="5"/>
        <v>5.7333333333333334</v>
      </c>
      <c r="AE33" s="44">
        <f t="shared" si="5"/>
        <v>5.7</v>
      </c>
      <c r="AF33" s="44">
        <f t="shared" si="5"/>
        <v>5.666666666666667</v>
      </c>
      <c r="AG33" s="44">
        <f t="shared" si="5"/>
        <v>5.6333333333333337</v>
      </c>
      <c r="AH33" s="44">
        <f t="shared" si="5"/>
        <v>5.6</v>
      </c>
      <c r="AI33" s="44">
        <f t="shared" si="5"/>
        <v>5.5666666666666664</v>
      </c>
    </row>
    <row r="34" spans="2:35" ht="19.2" thickBot="1" x14ac:dyDescent="0.5">
      <c r="B34" s="42" t="s">
        <v>3</v>
      </c>
      <c r="C34" s="43">
        <v>29</v>
      </c>
      <c r="D34" s="23">
        <f t="shared" si="0"/>
        <v>203</v>
      </c>
      <c r="G34" s="44">
        <f t="shared" si="6"/>
        <v>6.7333333333333334</v>
      </c>
      <c r="H34" s="44">
        <f t="shared" si="6"/>
        <v>6.7</v>
      </c>
      <c r="I34" s="44">
        <f t="shared" si="6"/>
        <v>6.666666666666667</v>
      </c>
      <c r="J34" s="44">
        <f t="shared" si="6"/>
        <v>6.6333333333333337</v>
      </c>
      <c r="K34" s="44">
        <f t="shared" si="6"/>
        <v>6.6</v>
      </c>
      <c r="L34" s="44">
        <f t="shared" si="6"/>
        <v>6.5666666666666664</v>
      </c>
      <c r="M34" s="44">
        <f t="shared" si="6"/>
        <v>6.5333333333333332</v>
      </c>
      <c r="N34" s="44">
        <f t="shared" si="6"/>
        <v>6.5</v>
      </c>
      <c r="O34" s="44">
        <f t="shared" si="6"/>
        <v>6.4666666666666668</v>
      </c>
      <c r="P34" s="44">
        <f t="shared" si="6"/>
        <v>6.4333333333333336</v>
      </c>
      <c r="Q34" s="44">
        <f t="shared" si="6"/>
        <v>6.4</v>
      </c>
      <c r="R34" s="44">
        <f t="shared" si="6"/>
        <v>6.3666666666666663</v>
      </c>
      <c r="S34" s="44">
        <f t="shared" si="6"/>
        <v>6.333333333333333</v>
      </c>
      <c r="T34" s="44">
        <f t="shared" si="6"/>
        <v>6.3</v>
      </c>
      <c r="U34" s="44">
        <f t="shared" si="6"/>
        <v>6.2666666666666666</v>
      </c>
      <c r="V34" s="44">
        <f t="shared" si="6"/>
        <v>6.2333333333333334</v>
      </c>
      <c r="W34" s="44">
        <f t="shared" si="5"/>
        <v>6.2</v>
      </c>
      <c r="X34" s="44">
        <f t="shared" si="5"/>
        <v>6.166666666666667</v>
      </c>
      <c r="Y34" s="44">
        <f t="shared" si="5"/>
        <v>6.1333333333333337</v>
      </c>
      <c r="Z34" s="44">
        <f t="shared" si="5"/>
        <v>6.1</v>
      </c>
      <c r="AA34" s="44">
        <f t="shared" si="5"/>
        <v>6.0666666666666664</v>
      </c>
      <c r="AB34" s="44">
        <f t="shared" si="5"/>
        <v>6.0333333333333332</v>
      </c>
      <c r="AC34" s="44">
        <f t="shared" si="5"/>
        <v>6</v>
      </c>
      <c r="AD34" s="44">
        <f t="shared" si="5"/>
        <v>5.9666666666666668</v>
      </c>
      <c r="AE34" s="44">
        <f t="shared" si="5"/>
        <v>5.9333333333333336</v>
      </c>
      <c r="AF34" s="44">
        <f t="shared" si="5"/>
        <v>5.9</v>
      </c>
      <c r="AG34" s="44">
        <f t="shared" si="5"/>
        <v>5.8666666666666663</v>
      </c>
      <c r="AH34" s="44">
        <f t="shared" si="5"/>
        <v>5.833333333333333</v>
      </c>
      <c r="AI34" s="44">
        <f t="shared" si="5"/>
        <v>5.8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BCE0F-82F9-401F-B1AA-61C516B81618}">
  <dimension ref="A1"/>
  <sheetViews>
    <sheetView workbookViewId="0"/>
  </sheetViews>
  <sheetFormatPr defaultRowHeight="13.8" x14ac:dyDescent="0.3"/>
  <cols>
    <col min="1" max="16384" width="8.88671875" style="2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fam7</vt:lpstr>
      <vt:lpstr>Find Fam 30 Block</vt:lpstr>
      <vt:lpstr>Find Fam 30 Block (2)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2021-07-16T12:01:44Z</dcterms:created>
  <dcterms:modified xsi:type="dcterms:W3CDTF">2021-07-19T04:43:53Z</dcterms:modified>
</cp:coreProperties>
</file>