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E117AF09-B323-4BE2-8A77-3675BCD6503A}" xr6:coauthVersionLast="47" xr6:coauthVersionMax="47" xr10:uidLastSave="{00000000-0000-0000-0000-000000000000}"/>
  <bookViews>
    <workbookView xWindow="-144" yWindow="-144" windowWidth="23328" windowHeight="13248" xr2:uid="{1E944A7E-8B93-4093-85DD-565FCF5BDE45}"/>
  </bookViews>
  <sheets>
    <sheet name="0380 Snap In starfam" sheetId="2" r:id="rId1"/>
    <sheet name="0381 Snap In All and (g)" sheetId="4" r:id="rId2"/>
    <sheet name="0382 l-13 r-17" sheetId="5" r:id="rId3"/>
    <sheet name="0381 Snap In All old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E6" i="2"/>
  <c r="C131" i="4"/>
  <c r="C100" i="4"/>
  <c r="C69" i="4"/>
  <c r="C38" i="4"/>
  <c r="C7" i="4"/>
  <c r="E6" i="4"/>
  <c r="E92" i="4" s="1"/>
  <c r="F92" i="4" s="1"/>
  <c r="B1" i="4" a="1"/>
  <c r="B1" i="4" s="1"/>
  <c r="A1" i="4" a="1"/>
  <c r="A1" i="4" s="1"/>
  <c r="B1" i="2" a="1"/>
  <c r="B1" i="2" s="1"/>
  <c r="A1" i="2" a="1"/>
  <c r="A1" i="2" s="1"/>
  <c r="B1" i="3" a="1"/>
  <c r="B1" i="3" s="1"/>
  <c r="A1" i="3" a="1"/>
  <c r="A1" i="3" s="1"/>
  <c r="E6" i="3"/>
  <c r="E64" i="3" s="1"/>
  <c r="A337" i="2"/>
  <c r="A347" i="2" s="1"/>
  <c r="A357" i="2" s="1"/>
  <c r="A367" i="2" s="1"/>
  <c r="A377" i="2" s="1"/>
  <c r="A387" i="2" s="1"/>
  <c r="A397" i="2" s="1"/>
  <c r="A407" i="2" s="1"/>
  <c r="A417" i="2" s="1"/>
  <c r="A427" i="2" s="1"/>
  <c r="A437" i="2" s="1"/>
  <c r="A447" i="2" s="1"/>
  <c r="A457" i="2" s="1"/>
  <c r="A467" i="2" s="1"/>
  <c r="A477" i="2" s="1"/>
  <c r="A487" i="2" s="1"/>
  <c r="A497" i="2" s="1"/>
  <c r="A507" i="2" s="1"/>
  <c r="A517" i="2" s="1"/>
  <c r="A527" i="2" s="1"/>
  <c r="A537" i="2" s="1"/>
  <c r="A547" i="2" s="1"/>
  <c r="A557" i="2" s="1"/>
  <c r="A567" i="2" s="1"/>
  <c r="A577" i="2" s="1"/>
  <c r="A587" i="2" s="1"/>
  <c r="A597" i="2" s="1"/>
  <c r="A607" i="2" s="1"/>
  <c r="A617" i="2" s="1"/>
  <c r="A627" i="2" s="1"/>
  <c r="A637" i="2" s="1"/>
  <c r="A647" i="2" s="1"/>
  <c r="A657" i="2" s="1"/>
  <c r="A667" i="2" s="1"/>
  <c r="A677" i="2" s="1"/>
  <c r="A687" i="2" s="1"/>
  <c r="A697" i="2" s="1"/>
  <c r="A707" i="2" s="1"/>
  <c r="A717" i="2" s="1"/>
  <c r="A727" i="2" s="1"/>
  <c r="A737" i="2" s="1"/>
  <c r="A747" i="2" s="1"/>
  <c r="A757" i="2" s="1"/>
  <c r="A767" i="2" s="1"/>
  <c r="A777" i="2" s="1"/>
  <c r="A787" i="2" s="1"/>
  <c r="A797" i="2" s="1"/>
  <c r="A807" i="2" s="1"/>
  <c r="A817" i="2" s="1"/>
  <c r="A827" i="2" s="1"/>
  <c r="A837" i="2" s="1"/>
  <c r="A847" i="2" s="1"/>
  <c r="A857" i="2" s="1"/>
  <c r="A867" i="2" s="1"/>
  <c r="A877" i="2" s="1"/>
  <c r="A887" i="2" s="1"/>
  <c r="A897" i="2" s="1"/>
  <c r="A907" i="2" s="1"/>
  <c r="A917" i="2" s="1"/>
  <c r="A927" i="2" s="1"/>
  <c r="A937" i="2" s="1"/>
  <c r="A947" i="2" s="1"/>
  <c r="A957" i="2" s="1"/>
  <c r="A967" i="2" s="1"/>
  <c r="A977" i="2" s="1"/>
  <c r="A987" i="2" s="1"/>
  <c r="A997" i="2" s="1"/>
  <c r="A1007" i="2" s="1"/>
  <c r="A1017" i="2" s="1"/>
  <c r="A1027" i="2" s="1"/>
  <c r="A1037" i="2" s="1"/>
  <c r="A1047" i="2" s="1"/>
  <c r="A1057" i="2" s="1"/>
  <c r="A1067" i="2" s="1"/>
  <c r="A1077" i="2" s="1"/>
  <c r="A1087" i="2" s="1"/>
  <c r="A1097" i="2" s="1"/>
  <c r="A1107" i="2" s="1"/>
  <c r="A1117" i="2" s="1"/>
  <c r="A1127" i="2" s="1"/>
  <c r="A1137" i="2" s="1"/>
  <c r="A1147" i="2" s="1"/>
  <c r="A1157" i="2" s="1"/>
  <c r="A1167" i="2" s="1"/>
  <c r="A1177" i="2" s="1"/>
  <c r="A1187" i="2" s="1"/>
  <c r="A1197" i="2" s="1"/>
  <c r="A1207" i="2" s="1"/>
  <c r="A1217" i="2" s="1"/>
  <c r="A1227" i="2" s="1"/>
  <c r="A1237" i="2" s="1"/>
  <c r="A1247" i="2" s="1"/>
  <c r="A1257" i="2" s="1"/>
  <c r="A1267" i="2" s="1"/>
  <c r="A1277" i="2" s="1"/>
  <c r="A1287" i="2" s="1"/>
  <c r="A1297" i="2" s="1"/>
  <c r="A1307" i="2" s="1"/>
  <c r="A1317" i="2" s="1"/>
  <c r="A1327" i="2" s="1"/>
  <c r="A1337" i="2" s="1"/>
  <c r="A1347" i="2" s="1"/>
  <c r="A1357" i="2" s="1"/>
  <c r="A1367" i="2" s="1"/>
  <c r="D110" i="2"/>
  <c r="D120" i="2"/>
  <c r="D100" i="2"/>
  <c r="D98" i="2"/>
  <c r="D108" i="2"/>
  <c r="D118" i="2" s="1"/>
  <c r="D104" i="2"/>
  <c r="D103" i="2"/>
  <c r="D102" i="2"/>
  <c r="D112" i="2" s="1"/>
  <c r="D101" i="2"/>
  <c r="D99" i="2"/>
  <c r="D97" i="2"/>
  <c r="D107" i="2" s="1"/>
  <c r="E80" i="2"/>
  <c r="AJ64" i="3"/>
  <c r="F4" i="3"/>
  <c r="AJ92" i="4"/>
  <c r="F4" i="4"/>
  <c r="F4" i="2"/>
  <c r="O80" i="2"/>
  <c r="E25" i="4" l="1"/>
  <c r="F25" i="4" s="1"/>
  <c r="E35" i="4"/>
  <c r="F35" i="4" s="1"/>
  <c r="E14" i="4"/>
  <c r="F14" i="4" s="1"/>
  <c r="E5" i="4"/>
  <c r="Y92" i="4"/>
  <c r="X92" i="4"/>
  <c r="W92" i="4"/>
  <c r="V92" i="4"/>
  <c r="U92" i="4"/>
  <c r="T92" i="4"/>
  <c r="S92" i="4"/>
  <c r="R92" i="4"/>
  <c r="Q92" i="4"/>
  <c r="P92" i="4"/>
  <c r="AI92" i="4"/>
  <c r="O92" i="4"/>
  <c r="AH92" i="4"/>
  <c r="N92" i="4"/>
  <c r="AG92" i="4"/>
  <c r="M92" i="4"/>
  <c r="AF92" i="4"/>
  <c r="AE92" i="4"/>
  <c r="AD92" i="4"/>
  <c r="AC92" i="4"/>
  <c r="AB92" i="4"/>
  <c r="AA92" i="4"/>
  <c r="Z92" i="4"/>
  <c r="L92" i="4"/>
  <c r="K92" i="4"/>
  <c r="J92" i="4"/>
  <c r="I92" i="4"/>
  <c r="H92" i="4"/>
  <c r="G92" i="4"/>
  <c r="Z14" i="4"/>
  <c r="Z25" i="4"/>
  <c r="AB14" i="4"/>
  <c r="E16" i="4"/>
  <c r="F16" i="4" s="1"/>
  <c r="AA25" i="4"/>
  <c r="E45" i="4"/>
  <c r="F45" i="4" s="1"/>
  <c r="AC14" i="4"/>
  <c r="AB25" i="4"/>
  <c r="E27" i="4"/>
  <c r="F27" i="4" s="1"/>
  <c r="AA14" i="4"/>
  <c r="AD14" i="4"/>
  <c r="E18" i="4"/>
  <c r="F18" i="4" s="1"/>
  <c r="AC25" i="4"/>
  <c r="AD25" i="4"/>
  <c r="E29" i="4"/>
  <c r="F29" i="4" s="1"/>
  <c r="E47" i="4"/>
  <c r="F47" i="4" s="1"/>
  <c r="E49" i="4"/>
  <c r="F49" i="4" s="1"/>
  <c r="E20" i="4"/>
  <c r="F20" i="4" s="1"/>
  <c r="AE25" i="4"/>
  <c r="X35" i="4"/>
  <c r="W35" i="4"/>
  <c r="V35" i="4"/>
  <c r="AI35" i="4"/>
  <c r="AH35" i="4"/>
  <c r="AG35" i="4"/>
  <c r="E122" i="4"/>
  <c r="F122" i="4" s="1"/>
  <c r="E102" i="4"/>
  <c r="F102" i="4" s="1"/>
  <c r="E81" i="4"/>
  <c r="F81" i="4" s="1"/>
  <c r="E132" i="4"/>
  <c r="F132" i="4" s="1"/>
  <c r="E111" i="4"/>
  <c r="F111" i="4" s="1"/>
  <c r="E90" i="4"/>
  <c r="F90" i="4" s="1"/>
  <c r="E120" i="4"/>
  <c r="F120" i="4" s="1"/>
  <c r="E100" i="4"/>
  <c r="F100" i="4" s="1"/>
  <c r="E79" i="4"/>
  <c r="F79" i="4" s="1"/>
  <c r="E129" i="4"/>
  <c r="F129" i="4" s="1"/>
  <c r="E109" i="4"/>
  <c r="F109" i="4" s="1"/>
  <c r="E88" i="4"/>
  <c r="F88" i="4" s="1"/>
  <c r="E118" i="4"/>
  <c r="F118" i="4" s="1"/>
  <c r="E97" i="4"/>
  <c r="F97" i="4" s="1"/>
  <c r="E77" i="4"/>
  <c r="F77" i="4" s="1"/>
  <c r="E127" i="4"/>
  <c r="F127" i="4" s="1"/>
  <c r="E107" i="4"/>
  <c r="F107" i="4" s="1"/>
  <c r="E86" i="4"/>
  <c r="F86" i="4" s="1"/>
  <c r="E116" i="4"/>
  <c r="F116" i="4" s="1"/>
  <c r="E95" i="4"/>
  <c r="F95" i="4" s="1"/>
  <c r="E125" i="4"/>
  <c r="F125" i="4" s="1"/>
  <c r="E105" i="4"/>
  <c r="F105" i="4" s="1"/>
  <c r="E84" i="4"/>
  <c r="F84" i="4" s="1"/>
  <c r="E114" i="4"/>
  <c r="F114" i="4" s="1"/>
  <c r="E93" i="4"/>
  <c r="F93" i="4" s="1"/>
  <c r="E123" i="4"/>
  <c r="F123" i="4" s="1"/>
  <c r="E103" i="4"/>
  <c r="F103" i="4" s="1"/>
  <c r="E133" i="4"/>
  <c r="F133" i="4" s="1"/>
  <c r="E112" i="4"/>
  <c r="F112" i="4" s="1"/>
  <c r="E91" i="4"/>
  <c r="F91" i="4" s="1"/>
  <c r="E121" i="4"/>
  <c r="F121" i="4" s="1"/>
  <c r="E101" i="4"/>
  <c r="F101" i="4" s="1"/>
  <c r="E80" i="4"/>
  <c r="F80" i="4" s="1"/>
  <c r="E131" i="4"/>
  <c r="F131" i="4" s="1"/>
  <c r="E110" i="4"/>
  <c r="F110" i="4" s="1"/>
  <c r="E89" i="4"/>
  <c r="F89" i="4" s="1"/>
  <c r="E119" i="4"/>
  <c r="F119" i="4" s="1"/>
  <c r="E98" i="4"/>
  <c r="F98" i="4" s="1"/>
  <c r="E128" i="4"/>
  <c r="F128" i="4" s="1"/>
  <c r="E108" i="4"/>
  <c r="F108" i="4" s="1"/>
  <c r="E117" i="4"/>
  <c r="F117" i="4" s="1"/>
  <c r="E126" i="4"/>
  <c r="F126" i="4" s="1"/>
  <c r="E106" i="4"/>
  <c r="F106" i="4" s="1"/>
  <c r="E115" i="4"/>
  <c r="F115" i="4" s="1"/>
  <c r="E124" i="4"/>
  <c r="F124" i="4" s="1"/>
  <c r="E75" i="4"/>
  <c r="F75" i="4" s="1"/>
  <c r="E54" i="4"/>
  <c r="F54" i="4" s="1"/>
  <c r="E33" i="4"/>
  <c r="F33" i="4" s="1"/>
  <c r="E63" i="4"/>
  <c r="F63" i="4" s="1"/>
  <c r="E43" i="4"/>
  <c r="F43" i="4" s="1"/>
  <c r="E83" i="4"/>
  <c r="F83" i="4" s="1"/>
  <c r="E73" i="4"/>
  <c r="F73" i="4" s="1"/>
  <c r="E52" i="4"/>
  <c r="F52" i="4" s="1"/>
  <c r="E31" i="4"/>
  <c r="F31" i="4" s="1"/>
  <c r="E61" i="4"/>
  <c r="F61" i="4" s="1"/>
  <c r="E41" i="4"/>
  <c r="F41" i="4" s="1"/>
  <c r="E71" i="4"/>
  <c r="F71" i="4" s="1"/>
  <c r="E50" i="4"/>
  <c r="F50" i="4" s="1"/>
  <c r="E59" i="4"/>
  <c r="F59" i="4" s="1"/>
  <c r="E39" i="4"/>
  <c r="F39" i="4" s="1"/>
  <c r="E69" i="4"/>
  <c r="F69" i="4" s="1"/>
  <c r="E48" i="4"/>
  <c r="F48" i="4" s="1"/>
  <c r="E104" i="4"/>
  <c r="F104" i="4" s="1"/>
  <c r="E57" i="4"/>
  <c r="F57" i="4" s="1"/>
  <c r="E36" i="4"/>
  <c r="F36" i="4" s="1"/>
  <c r="E66" i="4"/>
  <c r="F66" i="4" s="1"/>
  <c r="E46" i="4"/>
  <c r="F46" i="4" s="1"/>
  <c r="E78" i="4"/>
  <c r="F78" i="4" s="1"/>
  <c r="E76" i="4"/>
  <c r="F76" i="4" s="1"/>
  <c r="E55" i="4"/>
  <c r="F55" i="4" s="1"/>
  <c r="E34" i="4"/>
  <c r="F34" i="4" s="1"/>
  <c r="E113" i="4"/>
  <c r="F113" i="4" s="1"/>
  <c r="E87" i="4"/>
  <c r="F87" i="4" s="1"/>
  <c r="E64" i="4"/>
  <c r="F64" i="4" s="1"/>
  <c r="E44" i="4"/>
  <c r="F44" i="4" s="1"/>
  <c r="E74" i="4"/>
  <c r="F74" i="4" s="1"/>
  <c r="E53" i="4"/>
  <c r="F53" i="4" s="1"/>
  <c r="E32" i="4"/>
  <c r="F32" i="4" s="1"/>
  <c r="E62" i="4"/>
  <c r="F62" i="4" s="1"/>
  <c r="E42" i="4"/>
  <c r="F42" i="4" s="1"/>
  <c r="E96" i="4"/>
  <c r="F96" i="4" s="1"/>
  <c r="E82" i="4"/>
  <c r="F82" i="4" s="1"/>
  <c r="E72" i="4"/>
  <c r="F72" i="4" s="1"/>
  <c r="E51" i="4"/>
  <c r="F51" i="4" s="1"/>
  <c r="E60" i="4"/>
  <c r="F60" i="4" s="1"/>
  <c r="E70" i="4"/>
  <c r="F70" i="4" s="1"/>
  <c r="E94" i="4"/>
  <c r="F94" i="4" s="1"/>
  <c r="E85" i="4"/>
  <c r="F85" i="4" s="1"/>
  <c r="E58" i="4"/>
  <c r="F58" i="4" s="1"/>
  <c r="E67" i="4"/>
  <c r="F67" i="4" s="1"/>
  <c r="E7" i="4"/>
  <c r="F7" i="4" s="1"/>
  <c r="E9" i="4"/>
  <c r="F9" i="4" s="1"/>
  <c r="AG14" i="4"/>
  <c r="AF25" i="4"/>
  <c r="E38" i="4"/>
  <c r="E56" i="4"/>
  <c r="F56" i="4" s="1"/>
  <c r="AH14" i="4"/>
  <c r="E22" i="4"/>
  <c r="F22" i="4" s="1"/>
  <c r="AG25" i="4"/>
  <c r="Y35" i="4"/>
  <c r="E13" i="4"/>
  <c r="F13" i="4" s="1"/>
  <c r="AI14" i="4"/>
  <c r="AH25" i="4"/>
  <c r="Z35" i="4"/>
  <c r="E24" i="4"/>
  <c r="F24" i="4" s="1"/>
  <c r="AI25" i="4"/>
  <c r="AA35" i="4"/>
  <c r="E11" i="4"/>
  <c r="F11" i="4" s="1"/>
  <c r="E15" i="4"/>
  <c r="F15" i="4" s="1"/>
  <c r="AB35" i="4"/>
  <c r="E40" i="4"/>
  <c r="F40" i="4" s="1"/>
  <c r="E26" i="4"/>
  <c r="F26" i="4" s="1"/>
  <c r="AC35" i="4"/>
  <c r="E17" i="4"/>
  <c r="F17" i="4" s="1"/>
  <c r="AD35" i="4"/>
  <c r="E8" i="4"/>
  <c r="F8" i="4" s="1"/>
  <c r="E28" i="4"/>
  <c r="F28" i="4" s="1"/>
  <c r="AE35" i="4"/>
  <c r="E65" i="4"/>
  <c r="F65" i="4" s="1"/>
  <c r="E19" i="4"/>
  <c r="F19" i="4" s="1"/>
  <c r="AF35" i="4"/>
  <c r="E10" i="4"/>
  <c r="F10" i="4" s="1"/>
  <c r="V14" i="4"/>
  <c r="E30" i="4"/>
  <c r="F30" i="4" s="1"/>
  <c r="AE14" i="4"/>
  <c r="AF14" i="4"/>
  <c r="W14" i="4"/>
  <c r="E21" i="4"/>
  <c r="F21" i="4" s="1"/>
  <c r="V25" i="4"/>
  <c r="E12" i="4"/>
  <c r="F12" i="4" s="1"/>
  <c r="X14" i="4"/>
  <c r="W25" i="4"/>
  <c r="E23" i="4"/>
  <c r="F23" i="4" s="1"/>
  <c r="E5" i="2"/>
  <c r="E7" i="3"/>
  <c r="AD7" i="3" s="1"/>
  <c r="AB7" i="3"/>
  <c r="I7" i="3"/>
  <c r="AC7" i="3"/>
  <c r="J7" i="3"/>
  <c r="K7" i="3"/>
  <c r="AH7" i="3"/>
  <c r="X7" i="3"/>
  <c r="H7" i="3"/>
  <c r="E5" i="3"/>
  <c r="E41" i="2"/>
  <c r="G41" i="2" s="1"/>
  <c r="E67" i="2"/>
  <c r="F67" i="2" s="1"/>
  <c r="E24" i="3"/>
  <c r="G24" i="3" s="1"/>
  <c r="E13" i="3"/>
  <c r="L13" i="3" s="1"/>
  <c r="E33" i="3"/>
  <c r="AF33" i="3" s="1"/>
  <c r="E55" i="3"/>
  <c r="N55" i="3" s="1"/>
  <c r="E98" i="2"/>
  <c r="F98" i="2" s="1"/>
  <c r="E50" i="2"/>
  <c r="M50" i="2" s="1"/>
  <c r="E52" i="2"/>
  <c r="G52" i="2" s="1"/>
  <c r="E112" i="2"/>
  <c r="I112" i="2" s="1"/>
  <c r="E32" i="2"/>
  <c r="J32" i="2" s="1"/>
  <c r="E37" i="2"/>
  <c r="M37" i="2" s="1"/>
  <c r="E39" i="2"/>
  <c r="M39" i="2" s="1"/>
  <c r="E78" i="2"/>
  <c r="H78" i="2" s="1"/>
  <c r="E28" i="2"/>
  <c r="L28" i="2" s="1"/>
  <c r="E59" i="2"/>
  <c r="H59" i="2" s="1"/>
  <c r="E48" i="2"/>
  <c r="G48" i="2" s="1"/>
  <c r="E30" i="2"/>
  <c r="I30" i="2" s="1"/>
  <c r="E64" i="2"/>
  <c r="M64" i="2" s="1"/>
  <c r="E107" i="2"/>
  <c r="M107" i="2" s="1"/>
  <c r="T64" i="3"/>
  <c r="S64" i="3"/>
  <c r="R64" i="3"/>
  <c r="Q64" i="3"/>
  <c r="P64" i="3"/>
  <c r="O64" i="3"/>
  <c r="AH64" i="3"/>
  <c r="N64" i="3"/>
  <c r="AG64" i="3"/>
  <c r="M64" i="3"/>
  <c r="AF64" i="3"/>
  <c r="L64" i="3"/>
  <c r="AE64" i="3"/>
  <c r="K64" i="3"/>
  <c r="AD64" i="3"/>
  <c r="J64" i="3"/>
  <c r="AC64" i="3"/>
  <c r="I64" i="3"/>
  <c r="AB64" i="3"/>
  <c r="H64" i="3"/>
  <c r="AA64" i="3"/>
  <c r="Z64" i="3"/>
  <c r="Y64" i="3"/>
  <c r="X64" i="3"/>
  <c r="W64" i="3"/>
  <c r="V64" i="3"/>
  <c r="U64" i="3"/>
  <c r="G64" i="3"/>
  <c r="F64" i="3"/>
  <c r="E15" i="3"/>
  <c r="E35" i="3"/>
  <c r="E46" i="3"/>
  <c r="E26" i="3"/>
  <c r="E122" i="3"/>
  <c r="E102" i="3"/>
  <c r="E81" i="3"/>
  <c r="E132" i="3"/>
  <c r="E111" i="3"/>
  <c r="E120" i="3"/>
  <c r="E100" i="3"/>
  <c r="E79" i="3"/>
  <c r="E129" i="3"/>
  <c r="E109" i="3"/>
  <c r="E88" i="3"/>
  <c r="E118" i="3"/>
  <c r="E97" i="3"/>
  <c r="E77" i="3"/>
  <c r="E127" i="3"/>
  <c r="E107" i="3"/>
  <c r="E86" i="3"/>
  <c r="E116" i="3"/>
  <c r="E95" i="3"/>
  <c r="E125" i="3"/>
  <c r="E105" i="3"/>
  <c r="E114" i="3"/>
  <c r="E93" i="3"/>
  <c r="E123" i="3"/>
  <c r="E103" i="3"/>
  <c r="E82" i="3"/>
  <c r="E133" i="3"/>
  <c r="E112" i="3"/>
  <c r="E121" i="3"/>
  <c r="E131" i="3"/>
  <c r="E110" i="3"/>
  <c r="E119" i="3"/>
  <c r="E128" i="3"/>
  <c r="E126" i="3"/>
  <c r="E115" i="3"/>
  <c r="E92" i="3"/>
  <c r="E70" i="3"/>
  <c r="E49" i="3"/>
  <c r="E117" i="3"/>
  <c r="E101" i="3"/>
  <c r="E94" i="3"/>
  <c r="E58" i="3"/>
  <c r="E67" i="3"/>
  <c r="E47" i="3"/>
  <c r="E56" i="3"/>
  <c r="E96" i="3"/>
  <c r="E65" i="3"/>
  <c r="E45" i="3"/>
  <c r="E104" i="3"/>
  <c r="E75" i="3"/>
  <c r="E54" i="3"/>
  <c r="E63" i="3"/>
  <c r="E43" i="3"/>
  <c r="E73" i="3"/>
  <c r="E52" i="3"/>
  <c r="E61" i="3"/>
  <c r="E113" i="3"/>
  <c r="E71" i="3"/>
  <c r="E50" i="3"/>
  <c r="E59" i="3"/>
  <c r="E108" i="3"/>
  <c r="E98" i="3"/>
  <c r="E69" i="3"/>
  <c r="E84" i="3"/>
  <c r="E80" i="3"/>
  <c r="E87" i="3"/>
  <c r="E85" i="3"/>
  <c r="E124" i="3"/>
  <c r="E89" i="3"/>
  <c r="E83" i="3"/>
  <c r="E78" i="3"/>
  <c r="E91" i="3"/>
  <c r="E17" i="3"/>
  <c r="E38" i="3"/>
  <c r="E8" i="3"/>
  <c r="E28" i="3"/>
  <c r="E19" i="3"/>
  <c r="E40" i="3"/>
  <c r="E10" i="3"/>
  <c r="E30" i="3"/>
  <c r="E66" i="3"/>
  <c r="E21" i="3"/>
  <c r="E42" i="3"/>
  <c r="E74" i="3"/>
  <c r="E12" i="3"/>
  <c r="E32" i="3"/>
  <c r="E44" i="3"/>
  <c r="E60" i="3"/>
  <c r="E23" i="3"/>
  <c r="E53" i="3"/>
  <c r="E57" i="3"/>
  <c r="E72" i="3"/>
  <c r="E14" i="3"/>
  <c r="E34" i="3"/>
  <c r="E25" i="3"/>
  <c r="E16" i="3"/>
  <c r="E36" i="3"/>
  <c r="E27" i="3"/>
  <c r="E18" i="3"/>
  <c r="E39" i="3"/>
  <c r="E48" i="3"/>
  <c r="E106" i="3"/>
  <c r="E9" i="3"/>
  <c r="E29" i="3"/>
  <c r="E62" i="3"/>
  <c r="E20" i="3"/>
  <c r="E41" i="3"/>
  <c r="E76" i="3"/>
  <c r="E11" i="3"/>
  <c r="E31" i="3"/>
  <c r="E22" i="3"/>
  <c r="E51" i="3"/>
  <c r="E90" i="3"/>
  <c r="M80" i="2"/>
  <c r="L80" i="2"/>
  <c r="J80" i="2"/>
  <c r="I80" i="2"/>
  <c r="G80" i="2"/>
  <c r="F80" i="2"/>
  <c r="H80" i="2"/>
  <c r="K80" i="2"/>
  <c r="E103" i="2"/>
  <c r="D113" i="2"/>
  <c r="D130" i="2"/>
  <c r="E120" i="2"/>
  <c r="E89" i="2"/>
  <c r="E97" i="2"/>
  <c r="E118" i="2"/>
  <c r="D128" i="2"/>
  <c r="E110" i="2"/>
  <c r="E43" i="2"/>
  <c r="E57" i="2"/>
  <c r="E87" i="2"/>
  <c r="D117" i="2"/>
  <c r="E9" i="2"/>
  <c r="E16" i="2"/>
  <c r="E36" i="2" s="1"/>
  <c r="E19" i="2"/>
  <c r="E23" i="2"/>
  <c r="E47" i="2"/>
  <c r="E63" i="2"/>
  <c r="E74" i="2"/>
  <c r="E21" i="2"/>
  <c r="E26" i="2"/>
  <c r="E11" i="2"/>
  <c r="E49" i="2"/>
  <c r="E53" i="2"/>
  <c r="E82" i="2"/>
  <c r="E102" i="2"/>
  <c r="E99" i="2"/>
  <c r="D109" i="2"/>
  <c r="E13" i="2"/>
  <c r="E60" i="2"/>
  <c r="E71" i="2"/>
  <c r="E104" i="2"/>
  <c r="D114" i="2"/>
  <c r="E108" i="2"/>
  <c r="E34" i="2"/>
  <c r="E29" i="2"/>
  <c r="E40" i="2"/>
  <c r="E51" i="2"/>
  <c r="E101" i="2"/>
  <c r="D111" i="2"/>
  <c r="E27" i="2"/>
  <c r="E31" i="2"/>
  <c r="E42" i="2"/>
  <c r="E58" i="2"/>
  <c r="E91" i="2"/>
  <c r="D122" i="2"/>
  <c r="E33" i="2"/>
  <c r="E44" i="2"/>
  <c r="E54" i="2"/>
  <c r="E94" i="2"/>
  <c r="E83" i="2"/>
  <c r="E72" i="2"/>
  <c r="E61" i="2"/>
  <c r="E92" i="2"/>
  <c r="E81" i="2"/>
  <c r="E70" i="2"/>
  <c r="E90" i="2"/>
  <c r="E79" i="2"/>
  <c r="E68" i="2"/>
  <c r="E88" i="2"/>
  <c r="E77" i="2"/>
  <c r="E84" i="2"/>
  <c r="E73" i="2"/>
  <c r="E62" i="2"/>
  <c r="E93" i="2"/>
  <c r="E38" i="2"/>
  <c r="E8" i="2"/>
  <c r="E12" i="2"/>
  <c r="E14" i="2"/>
  <c r="E69" i="2"/>
  <c r="E7" i="2"/>
  <c r="E17" i="2"/>
  <c r="E10" i="2"/>
  <c r="E18" i="2"/>
  <c r="E20" i="2"/>
  <c r="E22" i="2"/>
  <c r="E24" i="2"/>
  <c r="E100" i="2"/>
  <c r="AJ122" i="3"/>
  <c r="AJ128" i="3"/>
  <c r="AJ92" i="3"/>
  <c r="AJ123" i="3"/>
  <c r="AJ28" i="3"/>
  <c r="AJ121" i="3"/>
  <c r="AJ98" i="3"/>
  <c r="AJ110" i="3"/>
  <c r="AJ57" i="3"/>
  <c r="AJ44" i="3"/>
  <c r="AJ114" i="3"/>
  <c r="AJ96" i="3"/>
  <c r="AJ118" i="3"/>
  <c r="AJ55" i="3"/>
  <c r="AJ107" i="3"/>
  <c r="AJ10" i="3"/>
  <c r="AJ113" i="3"/>
  <c r="AJ53" i="3"/>
  <c r="AJ85" i="3"/>
  <c r="AJ105" i="3"/>
  <c r="AJ13" i="3"/>
  <c r="AJ18" i="3"/>
  <c r="AJ84" i="3"/>
  <c r="AJ89" i="3"/>
  <c r="AJ9" i="3"/>
  <c r="AJ106" i="3"/>
  <c r="AJ47" i="3"/>
  <c r="AJ116" i="3"/>
  <c r="AJ54" i="3"/>
  <c r="AJ100" i="3"/>
  <c r="AJ129" i="3"/>
  <c r="AJ25" i="3"/>
  <c r="AJ12" i="3"/>
  <c r="AJ60" i="3"/>
  <c r="AJ66" i="3"/>
  <c r="AJ91" i="3"/>
  <c r="AJ39" i="3"/>
  <c r="AJ94" i="3"/>
  <c r="AJ131" i="3"/>
  <c r="AJ115" i="3"/>
  <c r="AJ17" i="3"/>
  <c r="AJ101" i="3"/>
  <c r="AJ43" i="3"/>
  <c r="AJ75" i="3"/>
  <c r="AJ81" i="3"/>
  <c r="AJ67" i="3"/>
  <c r="AJ42" i="3"/>
  <c r="AJ27" i="3"/>
  <c r="AJ120" i="3"/>
  <c r="AJ97" i="3"/>
  <c r="AJ31" i="3"/>
  <c r="AJ26" i="3"/>
  <c r="AJ50" i="3"/>
  <c r="AJ93" i="3"/>
  <c r="AJ63" i="3"/>
  <c r="AJ126" i="3"/>
  <c r="AJ62" i="3"/>
  <c r="AJ59" i="3"/>
  <c r="AJ49" i="3"/>
  <c r="AJ79" i="3"/>
  <c r="AJ15" i="3"/>
  <c r="AJ48" i="3"/>
  <c r="AJ76" i="3"/>
  <c r="AJ20" i="3"/>
  <c r="AJ112" i="3"/>
  <c r="AJ11" i="3"/>
  <c r="AJ30" i="3"/>
  <c r="AJ95" i="3"/>
  <c r="AJ70" i="3"/>
  <c r="AJ87" i="3"/>
  <c r="AJ16" i="3"/>
  <c r="AJ38" i="3"/>
  <c r="AJ19" i="3"/>
  <c r="AJ51" i="3"/>
  <c r="AJ102" i="3"/>
  <c r="AJ41" i="3"/>
  <c r="AJ65" i="3"/>
  <c r="AJ103" i="3"/>
  <c r="AJ104" i="3"/>
  <c r="AJ56" i="3"/>
  <c r="AJ33" i="3"/>
  <c r="AJ117" i="3"/>
  <c r="AJ80" i="3"/>
  <c r="AJ35" i="3"/>
  <c r="AJ111" i="3"/>
  <c r="AJ22" i="3"/>
  <c r="AJ127" i="3"/>
  <c r="AJ124" i="3"/>
  <c r="AJ86" i="3"/>
  <c r="AJ52" i="3"/>
  <c r="AJ119" i="3"/>
  <c r="AJ32" i="3"/>
  <c r="AJ132" i="3"/>
  <c r="AJ8" i="3"/>
  <c r="AJ46" i="3"/>
  <c r="AJ133" i="3"/>
  <c r="AJ61" i="3"/>
  <c r="AJ36" i="3"/>
  <c r="AJ34" i="3"/>
  <c r="AJ14" i="3"/>
  <c r="AJ58" i="3"/>
  <c r="AJ23" i="3"/>
  <c r="AJ82" i="3"/>
  <c r="AJ72" i="3"/>
  <c r="AJ78" i="3"/>
  <c r="AJ21" i="3"/>
  <c r="AJ125" i="3"/>
  <c r="AJ74" i="3"/>
  <c r="AJ45" i="3"/>
  <c r="AJ83" i="3"/>
  <c r="AJ73" i="3"/>
  <c r="AJ90" i="3"/>
  <c r="AJ69" i="3"/>
  <c r="AJ40" i="3"/>
  <c r="AJ109" i="3"/>
  <c r="AJ29" i="3"/>
  <c r="AJ24" i="3"/>
  <c r="AJ108" i="3"/>
  <c r="AJ77" i="3"/>
  <c r="AJ88" i="3"/>
  <c r="AJ7" i="3"/>
  <c r="AJ71" i="3"/>
  <c r="AJ115" i="4"/>
  <c r="AJ94" i="4"/>
  <c r="AJ55" i="4"/>
  <c r="AJ80" i="4"/>
  <c r="AJ28" i="4"/>
  <c r="AJ62" i="4"/>
  <c r="AJ114" i="4"/>
  <c r="AJ57" i="4"/>
  <c r="AJ26" i="4"/>
  <c r="AJ67" i="4"/>
  <c r="AJ52" i="4"/>
  <c r="AJ105" i="4"/>
  <c r="AJ11" i="4"/>
  <c r="AJ43" i="4"/>
  <c r="AJ51" i="4"/>
  <c r="AJ22" i="4"/>
  <c r="AJ17" i="4"/>
  <c r="AJ87" i="4"/>
  <c r="AJ107" i="4"/>
  <c r="AJ49" i="4"/>
  <c r="AJ46" i="4"/>
  <c r="AJ40" i="4"/>
  <c r="AJ27" i="4"/>
  <c r="AJ21" i="4"/>
  <c r="AJ8" i="4"/>
  <c r="AJ119" i="4"/>
  <c r="AJ95" i="4"/>
  <c r="AJ74" i="4"/>
  <c r="AJ106" i="4"/>
  <c r="AJ100" i="4"/>
  <c r="AJ82" i="4"/>
  <c r="AJ97" i="4"/>
  <c r="AJ71" i="4"/>
  <c r="AJ108" i="4"/>
  <c r="AJ118" i="4"/>
  <c r="AJ111" i="4"/>
  <c r="AJ133" i="4"/>
  <c r="AJ104" i="4"/>
  <c r="AJ131" i="4"/>
  <c r="AJ53" i="4"/>
  <c r="AJ39" i="4"/>
  <c r="AJ59" i="4"/>
  <c r="AJ93" i="4"/>
  <c r="AJ33" i="4"/>
  <c r="AJ109" i="4"/>
  <c r="AJ31" i="4"/>
  <c r="AJ38" i="4"/>
  <c r="AJ42" i="4"/>
  <c r="AJ124" i="4"/>
  <c r="AJ78" i="4"/>
  <c r="AJ121" i="4"/>
  <c r="AJ64" i="4"/>
  <c r="AJ10" i="4"/>
  <c r="AJ19" i="4"/>
  <c r="AJ36" i="4"/>
  <c r="AJ85" i="4"/>
  <c r="AJ83" i="4"/>
  <c r="AJ48" i="4"/>
  <c r="AJ86" i="4"/>
  <c r="AJ20" i="4"/>
  <c r="AJ60" i="4"/>
  <c r="AJ13" i="4"/>
  <c r="AJ34" i="4"/>
  <c r="AJ77" i="4"/>
  <c r="AJ98" i="4"/>
  <c r="AJ47" i="4"/>
  <c r="AJ90" i="4"/>
  <c r="AJ102" i="4"/>
  <c r="AJ7" i="4"/>
  <c r="AJ110" i="4"/>
  <c r="AJ50" i="4"/>
  <c r="AJ122" i="4"/>
  <c r="AJ123" i="4"/>
  <c r="AJ79" i="4"/>
  <c r="AJ72" i="4"/>
  <c r="AJ61" i="4"/>
  <c r="AJ32" i="4"/>
  <c r="AJ125" i="4"/>
  <c r="AJ75" i="4"/>
  <c r="AJ112" i="4"/>
  <c r="AJ88" i="4"/>
  <c r="AJ44" i="4"/>
  <c r="AJ56" i="4"/>
  <c r="AJ117" i="4"/>
  <c r="AJ66" i="4"/>
  <c r="AJ63" i="4"/>
  <c r="AJ101" i="4"/>
  <c r="AJ24" i="4"/>
  <c r="AJ65" i="4"/>
  <c r="AJ69" i="4"/>
  <c r="AJ70" i="4"/>
  <c r="AJ76" i="4"/>
  <c r="AJ73" i="4"/>
  <c r="AJ23" i="4"/>
  <c r="AJ84" i="4"/>
  <c r="AJ96" i="4"/>
  <c r="AJ25" i="4"/>
  <c r="AJ30" i="4"/>
  <c r="AJ58" i="4"/>
  <c r="AJ113" i="4"/>
  <c r="AJ45" i="4"/>
  <c r="AJ16" i="4"/>
  <c r="AJ15" i="4"/>
  <c r="AJ35" i="4"/>
  <c r="AJ120" i="4"/>
  <c r="AJ126" i="4"/>
  <c r="AJ9" i="4"/>
  <c r="AJ127" i="4"/>
  <c r="AJ29" i="4"/>
  <c r="AJ81" i="4"/>
  <c r="AJ14" i="4"/>
  <c r="AJ103" i="4"/>
  <c r="AJ129" i="4"/>
  <c r="AJ12" i="4"/>
  <c r="AJ89" i="4"/>
  <c r="AJ116" i="4"/>
  <c r="AJ132" i="4"/>
  <c r="AJ54" i="4"/>
  <c r="AJ91" i="4"/>
  <c r="AJ18" i="4"/>
  <c r="AJ41" i="4"/>
  <c r="AJ128" i="4"/>
  <c r="O92" i="2"/>
  <c r="O18" i="2"/>
  <c r="O19" i="2"/>
  <c r="O89" i="2"/>
  <c r="O51" i="2"/>
  <c r="O73" i="2"/>
  <c r="O54" i="2"/>
  <c r="O82" i="2"/>
  <c r="O81" i="2"/>
  <c r="O23" i="2"/>
  <c r="O41" i="2"/>
  <c r="O60" i="2"/>
  <c r="O52" i="2"/>
  <c r="O37" i="2"/>
  <c r="O70" i="2"/>
  <c r="O61" i="2"/>
  <c r="O100" i="2"/>
  <c r="O91" i="2"/>
  <c r="O69" i="2"/>
  <c r="O68" i="2"/>
  <c r="O101" i="2"/>
  <c r="O107" i="2"/>
  <c r="O50" i="2"/>
  <c r="O104" i="2"/>
  <c r="O118" i="2"/>
  <c r="O98" i="2"/>
  <c r="O88" i="2"/>
  <c r="O32" i="2"/>
  <c r="O87" i="2"/>
  <c r="O102" i="2"/>
  <c r="O43" i="2"/>
  <c r="O12" i="2"/>
  <c r="O24" i="2"/>
  <c r="O20" i="2"/>
  <c r="O17" i="2"/>
  <c r="O64" i="2"/>
  <c r="O112" i="2"/>
  <c r="O13" i="2"/>
  <c r="O71" i="2"/>
  <c r="O8" i="2"/>
  <c r="O79" i="2"/>
  <c r="O59" i="2"/>
  <c r="O22" i="2"/>
  <c r="O74" i="2"/>
  <c r="O40" i="2"/>
  <c r="O42" i="2"/>
  <c r="O78" i="2"/>
  <c r="O120" i="2"/>
  <c r="O110" i="2"/>
  <c r="O57" i="2"/>
  <c r="O29" i="2"/>
  <c r="O11" i="2"/>
  <c r="O103" i="2"/>
  <c r="O99" i="2"/>
  <c r="O9" i="2"/>
  <c r="O49" i="2"/>
  <c r="O38" i="2"/>
  <c r="O31" i="2"/>
  <c r="O62" i="2"/>
  <c r="O30" i="2"/>
  <c r="O77" i="2"/>
  <c r="O14" i="2"/>
  <c r="O108" i="2"/>
  <c r="O58" i="2"/>
  <c r="O10" i="2"/>
  <c r="O90" i="2"/>
  <c r="O27" i="2"/>
  <c r="O44" i="2"/>
  <c r="O48" i="2"/>
  <c r="O47" i="2"/>
  <c r="O39" i="2"/>
  <c r="O21" i="2"/>
  <c r="O53" i="2"/>
  <c r="O84" i="2"/>
  <c r="O97" i="2"/>
  <c r="O67" i="2"/>
  <c r="O72" i="2"/>
  <c r="O63" i="2"/>
  <c r="O7" i="2"/>
  <c r="O94" i="2"/>
  <c r="O28" i="2"/>
  <c r="O33" i="2"/>
  <c r="O93" i="2"/>
  <c r="O34" i="2"/>
  <c r="O83" i="2"/>
  <c r="W38" i="4" l="1"/>
  <c r="V38" i="4"/>
  <c r="G38" i="4"/>
  <c r="U38" i="4"/>
  <c r="T38" i="4"/>
  <c r="S38" i="4"/>
  <c r="M38" i="4"/>
  <c r="F38" i="4"/>
  <c r="Y38" i="4"/>
  <c r="X38" i="4"/>
  <c r="R38" i="4"/>
  <c r="O38" i="4"/>
  <c r="N38" i="4"/>
  <c r="J38" i="4"/>
  <c r="H38" i="4"/>
  <c r="Q38" i="4"/>
  <c r="AE38" i="4"/>
  <c r="AB38" i="4"/>
  <c r="AA38" i="4"/>
  <c r="Z38" i="4"/>
  <c r="P38" i="4"/>
  <c r="AI38" i="4"/>
  <c r="AH38" i="4"/>
  <c r="AG38" i="4"/>
  <c r="K38" i="4"/>
  <c r="AD38" i="4"/>
  <c r="I38" i="4"/>
  <c r="AF38" i="4"/>
  <c r="L38" i="4"/>
  <c r="AC38" i="4"/>
  <c r="AI7" i="4"/>
  <c r="O7" i="4"/>
  <c r="AH7" i="4"/>
  <c r="N7" i="4"/>
  <c r="AG7" i="4"/>
  <c r="M7" i="4"/>
  <c r="AF7" i="4"/>
  <c r="L7" i="4"/>
  <c r="AE7" i="4"/>
  <c r="K7" i="4"/>
  <c r="AD7" i="4"/>
  <c r="J7" i="4"/>
  <c r="AC7" i="4"/>
  <c r="I7" i="4"/>
  <c r="H7" i="4"/>
  <c r="P7" i="4"/>
  <c r="AB7" i="4"/>
  <c r="Z7" i="4"/>
  <c r="V7" i="4"/>
  <c r="U7" i="4"/>
  <c r="T7" i="4"/>
  <c r="S7" i="4"/>
  <c r="AA7" i="4"/>
  <c r="G7" i="4"/>
  <c r="X7" i="4"/>
  <c r="R7" i="4"/>
  <c r="Y7" i="4"/>
  <c r="W7" i="4"/>
  <c r="Q7" i="4"/>
  <c r="Q13" i="4"/>
  <c r="R13" i="4"/>
  <c r="S13" i="4"/>
  <c r="T13" i="4"/>
  <c r="U13" i="4"/>
  <c r="N13" i="4"/>
  <c r="G13" i="4"/>
  <c r="H13" i="4"/>
  <c r="P13" i="4"/>
  <c r="I13" i="4"/>
  <c r="J13" i="4"/>
  <c r="K13" i="4"/>
  <c r="L13" i="4"/>
  <c r="M13" i="4"/>
  <c r="O13" i="4"/>
  <c r="L16" i="4"/>
  <c r="M16" i="4"/>
  <c r="N16" i="4"/>
  <c r="O16" i="4"/>
  <c r="J16" i="4"/>
  <c r="P16" i="4"/>
  <c r="Q16" i="4"/>
  <c r="R16" i="4"/>
  <c r="S16" i="4"/>
  <c r="T16" i="4"/>
  <c r="K16" i="4"/>
  <c r="U16" i="4"/>
  <c r="I16" i="4"/>
  <c r="G16" i="4"/>
  <c r="H16" i="4"/>
  <c r="G22" i="4"/>
  <c r="H22" i="4"/>
  <c r="I22" i="4"/>
  <c r="S22" i="4"/>
  <c r="J22" i="4"/>
  <c r="T22" i="4"/>
  <c r="K22" i="4"/>
  <c r="L22" i="4"/>
  <c r="U22" i="4"/>
  <c r="M22" i="4"/>
  <c r="N22" i="4"/>
  <c r="O22" i="4"/>
  <c r="Q22" i="4"/>
  <c r="P22" i="4"/>
  <c r="R22" i="4"/>
  <c r="G10" i="4"/>
  <c r="H10" i="4"/>
  <c r="U10" i="4"/>
  <c r="I10" i="4"/>
  <c r="J10" i="4"/>
  <c r="K10" i="4"/>
  <c r="L10" i="4"/>
  <c r="M10" i="4"/>
  <c r="S10" i="4"/>
  <c r="N10" i="4"/>
  <c r="O10" i="4"/>
  <c r="P10" i="4"/>
  <c r="Q10" i="4"/>
  <c r="T10" i="4"/>
  <c r="R10" i="4"/>
  <c r="Q17" i="4"/>
  <c r="R17" i="4"/>
  <c r="S17" i="4"/>
  <c r="T17" i="4"/>
  <c r="U17" i="4"/>
  <c r="G17" i="4"/>
  <c r="K17" i="4"/>
  <c r="N17" i="4"/>
  <c r="H17" i="4"/>
  <c r="I17" i="4"/>
  <c r="O17" i="4"/>
  <c r="J17" i="4"/>
  <c r="P17" i="4"/>
  <c r="L17" i="4"/>
  <c r="M17" i="4"/>
  <c r="G31" i="4"/>
  <c r="H31" i="4"/>
  <c r="I31" i="4"/>
  <c r="J31" i="4"/>
  <c r="K31" i="4"/>
  <c r="L31" i="4"/>
  <c r="M31" i="4"/>
  <c r="P31" i="4"/>
  <c r="N31" i="4"/>
  <c r="O31" i="4"/>
  <c r="Q31" i="4"/>
  <c r="U31" i="4"/>
  <c r="R31" i="4"/>
  <c r="S31" i="4"/>
  <c r="T31" i="4"/>
  <c r="L20" i="4"/>
  <c r="M20" i="4"/>
  <c r="N20" i="4"/>
  <c r="O20" i="4"/>
  <c r="P20" i="4"/>
  <c r="Q20" i="4"/>
  <c r="R20" i="4"/>
  <c r="S20" i="4"/>
  <c r="T20" i="4"/>
  <c r="U20" i="4"/>
  <c r="G20" i="4"/>
  <c r="J20" i="4"/>
  <c r="K20" i="4"/>
  <c r="H20" i="4"/>
  <c r="I20" i="4"/>
  <c r="G19" i="4"/>
  <c r="H19" i="4"/>
  <c r="I19" i="4"/>
  <c r="J19" i="4"/>
  <c r="K19" i="4"/>
  <c r="L19" i="4"/>
  <c r="M19" i="4"/>
  <c r="N19" i="4"/>
  <c r="U19" i="4"/>
  <c r="O19" i="4"/>
  <c r="Q19" i="4"/>
  <c r="P19" i="4"/>
  <c r="R19" i="4"/>
  <c r="S19" i="4"/>
  <c r="T19" i="4"/>
  <c r="G26" i="4"/>
  <c r="U26" i="4"/>
  <c r="H26" i="4"/>
  <c r="I26" i="4"/>
  <c r="T26" i="4"/>
  <c r="J26" i="4"/>
  <c r="L26" i="4"/>
  <c r="K26" i="4"/>
  <c r="Q26" i="4"/>
  <c r="S26" i="4"/>
  <c r="M26" i="4"/>
  <c r="P26" i="4"/>
  <c r="N26" i="4"/>
  <c r="O26" i="4"/>
  <c r="R26" i="4"/>
  <c r="Q9" i="4"/>
  <c r="R9" i="4"/>
  <c r="O9" i="4"/>
  <c r="S9" i="4"/>
  <c r="T9" i="4"/>
  <c r="U9" i="4"/>
  <c r="N9" i="4"/>
  <c r="G9" i="4"/>
  <c r="H9" i="4"/>
  <c r="I9" i="4"/>
  <c r="J9" i="4"/>
  <c r="P9" i="4"/>
  <c r="K9" i="4"/>
  <c r="L9" i="4"/>
  <c r="M9" i="4"/>
  <c r="L12" i="4"/>
  <c r="M12" i="4"/>
  <c r="N12" i="4"/>
  <c r="O12" i="4"/>
  <c r="P12" i="4"/>
  <c r="Q12" i="4"/>
  <c r="R12" i="4"/>
  <c r="S12" i="4"/>
  <c r="I12" i="4"/>
  <c r="T12" i="4"/>
  <c r="U12" i="4"/>
  <c r="J12" i="4"/>
  <c r="K12" i="4"/>
  <c r="G12" i="4"/>
  <c r="H12" i="4"/>
  <c r="Q29" i="4"/>
  <c r="R29" i="4"/>
  <c r="S29" i="4"/>
  <c r="T29" i="4"/>
  <c r="U29" i="4"/>
  <c r="N29" i="4"/>
  <c r="G29" i="4"/>
  <c r="L29" i="4"/>
  <c r="H29" i="4"/>
  <c r="I29" i="4"/>
  <c r="O29" i="4"/>
  <c r="J29" i="4"/>
  <c r="K29" i="4"/>
  <c r="M29" i="4"/>
  <c r="P29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G23" i="4"/>
  <c r="H23" i="4"/>
  <c r="I23" i="4"/>
  <c r="J23" i="4"/>
  <c r="K23" i="4"/>
  <c r="L23" i="4"/>
  <c r="M23" i="4"/>
  <c r="N23" i="4"/>
  <c r="O23" i="4"/>
  <c r="P23" i="4"/>
  <c r="Q23" i="4"/>
  <c r="U23" i="4"/>
  <c r="R23" i="4"/>
  <c r="S23" i="4"/>
  <c r="T23" i="4"/>
  <c r="G40" i="4"/>
  <c r="H40" i="4"/>
  <c r="I40" i="4"/>
  <c r="J40" i="4"/>
  <c r="K40" i="4"/>
  <c r="L40" i="4"/>
  <c r="M40" i="4"/>
  <c r="N40" i="4"/>
  <c r="P40" i="4"/>
  <c r="R40" i="4"/>
  <c r="O40" i="4"/>
  <c r="Q40" i="4"/>
  <c r="S40" i="4"/>
  <c r="T40" i="4"/>
  <c r="U40" i="4"/>
  <c r="Q21" i="4"/>
  <c r="R21" i="4"/>
  <c r="S21" i="4"/>
  <c r="T21" i="4"/>
  <c r="U21" i="4"/>
  <c r="K21" i="4"/>
  <c r="G21" i="4"/>
  <c r="H21" i="4"/>
  <c r="I21" i="4"/>
  <c r="J21" i="4"/>
  <c r="O21" i="4"/>
  <c r="L21" i="4"/>
  <c r="N21" i="4"/>
  <c r="M21" i="4"/>
  <c r="P2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Q33" i="4"/>
  <c r="R33" i="4"/>
  <c r="S33" i="4"/>
  <c r="T33" i="4"/>
  <c r="U33" i="4"/>
  <c r="H33" i="4"/>
  <c r="K33" i="4"/>
  <c r="L33" i="4"/>
  <c r="O33" i="4"/>
  <c r="G33" i="4"/>
  <c r="P33" i="4"/>
  <c r="I33" i="4"/>
  <c r="J33" i="4"/>
  <c r="N33" i="4"/>
  <c r="M33" i="4"/>
  <c r="T39" i="4"/>
  <c r="U39" i="4"/>
  <c r="G39" i="4"/>
  <c r="H39" i="4"/>
  <c r="I39" i="4"/>
  <c r="R39" i="4"/>
  <c r="S39" i="4"/>
  <c r="J39" i="4"/>
  <c r="L39" i="4"/>
  <c r="K39" i="4"/>
  <c r="M39" i="4"/>
  <c r="O39" i="4"/>
  <c r="P39" i="4"/>
  <c r="Q39" i="4"/>
  <c r="N39" i="4"/>
  <c r="L32" i="4"/>
  <c r="M32" i="4"/>
  <c r="N32" i="4"/>
  <c r="O32" i="4"/>
  <c r="P32" i="4"/>
  <c r="Q32" i="4"/>
  <c r="R32" i="4"/>
  <c r="G32" i="4"/>
  <c r="S32" i="4"/>
  <c r="T32" i="4"/>
  <c r="I32" i="4"/>
  <c r="U32" i="4"/>
  <c r="J32" i="4"/>
  <c r="H32" i="4"/>
  <c r="K32" i="4"/>
  <c r="L8" i="4"/>
  <c r="M8" i="4"/>
  <c r="N8" i="4"/>
  <c r="O8" i="4"/>
  <c r="P8" i="4"/>
  <c r="Q8" i="4"/>
  <c r="J8" i="4"/>
  <c r="R8" i="4"/>
  <c r="S8" i="4"/>
  <c r="K8" i="4"/>
  <c r="T8" i="4"/>
  <c r="U8" i="4"/>
  <c r="I8" i="4"/>
  <c r="G8" i="4"/>
  <c r="H8" i="4"/>
  <c r="U18" i="4"/>
  <c r="G18" i="4"/>
  <c r="H18" i="4"/>
  <c r="P18" i="4"/>
  <c r="T18" i="4"/>
  <c r="I18" i="4"/>
  <c r="J18" i="4"/>
  <c r="K18" i="4"/>
  <c r="L18" i="4"/>
  <c r="M18" i="4"/>
  <c r="N18" i="4"/>
  <c r="Q18" i="4"/>
  <c r="O18" i="4"/>
  <c r="S18" i="4"/>
  <c r="R18" i="4"/>
  <c r="L28" i="4"/>
  <c r="M28" i="4"/>
  <c r="N28" i="4"/>
  <c r="O28" i="4"/>
  <c r="P28" i="4"/>
  <c r="Q28" i="4"/>
  <c r="R28" i="4"/>
  <c r="G28" i="4"/>
  <c r="S28" i="4"/>
  <c r="T28" i="4"/>
  <c r="K28" i="4"/>
  <c r="U28" i="4"/>
  <c r="J28" i="4"/>
  <c r="H28" i="4"/>
  <c r="I28" i="4"/>
  <c r="G34" i="4"/>
  <c r="H34" i="4"/>
  <c r="L34" i="4"/>
  <c r="M34" i="4"/>
  <c r="P34" i="4"/>
  <c r="I34" i="4"/>
  <c r="Q34" i="4"/>
  <c r="J34" i="4"/>
  <c r="K34" i="4"/>
  <c r="S34" i="4"/>
  <c r="R34" i="4"/>
  <c r="N34" i="4"/>
  <c r="O34" i="4"/>
  <c r="U34" i="4"/>
  <c r="T34" i="4"/>
  <c r="L24" i="4"/>
  <c r="M24" i="4"/>
  <c r="K24" i="4"/>
  <c r="N24" i="4"/>
  <c r="O24" i="4"/>
  <c r="P24" i="4"/>
  <c r="Q24" i="4"/>
  <c r="R24" i="4"/>
  <c r="U24" i="4"/>
  <c r="S24" i="4"/>
  <c r="G24" i="4"/>
  <c r="T24" i="4"/>
  <c r="J24" i="4"/>
  <c r="I24" i="4"/>
  <c r="H24" i="4"/>
  <c r="L36" i="4"/>
  <c r="M36" i="4"/>
  <c r="N36" i="4"/>
  <c r="O36" i="4"/>
  <c r="P36" i="4"/>
  <c r="Q36" i="4"/>
  <c r="R36" i="4"/>
  <c r="S36" i="4"/>
  <c r="H36" i="4"/>
  <c r="K36" i="4"/>
  <c r="T36" i="4"/>
  <c r="U36" i="4"/>
  <c r="G36" i="4"/>
  <c r="I36" i="4"/>
  <c r="J36" i="4"/>
  <c r="Y14" i="4"/>
  <c r="G14" i="4"/>
  <c r="H14" i="4"/>
  <c r="I14" i="4"/>
  <c r="T14" i="4"/>
  <c r="J14" i="4"/>
  <c r="K14" i="4"/>
  <c r="U14" i="4"/>
  <c r="L14" i="4"/>
  <c r="M14" i="4"/>
  <c r="N14" i="4"/>
  <c r="S14" i="4"/>
  <c r="O14" i="4"/>
  <c r="P14" i="4"/>
  <c r="Q14" i="4"/>
  <c r="R14" i="4"/>
  <c r="G30" i="4"/>
  <c r="H30" i="4"/>
  <c r="T30" i="4"/>
  <c r="I30" i="4"/>
  <c r="U30" i="4"/>
  <c r="J30" i="4"/>
  <c r="K30" i="4"/>
  <c r="L30" i="4"/>
  <c r="P30" i="4"/>
  <c r="M30" i="4"/>
  <c r="N30" i="4"/>
  <c r="O30" i="4"/>
  <c r="S30" i="4"/>
  <c r="Q30" i="4"/>
  <c r="R30" i="4"/>
  <c r="G27" i="4"/>
  <c r="H27" i="4"/>
  <c r="I27" i="4"/>
  <c r="J27" i="4"/>
  <c r="K27" i="4"/>
  <c r="L27" i="4"/>
  <c r="M27" i="4"/>
  <c r="Q27" i="4"/>
  <c r="N27" i="4"/>
  <c r="O27" i="4"/>
  <c r="P27" i="4"/>
  <c r="R27" i="4"/>
  <c r="S27" i="4"/>
  <c r="T27" i="4"/>
  <c r="U27" i="4"/>
  <c r="G35" i="4"/>
  <c r="H35" i="4"/>
  <c r="I35" i="4"/>
  <c r="J35" i="4"/>
  <c r="K35" i="4"/>
  <c r="L35" i="4"/>
  <c r="M35" i="4"/>
  <c r="P35" i="4"/>
  <c r="N35" i="4"/>
  <c r="O35" i="4"/>
  <c r="Q35" i="4"/>
  <c r="R35" i="4"/>
  <c r="S35" i="4"/>
  <c r="U35" i="4"/>
  <c r="T35" i="4"/>
  <c r="X25" i="4"/>
  <c r="Q25" i="4"/>
  <c r="R25" i="4"/>
  <c r="S25" i="4"/>
  <c r="T25" i="4"/>
  <c r="U25" i="4"/>
  <c r="O25" i="4"/>
  <c r="G25" i="4"/>
  <c r="H25" i="4"/>
  <c r="L25" i="4"/>
  <c r="P25" i="4"/>
  <c r="I25" i="4"/>
  <c r="K25" i="4"/>
  <c r="J25" i="4"/>
  <c r="Y25" i="4"/>
  <c r="N25" i="4"/>
  <c r="M25" i="4"/>
  <c r="Z81" i="4"/>
  <c r="Y81" i="4"/>
  <c r="X81" i="4"/>
  <c r="W81" i="4"/>
  <c r="V81" i="4"/>
  <c r="U81" i="4"/>
  <c r="T81" i="4"/>
  <c r="S81" i="4"/>
  <c r="R81" i="4"/>
  <c r="P81" i="4"/>
  <c r="AI81" i="4"/>
  <c r="O81" i="4"/>
  <c r="AB81" i="4"/>
  <c r="AA81" i="4"/>
  <c r="Q81" i="4"/>
  <c r="N81" i="4"/>
  <c r="M81" i="4"/>
  <c r="L81" i="4"/>
  <c r="K81" i="4"/>
  <c r="J81" i="4"/>
  <c r="I81" i="4"/>
  <c r="H81" i="4"/>
  <c r="G81" i="4"/>
  <c r="AH81" i="4"/>
  <c r="AG81" i="4"/>
  <c r="AF81" i="4"/>
  <c r="AE81" i="4"/>
  <c r="AD81" i="4"/>
  <c r="AC81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AI15" i="4"/>
  <c r="U96" i="4"/>
  <c r="T96" i="4"/>
  <c r="S96" i="4"/>
  <c r="R96" i="4"/>
  <c r="Q96" i="4"/>
  <c r="P96" i="4"/>
  <c r="AI96" i="4"/>
  <c r="O96" i="4"/>
  <c r="AH96" i="4"/>
  <c r="N96" i="4"/>
  <c r="AG96" i="4"/>
  <c r="M96" i="4"/>
  <c r="AF96" i="4"/>
  <c r="L96" i="4"/>
  <c r="AE96" i="4"/>
  <c r="K96" i="4"/>
  <c r="AD96" i="4"/>
  <c r="J96" i="4"/>
  <c r="AC96" i="4"/>
  <c r="I96" i="4"/>
  <c r="AA96" i="4"/>
  <c r="G96" i="4"/>
  <c r="AB96" i="4"/>
  <c r="Z96" i="4"/>
  <c r="Y96" i="4"/>
  <c r="X96" i="4"/>
  <c r="W96" i="4"/>
  <c r="V96" i="4"/>
  <c r="H96" i="4"/>
  <c r="AF69" i="4"/>
  <c r="L69" i="4"/>
  <c r="AE69" i="4"/>
  <c r="K69" i="4"/>
  <c r="AD69" i="4"/>
  <c r="J69" i="4"/>
  <c r="AC69" i="4"/>
  <c r="I69" i="4"/>
  <c r="AB69" i="4"/>
  <c r="H69" i="4"/>
  <c r="AA69" i="4"/>
  <c r="G69" i="4"/>
  <c r="Z69" i="4"/>
  <c r="Y69" i="4"/>
  <c r="X69" i="4"/>
  <c r="W69" i="4"/>
  <c r="V69" i="4"/>
  <c r="U69" i="4"/>
  <c r="T69" i="4"/>
  <c r="S69" i="4"/>
  <c r="R69" i="4"/>
  <c r="Q69" i="4"/>
  <c r="P69" i="4"/>
  <c r="AI69" i="4"/>
  <c r="O69" i="4"/>
  <c r="AH69" i="4"/>
  <c r="AG69" i="4"/>
  <c r="N69" i="4"/>
  <c r="M69" i="4"/>
  <c r="U117" i="4"/>
  <c r="T117" i="4"/>
  <c r="S117" i="4"/>
  <c r="R117" i="4"/>
  <c r="Q117" i="4"/>
  <c r="P117" i="4"/>
  <c r="AI117" i="4"/>
  <c r="O117" i="4"/>
  <c r="AH117" i="4"/>
  <c r="N117" i="4"/>
  <c r="AG117" i="4"/>
  <c r="M117" i="4"/>
  <c r="AF117" i="4"/>
  <c r="L117" i="4"/>
  <c r="AE117" i="4"/>
  <c r="K117" i="4"/>
  <c r="AD117" i="4"/>
  <c r="J117" i="4"/>
  <c r="AC117" i="4"/>
  <c r="I117" i="4"/>
  <c r="AB117" i="4"/>
  <c r="H117" i="4"/>
  <c r="AA117" i="4"/>
  <c r="G117" i="4"/>
  <c r="Z117" i="4"/>
  <c r="Y117" i="4"/>
  <c r="X117" i="4"/>
  <c r="W117" i="4"/>
  <c r="V117" i="4"/>
  <c r="AG125" i="4"/>
  <c r="M125" i="4"/>
  <c r="AF125" i="4"/>
  <c r="L125" i="4"/>
  <c r="AE125" i="4"/>
  <c r="K125" i="4"/>
  <c r="AD125" i="4"/>
  <c r="J125" i="4"/>
  <c r="AC125" i="4"/>
  <c r="I125" i="4"/>
  <c r="AB125" i="4"/>
  <c r="H125" i="4"/>
  <c r="AA125" i="4"/>
  <c r="G125" i="4"/>
  <c r="Z125" i="4"/>
  <c r="Y125" i="4"/>
  <c r="X125" i="4"/>
  <c r="W125" i="4"/>
  <c r="V125" i="4"/>
  <c r="U125" i="4"/>
  <c r="T125" i="4"/>
  <c r="S125" i="4"/>
  <c r="R125" i="4"/>
  <c r="Q125" i="4"/>
  <c r="P125" i="4"/>
  <c r="AI125" i="4"/>
  <c r="O125" i="4"/>
  <c r="AH125" i="4"/>
  <c r="N125" i="4"/>
  <c r="Z122" i="4"/>
  <c r="Y122" i="4"/>
  <c r="X122" i="4"/>
  <c r="W122" i="4"/>
  <c r="V122" i="4"/>
  <c r="U122" i="4"/>
  <c r="T122" i="4"/>
  <c r="S122" i="4"/>
  <c r="R122" i="4"/>
  <c r="Q122" i="4"/>
  <c r="P122" i="4"/>
  <c r="AI122" i="4"/>
  <c r="O122" i="4"/>
  <c r="AH122" i="4"/>
  <c r="N122" i="4"/>
  <c r="AG122" i="4"/>
  <c r="M122" i="4"/>
  <c r="AF122" i="4"/>
  <c r="L122" i="4"/>
  <c r="AE122" i="4"/>
  <c r="K122" i="4"/>
  <c r="AD122" i="4"/>
  <c r="J122" i="4"/>
  <c r="AC122" i="4"/>
  <c r="I122" i="4"/>
  <c r="AB122" i="4"/>
  <c r="H122" i="4"/>
  <c r="AA122" i="4"/>
  <c r="G122" i="4"/>
  <c r="W47" i="4"/>
  <c r="V47" i="4"/>
  <c r="U47" i="4"/>
  <c r="T47" i="4"/>
  <c r="S47" i="4"/>
  <c r="R47" i="4"/>
  <c r="Q47" i="4"/>
  <c r="P47" i="4"/>
  <c r="AI47" i="4"/>
  <c r="O47" i="4"/>
  <c r="AH47" i="4"/>
  <c r="N47" i="4"/>
  <c r="AG47" i="4"/>
  <c r="M47" i="4"/>
  <c r="AF47" i="4"/>
  <c r="L47" i="4"/>
  <c r="AE47" i="4"/>
  <c r="K47" i="4"/>
  <c r="AD47" i="4"/>
  <c r="J47" i="4"/>
  <c r="AC47" i="4"/>
  <c r="AB47" i="4"/>
  <c r="AA47" i="4"/>
  <c r="Z47" i="4"/>
  <c r="Y47" i="4"/>
  <c r="X47" i="4"/>
  <c r="I47" i="4"/>
  <c r="H47" i="4"/>
  <c r="G47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AD19" i="4"/>
  <c r="AC19" i="4"/>
  <c r="AB19" i="4"/>
  <c r="AE19" i="4"/>
  <c r="AA19" i="4"/>
  <c r="Z19" i="4"/>
  <c r="Y19" i="4"/>
  <c r="X19" i="4"/>
  <c r="W19" i="4"/>
  <c r="V19" i="4"/>
  <c r="AI19" i="4"/>
  <c r="AF19" i="4"/>
  <c r="AH19" i="4"/>
  <c r="AG19" i="4"/>
  <c r="R42" i="4"/>
  <c r="Q42" i="4"/>
  <c r="P42" i="4"/>
  <c r="AI42" i="4"/>
  <c r="O42" i="4"/>
  <c r="AH42" i="4"/>
  <c r="N42" i="4"/>
  <c r="AG42" i="4"/>
  <c r="M42" i="4"/>
  <c r="AF42" i="4"/>
  <c r="L42" i="4"/>
  <c r="AE42" i="4"/>
  <c r="K42" i="4"/>
  <c r="AD42" i="4"/>
  <c r="J42" i="4"/>
  <c r="AC42" i="4"/>
  <c r="I42" i="4"/>
  <c r="AB42" i="4"/>
  <c r="H42" i="4"/>
  <c r="AA42" i="4"/>
  <c r="G42" i="4"/>
  <c r="Z42" i="4"/>
  <c r="X42" i="4"/>
  <c r="W42" i="4"/>
  <c r="V42" i="4"/>
  <c r="U42" i="4"/>
  <c r="T42" i="4"/>
  <c r="S42" i="4"/>
  <c r="Y42" i="4"/>
  <c r="AE39" i="4"/>
  <c r="AD39" i="4"/>
  <c r="AC39" i="4"/>
  <c r="AB39" i="4"/>
  <c r="AA39" i="4"/>
  <c r="Z39" i="4"/>
  <c r="Y39" i="4"/>
  <c r="X39" i="4"/>
  <c r="W39" i="4"/>
  <c r="V39" i="4"/>
  <c r="AI39" i="4"/>
  <c r="AH39" i="4"/>
  <c r="AG39" i="4"/>
  <c r="AF39" i="4"/>
  <c r="T108" i="4"/>
  <c r="S108" i="4"/>
  <c r="R108" i="4"/>
  <c r="Q108" i="4"/>
  <c r="P108" i="4"/>
  <c r="AI108" i="4"/>
  <c r="O108" i="4"/>
  <c r="AH108" i="4"/>
  <c r="N108" i="4"/>
  <c r="AG108" i="4"/>
  <c r="M108" i="4"/>
  <c r="AF108" i="4"/>
  <c r="L108" i="4"/>
  <c r="AE108" i="4"/>
  <c r="K108" i="4"/>
  <c r="AD108" i="4"/>
  <c r="J108" i="4"/>
  <c r="AC108" i="4"/>
  <c r="I108" i="4"/>
  <c r="AB108" i="4"/>
  <c r="H108" i="4"/>
  <c r="AA108" i="4"/>
  <c r="G108" i="4"/>
  <c r="Z108" i="4"/>
  <c r="Y108" i="4"/>
  <c r="X108" i="4"/>
  <c r="W108" i="4"/>
  <c r="V108" i="4"/>
  <c r="U108" i="4"/>
  <c r="AF95" i="4"/>
  <c r="L95" i="4"/>
  <c r="AE95" i="4"/>
  <c r="K95" i="4"/>
  <c r="AD95" i="4"/>
  <c r="J95" i="4"/>
  <c r="AC95" i="4"/>
  <c r="I95" i="4"/>
  <c r="AB95" i="4"/>
  <c r="H95" i="4"/>
  <c r="AA95" i="4"/>
  <c r="G95" i="4"/>
  <c r="Z95" i="4"/>
  <c r="Y95" i="4"/>
  <c r="X95" i="4"/>
  <c r="W95" i="4"/>
  <c r="V95" i="4"/>
  <c r="U95" i="4"/>
  <c r="T95" i="4"/>
  <c r="Q95" i="4"/>
  <c r="P95" i="4"/>
  <c r="O95" i="4"/>
  <c r="N95" i="4"/>
  <c r="M95" i="4"/>
  <c r="AI95" i="4"/>
  <c r="AH95" i="4"/>
  <c r="AG95" i="4"/>
  <c r="S95" i="4"/>
  <c r="R95" i="4"/>
  <c r="U49" i="4"/>
  <c r="T49" i="4"/>
  <c r="S49" i="4"/>
  <c r="R49" i="4"/>
  <c r="Q49" i="4"/>
  <c r="P49" i="4"/>
  <c r="AI49" i="4"/>
  <c r="O49" i="4"/>
  <c r="AH49" i="4"/>
  <c r="N49" i="4"/>
  <c r="AG49" i="4"/>
  <c r="M49" i="4"/>
  <c r="AF49" i="4"/>
  <c r="L49" i="4"/>
  <c r="AE49" i="4"/>
  <c r="K49" i="4"/>
  <c r="AD49" i="4"/>
  <c r="J49" i="4"/>
  <c r="AC49" i="4"/>
  <c r="I49" i="4"/>
  <c r="AB49" i="4"/>
  <c r="H49" i="4"/>
  <c r="AA49" i="4"/>
  <c r="Z49" i="4"/>
  <c r="Y49" i="4"/>
  <c r="X49" i="4"/>
  <c r="W49" i="4"/>
  <c r="V49" i="4"/>
  <c r="G49" i="4"/>
  <c r="X11" i="4"/>
  <c r="AI11" i="4"/>
  <c r="AH11" i="4"/>
  <c r="AG11" i="4"/>
  <c r="AF11" i="4"/>
  <c r="AE11" i="4"/>
  <c r="AD11" i="4"/>
  <c r="AB11" i="4"/>
  <c r="AA11" i="4"/>
  <c r="V11" i="4"/>
  <c r="AC11" i="4"/>
  <c r="Y11" i="4"/>
  <c r="Z11" i="4"/>
  <c r="W11" i="4"/>
  <c r="R62" i="4"/>
  <c r="Q62" i="4"/>
  <c r="P62" i="4"/>
  <c r="AI62" i="4"/>
  <c r="O62" i="4"/>
  <c r="AH62" i="4"/>
  <c r="N62" i="4"/>
  <c r="AG62" i="4"/>
  <c r="M62" i="4"/>
  <c r="AF62" i="4"/>
  <c r="L62" i="4"/>
  <c r="AE62" i="4"/>
  <c r="K62" i="4"/>
  <c r="AD62" i="4"/>
  <c r="J62" i="4"/>
  <c r="AC62" i="4"/>
  <c r="I62" i="4"/>
  <c r="AB62" i="4"/>
  <c r="H62" i="4"/>
  <c r="AA62" i="4"/>
  <c r="G62" i="4"/>
  <c r="Z62" i="4"/>
  <c r="Y62" i="4"/>
  <c r="X62" i="4"/>
  <c r="W62" i="4"/>
  <c r="V62" i="4"/>
  <c r="U62" i="4"/>
  <c r="T62" i="4"/>
  <c r="S62" i="4"/>
  <c r="AE59" i="4"/>
  <c r="K59" i="4"/>
  <c r="AD59" i="4"/>
  <c r="J59" i="4"/>
  <c r="AC59" i="4"/>
  <c r="I59" i="4"/>
  <c r="AB59" i="4"/>
  <c r="H59" i="4"/>
  <c r="AA59" i="4"/>
  <c r="G59" i="4"/>
  <c r="Z59" i="4"/>
  <c r="Y59" i="4"/>
  <c r="X59" i="4"/>
  <c r="W59" i="4"/>
  <c r="V59" i="4"/>
  <c r="U59" i="4"/>
  <c r="T59" i="4"/>
  <c r="S59" i="4"/>
  <c r="R59" i="4"/>
  <c r="Q59" i="4"/>
  <c r="P59" i="4"/>
  <c r="AI59" i="4"/>
  <c r="O59" i="4"/>
  <c r="AH59" i="4"/>
  <c r="N59" i="4"/>
  <c r="AG59" i="4"/>
  <c r="AF59" i="4"/>
  <c r="M59" i="4"/>
  <c r="L59" i="4"/>
  <c r="T128" i="4"/>
  <c r="S128" i="4"/>
  <c r="R128" i="4"/>
  <c r="Q128" i="4"/>
  <c r="P128" i="4"/>
  <c r="AI128" i="4"/>
  <c r="O128" i="4"/>
  <c r="AH128" i="4"/>
  <c r="N128" i="4"/>
  <c r="AG128" i="4"/>
  <c r="M128" i="4"/>
  <c r="AF128" i="4"/>
  <c r="L128" i="4"/>
  <c r="AE128" i="4"/>
  <c r="K128" i="4"/>
  <c r="AD128" i="4"/>
  <c r="J128" i="4"/>
  <c r="AC128" i="4"/>
  <c r="I128" i="4"/>
  <c r="AB128" i="4"/>
  <c r="H128" i="4"/>
  <c r="AA128" i="4"/>
  <c r="G128" i="4"/>
  <c r="Z128" i="4"/>
  <c r="Y128" i="4"/>
  <c r="X128" i="4"/>
  <c r="W128" i="4"/>
  <c r="V128" i="4"/>
  <c r="U128" i="4"/>
  <c r="AF116" i="4"/>
  <c r="L116" i="4"/>
  <c r="AE116" i="4"/>
  <c r="K116" i="4"/>
  <c r="AD116" i="4"/>
  <c r="J116" i="4"/>
  <c r="AC116" i="4"/>
  <c r="I116" i="4"/>
  <c r="AB116" i="4"/>
  <c r="H116" i="4"/>
  <c r="AA116" i="4"/>
  <c r="G116" i="4"/>
  <c r="Z116" i="4"/>
  <c r="Y116" i="4"/>
  <c r="X116" i="4"/>
  <c r="W116" i="4"/>
  <c r="V116" i="4"/>
  <c r="U116" i="4"/>
  <c r="T116" i="4"/>
  <c r="S116" i="4"/>
  <c r="R116" i="4"/>
  <c r="Q116" i="4"/>
  <c r="P116" i="4"/>
  <c r="AI116" i="4"/>
  <c r="O116" i="4"/>
  <c r="AH116" i="4"/>
  <c r="N116" i="4"/>
  <c r="AG116" i="4"/>
  <c r="M116" i="4"/>
  <c r="AI29" i="4"/>
  <c r="AH29" i="4"/>
  <c r="AG29" i="4"/>
  <c r="AF29" i="4"/>
  <c r="AE29" i="4"/>
  <c r="AD29" i="4"/>
  <c r="AC29" i="4"/>
  <c r="AB29" i="4"/>
  <c r="AA29" i="4"/>
  <c r="Z29" i="4"/>
  <c r="Y29" i="4"/>
  <c r="V29" i="4"/>
  <c r="X29" i="4"/>
  <c r="W29" i="4"/>
  <c r="W16" i="4"/>
  <c r="V16" i="4"/>
  <c r="AC16" i="4"/>
  <c r="AI16" i="4"/>
  <c r="AH16" i="4"/>
  <c r="AG16" i="4"/>
  <c r="AF16" i="4"/>
  <c r="X16" i="4"/>
  <c r="AE16" i="4"/>
  <c r="AD16" i="4"/>
  <c r="Y16" i="4"/>
  <c r="AB16" i="4"/>
  <c r="AA16" i="4"/>
  <c r="Z16" i="4"/>
  <c r="AG84" i="4"/>
  <c r="M84" i="4"/>
  <c r="AF84" i="4"/>
  <c r="L84" i="4"/>
  <c r="AE84" i="4"/>
  <c r="K84" i="4"/>
  <c r="AD84" i="4"/>
  <c r="J84" i="4"/>
  <c r="AC84" i="4"/>
  <c r="I84" i="4"/>
  <c r="AB84" i="4"/>
  <c r="H84" i="4"/>
  <c r="AA84" i="4"/>
  <c r="G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AI84" i="4"/>
  <c r="AH84" i="4"/>
  <c r="Y65" i="4"/>
  <c r="X65" i="4"/>
  <c r="W65" i="4"/>
  <c r="V65" i="4"/>
  <c r="U65" i="4"/>
  <c r="T65" i="4"/>
  <c r="S65" i="4"/>
  <c r="R65" i="4"/>
  <c r="Q65" i="4"/>
  <c r="P65" i="4"/>
  <c r="AI65" i="4"/>
  <c r="O65" i="4"/>
  <c r="AH65" i="4"/>
  <c r="N65" i="4"/>
  <c r="AG65" i="4"/>
  <c r="M65" i="4"/>
  <c r="AF65" i="4"/>
  <c r="L65" i="4"/>
  <c r="AE65" i="4"/>
  <c r="K65" i="4"/>
  <c r="AD65" i="4"/>
  <c r="J65" i="4"/>
  <c r="AC65" i="4"/>
  <c r="I65" i="4"/>
  <c r="AB65" i="4"/>
  <c r="H65" i="4"/>
  <c r="AA65" i="4"/>
  <c r="Z65" i="4"/>
  <c r="G65" i="4"/>
  <c r="X56" i="4"/>
  <c r="W56" i="4"/>
  <c r="V56" i="4"/>
  <c r="U56" i="4"/>
  <c r="T56" i="4"/>
  <c r="S56" i="4"/>
  <c r="R56" i="4"/>
  <c r="Q56" i="4"/>
  <c r="P56" i="4"/>
  <c r="AI56" i="4"/>
  <c r="O56" i="4"/>
  <c r="AH56" i="4"/>
  <c r="N56" i="4"/>
  <c r="AG56" i="4"/>
  <c r="M56" i="4"/>
  <c r="AF56" i="4"/>
  <c r="L56" i="4"/>
  <c r="AE56" i="4"/>
  <c r="K56" i="4"/>
  <c r="AD56" i="4"/>
  <c r="J56" i="4"/>
  <c r="AC56" i="4"/>
  <c r="I56" i="4"/>
  <c r="AB56" i="4"/>
  <c r="H56" i="4"/>
  <c r="AA56" i="4"/>
  <c r="G56" i="4"/>
  <c r="Z56" i="4"/>
  <c r="Y56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AD50" i="4"/>
  <c r="J50" i="4"/>
  <c r="AC50" i="4"/>
  <c r="I50" i="4"/>
  <c r="AB50" i="4"/>
  <c r="H50" i="4"/>
  <c r="AA50" i="4"/>
  <c r="G50" i="4"/>
  <c r="Z50" i="4"/>
  <c r="Y50" i="4"/>
  <c r="X50" i="4"/>
  <c r="W50" i="4"/>
  <c r="V50" i="4"/>
  <c r="U50" i="4"/>
  <c r="T50" i="4"/>
  <c r="S50" i="4"/>
  <c r="R50" i="4"/>
  <c r="Q50" i="4"/>
  <c r="AE50" i="4"/>
  <c r="P50" i="4"/>
  <c r="O50" i="4"/>
  <c r="N50" i="4"/>
  <c r="M50" i="4"/>
  <c r="L50" i="4"/>
  <c r="K50" i="4"/>
  <c r="AG50" i="4"/>
  <c r="AI50" i="4"/>
  <c r="AH50" i="4"/>
  <c r="AF50" i="4"/>
  <c r="S98" i="4"/>
  <c r="R98" i="4"/>
  <c r="Q98" i="4"/>
  <c r="P98" i="4"/>
  <c r="AI98" i="4"/>
  <c r="O98" i="4"/>
  <c r="AH98" i="4"/>
  <c r="N98" i="4"/>
  <c r="AG98" i="4"/>
  <c r="M98" i="4"/>
  <c r="AF98" i="4"/>
  <c r="L98" i="4"/>
  <c r="AE98" i="4"/>
  <c r="K98" i="4"/>
  <c r="AD98" i="4"/>
  <c r="J98" i="4"/>
  <c r="AC98" i="4"/>
  <c r="I98" i="4"/>
  <c r="AB98" i="4"/>
  <c r="H98" i="4"/>
  <c r="AA98" i="4"/>
  <c r="G98" i="4"/>
  <c r="Z98" i="4"/>
  <c r="Y98" i="4"/>
  <c r="X98" i="4"/>
  <c r="W98" i="4"/>
  <c r="V98" i="4"/>
  <c r="U98" i="4"/>
  <c r="T98" i="4"/>
  <c r="AE86" i="4"/>
  <c r="K86" i="4"/>
  <c r="AD86" i="4"/>
  <c r="J86" i="4"/>
  <c r="AC86" i="4"/>
  <c r="I86" i="4"/>
  <c r="AB86" i="4"/>
  <c r="H86" i="4"/>
  <c r="AA86" i="4"/>
  <c r="G86" i="4"/>
  <c r="Z86" i="4"/>
  <c r="Y86" i="4"/>
  <c r="X86" i="4"/>
  <c r="W86" i="4"/>
  <c r="V86" i="4"/>
  <c r="U86" i="4"/>
  <c r="T86" i="4"/>
  <c r="O86" i="4"/>
  <c r="N86" i="4"/>
  <c r="M86" i="4"/>
  <c r="L86" i="4"/>
  <c r="AI86" i="4"/>
  <c r="AH86" i="4"/>
  <c r="AG86" i="4"/>
  <c r="AF86" i="4"/>
  <c r="S86" i="4"/>
  <c r="R86" i="4"/>
  <c r="P86" i="4"/>
  <c r="Q86" i="4"/>
  <c r="AC10" i="4"/>
  <c r="AB10" i="4"/>
  <c r="AA10" i="4"/>
  <c r="Z10" i="4"/>
  <c r="Y10" i="4"/>
  <c r="X10" i="4"/>
  <c r="W10" i="4"/>
  <c r="V10" i="4"/>
  <c r="AI10" i="4"/>
  <c r="AG10" i="4"/>
  <c r="AH10" i="4"/>
  <c r="AD10" i="4"/>
  <c r="AE10" i="4"/>
  <c r="AF10" i="4"/>
  <c r="Q53" i="4"/>
  <c r="P53" i="4"/>
  <c r="AI53" i="4"/>
  <c r="O53" i="4"/>
  <c r="AH53" i="4"/>
  <c r="N53" i="4"/>
  <c r="AG53" i="4"/>
  <c r="M53" i="4"/>
  <c r="AF53" i="4"/>
  <c r="L53" i="4"/>
  <c r="AE53" i="4"/>
  <c r="K53" i="4"/>
  <c r="AD53" i="4"/>
  <c r="J53" i="4"/>
  <c r="AC53" i="4"/>
  <c r="I53" i="4"/>
  <c r="AB53" i="4"/>
  <c r="H53" i="4"/>
  <c r="AA53" i="4"/>
  <c r="G53" i="4"/>
  <c r="Z53" i="4"/>
  <c r="Y53" i="4"/>
  <c r="X53" i="4"/>
  <c r="V53" i="4"/>
  <c r="U53" i="4"/>
  <c r="T53" i="4"/>
  <c r="W53" i="4"/>
  <c r="S53" i="4"/>
  <c r="R53" i="4"/>
  <c r="AD71" i="4"/>
  <c r="J71" i="4"/>
  <c r="AC71" i="4"/>
  <c r="I71" i="4"/>
  <c r="AB71" i="4"/>
  <c r="H71" i="4"/>
  <c r="AA71" i="4"/>
  <c r="G71" i="4"/>
  <c r="Z71" i="4"/>
  <c r="Y71" i="4"/>
  <c r="X71" i="4"/>
  <c r="W71" i="4"/>
  <c r="V71" i="4"/>
  <c r="U71" i="4"/>
  <c r="T71" i="4"/>
  <c r="S71" i="4"/>
  <c r="R71" i="4"/>
  <c r="Q71" i="4"/>
  <c r="P71" i="4"/>
  <c r="AI71" i="4"/>
  <c r="O71" i="4"/>
  <c r="AH71" i="4"/>
  <c r="N71" i="4"/>
  <c r="AG71" i="4"/>
  <c r="M71" i="4"/>
  <c r="AF71" i="4"/>
  <c r="AE71" i="4"/>
  <c r="L71" i="4"/>
  <c r="K71" i="4"/>
  <c r="S119" i="4"/>
  <c r="R119" i="4"/>
  <c r="Q119" i="4"/>
  <c r="P119" i="4"/>
  <c r="AI119" i="4"/>
  <c r="O119" i="4"/>
  <c r="AH119" i="4"/>
  <c r="N119" i="4"/>
  <c r="AG119" i="4"/>
  <c r="M119" i="4"/>
  <c r="AF119" i="4"/>
  <c r="L119" i="4"/>
  <c r="AE119" i="4"/>
  <c r="K119" i="4"/>
  <c r="AD119" i="4"/>
  <c r="J119" i="4"/>
  <c r="AC119" i="4"/>
  <c r="I119" i="4"/>
  <c r="AB119" i="4"/>
  <c r="H119" i="4"/>
  <c r="AA119" i="4"/>
  <c r="G119" i="4"/>
  <c r="Z119" i="4"/>
  <c r="Y119" i="4"/>
  <c r="X119" i="4"/>
  <c r="W119" i="4"/>
  <c r="V119" i="4"/>
  <c r="U119" i="4"/>
  <c r="T119" i="4"/>
  <c r="AE107" i="4"/>
  <c r="K107" i="4"/>
  <c r="AD107" i="4"/>
  <c r="J107" i="4"/>
  <c r="AC107" i="4"/>
  <c r="I107" i="4"/>
  <c r="AB107" i="4"/>
  <c r="H107" i="4"/>
  <c r="AA107" i="4"/>
  <c r="G107" i="4"/>
  <c r="Z107" i="4"/>
  <c r="Y107" i="4"/>
  <c r="X107" i="4"/>
  <c r="W107" i="4"/>
  <c r="V107" i="4"/>
  <c r="U107" i="4"/>
  <c r="T107" i="4"/>
  <c r="S107" i="4"/>
  <c r="R107" i="4"/>
  <c r="Q107" i="4"/>
  <c r="P107" i="4"/>
  <c r="AI107" i="4"/>
  <c r="O107" i="4"/>
  <c r="AH107" i="4"/>
  <c r="N107" i="4"/>
  <c r="AG107" i="4"/>
  <c r="M107" i="4"/>
  <c r="AF107" i="4"/>
  <c r="L107" i="4"/>
  <c r="AG105" i="4"/>
  <c r="M105" i="4"/>
  <c r="AF105" i="4"/>
  <c r="L105" i="4"/>
  <c r="AE105" i="4"/>
  <c r="K105" i="4"/>
  <c r="AD105" i="4"/>
  <c r="J105" i="4"/>
  <c r="AC105" i="4"/>
  <c r="I105" i="4"/>
  <c r="AB105" i="4"/>
  <c r="H105" i="4"/>
  <c r="AA105" i="4"/>
  <c r="G105" i="4"/>
  <c r="Z105" i="4"/>
  <c r="Y105" i="4"/>
  <c r="X105" i="4"/>
  <c r="W105" i="4"/>
  <c r="V105" i="4"/>
  <c r="U105" i="4"/>
  <c r="T105" i="4"/>
  <c r="S105" i="4"/>
  <c r="R105" i="4"/>
  <c r="Q105" i="4"/>
  <c r="P105" i="4"/>
  <c r="AI105" i="4"/>
  <c r="AH105" i="4"/>
  <c r="O105" i="4"/>
  <c r="N105" i="4"/>
  <c r="AE28" i="4"/>
  <c r="AD28" i="4"/>
  <c r="AC28" i="4"/>
  <c r="AB28" i="4"/>
  <c r="AA28" i="4"/>
  <c r="Z28" i="4"/>
  <c r="Y28" i="4"/>
  <c r="X28" i="4"/>
  <c r="W28" i="4"/>
  <c r="V28" i="4"/>
  <c r="AF28" i="4"/>
  <c r="AI28" i="4"/>
  <c r="AH28" i="4"/>
  <c r="AG28" i="4"/>
  <c r="Q74" i="4"/>
  <c r="P74" i="4"/>
  <c r="AI74" i="4"/>
  <c r="O74" i="4"/>
  <c r="AH74" i="4"/>
  <c r="N74" i="4"/>
  <c r="AG74" i="4"/>
  <c r="M74" i="4"/>
  <c r="AF74" i="4"/>
  <c r="L74" i="4"/>
  <c r="AE74" i="4"/>
  <c r="K74" i="4"/>
  <c r="AD74" i="4"/>
  <c r="J74" i="4"/>
  <c r="AC74" i="4"/>
  <c r="I74" i="4"/>
  <c r="AB74" i="4"/>
  <c r="H74" i="4"/>
  <c r="AA74" i="4"/>
  <c r="G74" i="4"/>
  <c r="Z74" i="4"/>
  <c r="Y74" i="4"/>
  <c r="X74" i="4"/>
  <c r="W74" i="4"/>
  <c r="V74" i="4"/>
  <c r="U74" i="4"/>
  <c r="T74" i="4"/>
  <c r="R74" i="4"/>
  <c r="S74" i="4"/>
  <c r="AC41" i="4"/>
  <c r="I41" i="4"/>
  <c r="AB41" i="4"/>
  <c r="H41" i="4"/>
  <c r="AA41" i="4"/>
  <c r="G41" i="4"/>
  <c r="Z41" i="4"/>
  <c r="Y41" i="4"/>
  <c r="X41" i="4"/>
  <c r="W41" i="4"/>
  <c r="V41" i="4"/>
  <c r="U41" i="4"/>
  <c r="T41" i="4"/>
  <c r="S41" i="4"/>
  <c r="R41" i="4"/>
  <c r="Q41" i="4"/>
  <c r="AI41" i="4"/>
  <c r="AH41" i="4"/>
  <c r="J41" i="4"/>
  <c r="AG41" i="4"/>
  <c r="AF41" i="4"/>
  <c r="AE41" i="4"/>
  <c r="AD41" i="4"/>
  <c r="P41" i="4"/>
  <c r="O41" i="4"/>
  <c r="N41" i="4"/>
  <c r="M41" i="4"/>
  <c r="L41" i="4"/>
  <c r="K41" i="4"/>
  <c r="R89" i="4"/>
  <c r="Q89" i="4"/>
  <c r="P89" i="4"/>
  <c r="AI89" i="4"/>
  <c r="O89" i="4"/>
  <c r="AH89" i="4"/>
  <c r="N89" i="4"/>
  <c r="AG89" i="4"/>
  <c r="M89" i="4"/>
  <c r="AF89" i="4"/>
  <c r="L89" i="4"/>
  <c r="AE89" i="4"/>
  <c r="K89" i="4"/>
  <c r="AD89" i="4"/>
  <c r="J89" i="4"/>
  <c r="AC89" i="4"/>
  <c r="I89" i="4"/>
  <c r="AB89" i="4"/>
  <c r="H89" i="4"/>
  <c r="AA89" i="4"/>
  <c r="G89" i="4"/>
  <c r="Z89" i="4"/>
  <c r="Y89" i="4"/>
  <c r="X89" i="4"/>
  <c r="W89" i="4"/>
  <c r="V89" i="4"/>
  <c r="U89" i="4"/>
  <c r="T89" i="4"/>
  <c r="S89" i="4"/>
  <c r="AE127" i="4"/>
  <c r="K127" i="4"/>
  <c r="AD127" i="4"/>
  <c r="J127" i="4"/>
  <c r="AC127" i="4"/>
  <c r="I127" i="4"/>
  <c r="AB127" i="4"/>
  <c r="H127" i="4"/>
  <c r="AA127" i="4"/>
  <c r="G127" i="4"/>
  <c r="Z127" i="4"/>
  <c r="Y127" i="4"/>
  <c r="X127" i="4"/>
  <c r="W127" i="4"/>
  <c r="V127" i="4"/>
  <c r="U127" i="4"/>
  <c r="T127" i="4"/>
  <c r="S127" i="4"/>
  <c r="R127" i="4"/>
  <c r="Q127" i="4"/>
  <c r="P127" i="4"/>
  <c r="AI127" i="4"/>
  <c r="O127" i="4"/>
  <c r="AH127" i="4"/>
  <c r="N127" i="4"/>
  <c r="AG127" i="4"/>
  <c r="M127" i="4"/>
  <c r="AF127" i="4"/>
  <c r="L127" i="4"/>
  <c r="Y45" i="4"/>
  <c r="X45" i="4"/>
  <c r="W45" i="4"/>
  <c r="V45" i="4"/>
  <c r="U45" i="4"/>
  <c r="T45" i="4"/>
  <c r="S45" i="4"/>
  <c r="R45" i="4"/>
  <c r="Q45" i="4"/>
  <c r="P45" i="4"/>
  <c r="AI45" i="4"/>
  <c r="O45" i="4"/>
  <c r="AH45" i="4"/>
  <c r="N45" i="4"/>
  <c r="AG45" i="4"/>
  <c r="M45" i="4"/>
  <c r="AF45" i="4"/>
  <c r="AE45" i="4"/>
  <c r="AD45" i="4"/>
  <c r="AC45" i="4"/>
  <c r="AB45" i="4"/>
  <c r="AA45" i="4"/>
  <c r="Z45" i="4"/>
  <c r="L45" i="4"/>
  <c r="K45" i="4"/>
  <c r="J45" i="4"/>
  <c r="I45" i="4"/>
  <c r="H45" i="4"/>
  <c r="G45" i="4"/>
  <c r="Z23" i="4"/>
  <c r="Y23" i="4"/>
  <c r="X23" i="4"/>
  <c r="W23" i="4"/>
  <c r="V23" i="4"/>
  <c r="AA23" i="4"/>
  <c r="AI23" i="4"/>
  <c r="AH23" i="4"/>
  <c r="AG23" i="4"/>
  <c r="AF23" i="4"/>
  <c r="AE23" i="4"/>
  <c r="AD23" i="4"/>
  <c r="AC23" i="4"/>
  <c r="AB23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P44" i="4"/>
  <c r="AI44" i="4"/>
  <c r="O44" i="4"/>
  <c r="AH44" i="4"/>
  <c r="N44" i="4"/>
  <c r="AG44" i="4"/>
  <c r="M44" i="4"/>
  <c r="AF44" i="4"/>
  <c r="L44" i="4"/>
  <c r="AE44" i="4"/>
  <c r="K44" i="4"/>
  <c r="AD44" i="4"/>
  <c r="J44" i="4"/>
  <c r="AC44" i="4"/>
  <c r="I44" i="4"/>
  <c r="AB44" i="4"/>
  <c r="H44" i="4"/>
  <c r="AA44" i="4"/>
  <c r="G44" i="4"/>
  <c r="Z44" i="4"/>
  <c r="Y44" i="4"/>
  <c r="X44" i="4"/>
  <c r="U44" i="4"/>
  <c r="T44" i="4"/>
  <c r="S44" i="4"/>
  <c r="W44" i="4"/>
  <c r="R44" i="4"/>
  <c r="Q44" i="4"/>
  <c r="V44" i="4"/>
  <c r="AC61" i="4"/>
  <c r="I61" i="4"/>
  <c r="AB61" i="4"/>
  <c r="H61" i="4"/>
  <c r="AA61" i="4"/>
  <c r="G61" i="4"/>
  <c r="Z61" i="4"/>
  <c r="Y61" i="4"/>
  <c r="X61" i="4"/>
  <c r="W61" i="4"/>
  <c r="V61" i="4"/>
  <c r="U61" i="4"/>
  <c r="T61" i="4"/>
  <c r="S61" i="4"/>
  <c r="R61" i="4"/>
  <c r="Q61" i="4"/>
  <c r="P61" i="4"/>
  <c r="AI61" i="4"/>
  <c r="O61" i="4"/>
  <c r="AH61" i="4"/>
  <c r="N61" i="4"/>
  <c r="AG61" i="4"/>
  <c r="M61" i="4"/>
  <c r="AF61" i="4"/>
  <c r="L61" i="4"/>
  <c r="AE61" i="4"/>
  <c r="AD61" i="4"/>
  <c r="K61" i="4"/>
  <c r="J61" i="4"/>
  <c r="R110" i="4"/>
  <c r="Q110" i="4"/>
  <c r="P110" i="4"/>
  <c r="AI110" i="4"/>
  <c r="O110" i="4"/>
  <c r="AH110" i="4"/>
  <c r="N110" i="4"/>
  <c r="AG110" i="4"/>
  <c r="M110" i="4"/>
  <c r="AF110" i="4"/>
  <c r="L110" i="4"/>
  <c r="AE110" i="4"/>
  <c r="K110" i="4"/>
  <c r="AD110" i="4"/>
  <c r="J110" i="4"/>
  <c r="AC110" i="4"/>
  <c r="I110" i="4"/>
  <c r="AB110" i="4"/>
  <c r="H110" i="4"/>
  <c r="AA110" i="4"/>
  <c r="G110" i="4"/>
  <c r="Z110" i="4"/>
  <c r="Y110" i="4"/>
  <c r="X110" i="4"/>
  <c r="W110" i="4"/>
  <c r="V110" i="4"/>
  <c r="U110" i="4"/>
  <c r="T110" i="4"/>
  <c r="S110" i="4"/>
  <c r="AD77" i="4"/>
  <c r="J77" i="4"/>
  <c r="AC77" i="4"/>
  <c r="I77" i="4"/>
  <c r="AB77" i="4"/>
  <c r="H77" i="4"/>
  <c r="AA77" i="4"/>
  <c r="G77" i="4"/>
  <c r="Z77" i="4"/>
  <c r="Y77" i="4"/>
  <c r="X77" i="4"/>
  <c r="W77" i="4"/>
  <c r="V77" i="4"/>
  <c r="T77" i="4"/>
  <c r="S77" i="4"/>
  <c r="O77" i="4"/>
  <c r="N77" i="4"/>
  <c r="M77" i="4"/>
  <c r="L77" i="4"/>
  <c r="K77" i="4"/>
  <c r="AI77" i="4"/>
  <c r="AH77" i="4"/>
  <c r="AG77" i="4"/>
  <c r="AF77" i="4"/>
  <c r="AE77" i="4"/>
  <c r="U77" i="4"/>
  <c r="R77" i="4"/>
  <c r="Q77" i="4"/>
  <c r="P77" i="4"/>
  <c r="AF48" i="4"/>
  <c r="L48" i="4"/>
  <c r="AE48" i="4"/>
  <c r="K48" i="4"/>
  <c r="AD48" i="4"/>
  <c r="J48" i="4"/>
  <c r="AC48" i="4"/>
  <c r="I48" i="4"/>
  <c r="AB48" i="4"/>
  <c r="H48" i="4"/>
  <c r="AA48" i="4"/>
  <c r="G48" i="4"/>
  <c r="Z48" i="4"/>
  <c r="Y48" i="4"/>
  <c r="X48" i="4"/>
  <c r="W48" i="4"/>
  <c r="V48" i="4"/>
  <c r="U48" i="4"/>
  <c r="T48" i="4"/>
  <c r="S48" i="4"/>
  <c r="Q48" i="4"/>
  <c r="AG48" i="4"/>
  <c r="R48" i="4"/>
  <c r="P48" i="4"/>
  <c r="O48" i="4"/>
  <c r="N48" i="4"/>
  <c r="M48" i="4"/>
  <c r="AI48" i="4"/>
  <c r="AH48" i="4"/>
  <c r="P64" i="4"/>
  <c r="AI64" i="4"/>
  <c r="O64" i="4"/>
  <c r="AH64" i="4"/>
  <c r="N64" i="4"/>
  <c r="AG64" i="4"/>
  <c r="M64" i="4"/>
  <c r="AF64" i="4"/>
  <c r="L64" i="4"/>
  <c r="AE64" i="4"/>
  <c r="K64" i="4"/>
  <c r="AD64" i="4"/>
  <c r="J64" i="4"/>
  <c r="AC64" i="4"/>
  <c r="I64" i="4"/>
  <c r="AB64" i="4"/>
  <c r="H64" i="4"/>
  <c r="AA64" i="4"/>
  <c r="G64" i="4"/>
  <c r="Z64" i="4"/>
  <c r="Y64" i="4"/>
  <c r="X64" i="4"/>
  <c r="W64" i="4"/>
  <c r="V64" i="4"/>
  <c r="U64" i="4"/>
  <c r="T64" i="4"/>
  <c r="S64" i="4"/>
  <c r="R64" i="4"/>
  <c r="Q64" i="4"/>
  <c r="AB31" i="4"/>
  <c r="AA31" i="4"/>
  <c r="Z31" i="4"/>
  <c r="Y31" i="4"/>
  <c r="X31" i="4"/>
  <c r="W31" i="4"/>
  <c r="V31" i="4"/>
  <c r="AC31" i="4"/>
  <c r="AI31" i="4"/>
  <c r="AH31" i="4"/>
  <c r="AG31" i="4"/>
  <c r="AF31" i="4"/>
  <c r="AE31" i="4"/>
  <c r="AD31" i="4"/>
  <c r="R131" i="4"/>
  <c r="Q131" i="4"/>
  <c r="P131" i="4"/>
  <c r="AI131" i="4"/>
  <c r="O131" i="4"/>
  <c r="AH131" i="4"/>
  <c r="N131" i="4"/>
  <c r="AG131" i="4"/>
  <c r="M131" i="4"/>
  <c r="AF131" i="4"/>
  <c r="L131" i="4"/>
  <c r="AE131" i="4"/>
  <c r="K131" i="4"/>
  <c r="AD131" i="4"/>
  <c r="J131" i="4"/>
  <c r="AC131" i="4"/>
  <c r="I131" i="4"/>
  <c r="AB131" i="4"/>
  <c r="H131" i="4"/>
  <c r="AA131" i="4"/>
  <c r="G131" i="4"/>
  <c r="Z131" i="4"/>
  <c r="Y131" i="4"/>
  <c r="X131" i="4"/>
  <c r="W131" i="4"/>
  <c r="V131" i="4"/>
  <c r="U131" i="4"/>
  <c r="T131" i="4"/>
  <c r="S131" i="4"/>
  <c r="AD97" i="4"/>
  <c r="J97" i="4"/>
  <c r="AC97" i="4"/>
  <c r="I97" i="4"/>
  <c r="AB97" i="4"/>
  <c r="H97" i="4"/>
  <c r="AA97" i="4"/>
  <c r="G97" i="4"/>
  <c r="Z97" i="4"/>
  <c r="Y97" i="4"/>
  <c r="X97" i="4"/>
  <c r="W97" i="4"/>
  <c r="V97" i="4"/>
  <c r="U97" i="4"/>
  <c r="T97" i="4"/>
  <c r="S97" i="4"/>
  <c r="R97" i="4"/>
  <c r="P97" i="4"/>
  <c r="Q97" i="4"/>
  <c r="O97" i="4"/>
  <c r="N97" i="4"/>
  <c r="M97" i="4"/>
  <c r="L97" i="4"/>
  <c r="K97" i="4"/>
  <c r="AI97" i="4"/>
  <c r="AH97" i="4"/>
  <c r="AG97" i="4"/>
  <c r="AF97" i="4"/>
  <c r="AE97" i="4"/>
  <c r="AE8" i="4"/>
  <c r="AG8" i="4"/>
  <c r="AF8" i="4"/>
  <c r="AD8" i="4"/>
  <c r="AC8" i="4"/>
  <c r="AB8" i="4"/>
  <c r="AA8" i="4"/>
  <c r="Z8" i="4"/>
  <c r="Y8" i="4"/>
  <c r="X8" i="4"/>
  <c r="W8" i="4"/>
  <c r="V8" i="4"/>
  <c r="AI8" i="4"/>
  <c r="AH8" i="4"/>
  <c r="T87" i="4"/>
  <c r="S87" i="4"/>
  <c r="R87" i="4"/>
  <c r="Q87" i="4"/>
  <c r="P87" i="4"/>
  <c r="AI87" i="4"/>
  <c r="O87" i="4"/>
  <c r="AH87" i="4"/>
  <c r="N87" i="4"/>
  <c r="AG87" i="4"/>
  <c r="M87" i="4"/>
  <c r="AF87" i="4"/>
  <c r="L87" i="4"/>
  <c r="AE87" i="4"/>
  <c r="K87" i="4"/>
  <c r="AD87" i="4"/>
  <c r="J87" i="4"/>
  <c r="AC87" i="4"/>
  <c r="I87" i="4"/>
  <c r="AB87" i="4"/>
  <c r="H87" i="4"/>
  <c r="AA87" i="4"/>
  <c r="Z87" i="4"/>
  <c r="Y87" i="4"/>
  <c r="X87" i="4"/>
  <c r="W87" i="4"/>
  <c r="V87" i="4"/>
  <c r="U87" i="4"/>
  <c r="G87" i="4"/>
  <c r="AB52" i="4"/>
  <c r="H52" i="4"/>
  <c r="AA52" i="4"/>
  <c r="G52" i="4"/>
  <c r="Z52" i="4"/>
  <c r="Y52" i="4"/>
  <c r="X52" i="4"/>
  <c r="W52" i="4"/>
  <c r="V52" i="4"/>
  <c r="U52" i="4"/>
  <c r="T52" i="4"/>
  <c r="S52" i="4"/>
  <c r="R52" i="4"/>
  <c r="Q52" i="4"/>
  <c r="P52" i="4"/>
  <c r="AI52" i="4"/>
  <c r="O52" i="4"/>
  <c r="AG52" i="4"/>
  <c r="M52" i="4"/>
  <c r="AF52" i="4"/>
  <c r="L52" i="4"/>
  <c r="AE52" i="4"/>
  <c r="K52" i="4"/>
  <c r="AH52" i="4"/>
  <c r="AD52" i="4"/>
  <c r="AC52" i="4"/>
  <c r="N52" i="4"/>
  <c r="J52" i="4"/>
  <c r="I52" i="4"/>
  <c r="Q80" i="4"/>
  <c r="P80" i="4"/>
  <c r="AI80" i="4"/>
  <c r="O80" i="4"/>
  <c r="AH80" i="4"/>
  <c r="N80" i="4"/>
  <c r="AG80" i="4"/>
  <c r="M80" i="4"/>
  <c r="AF80" i="4"/>
  <c r="L80" i="4"/>
  <c r="AE80" i="4"/>
  <c r="K80" i="4"/>
  <c r="AD80" i="4"/>
  <c r="J80" i="4"/>
  <c r="AC80" i="4"/>
  <c r="I80" i="4"/>
  <c r="AA80" i="4"/>
  <c r="G80" i="4"/>
  <c r="Z80" i="4"/>
  <c r="H80" i="4"/>
  <c r="AB80" i="4"/>
  <c r="Y80" i="4"/>
  <c r="X80" i="4"/>
  <c r="W80" i="4"/>
  <c r="V80" i="4"/>
  <c r="U80" i="4"/>
  <c r="T80" i="4"/>
  <c r="S80" i="4"/>
  <c r="R80" i="4"/>
  <c r="AD118" i="4"/>
  <c r="J118" i="4"/>
  <c r="AC118" i="4"/>
  <c r="I118" i="4"/>
  <c r="AB118" i="4"/>
  <c r="H118" i="4"/>
  <c r="AA118" i="4"/>
  <c r="G118" i="4"/>
  <c r="Z118" i="4"/>
  <c r="Y118" i="4"/>
  <c r="X118" i="4"/>
  <c r="W118" i="4"/>
  <c r="V118" i="4"/>
  <c r="U118" i="4"/>
  <c r="T118" i="4"/>
  <c r="S118" i="4"/>
  <c r="R118" i="4"/>
  <c r="Q118" i="4"/>
  <c r="P118" i="4"/>
  <c r="AI118" i="4"/>
  <c r="O118" i="4"/>
  <c r="AH118" i="4"/>
  <c r="N118" i="4"/>
  <c r="AG118" i="4"/>
  <c r="M118" i="4"/>
  <c r="AF118" i="4"/>
  <c r="L118" i="4"/>
  <c r="AE118" i="4"/>
  <c r="K118" i="4"/>
  <c r="AA18" i="4"/>
  <c r="AI18" i="4"/>
  <c r="AH18" i="4"/>
  <c r="AG18" i="4"/>
  <c r="AF18" i="4"/>
  <c r="AE18" i="4"/>
  <c r="V18" i="4"/>
  <c r="AD18" i="4"/>
  <c r="AC18" i="4"/>
  <c r="AB18" i="4"/>
  <c r="Z18" i="4"/>
  <c r="Y18" i="4"/>
  <c r="X18" i="4"/>
  <c r="W18" i="4"/>
  <c r="AA12" i="4"/>
  <c r="AG12" i="4"/>
  <c r="Z12" i="4"/>
  <c r="Y12" i="4"/>
  <c r="X12" i="4"/>
  <c r="W12" i="4"/>
  <c r="V12" i="4"/>
  <c r="AI12" i="4"/>
  <c r="AH12" i="4"/>
  <c r="AF12" i="4"/>
  <c r="AB12" i="4"/>
  <c r="AE12" i="4"/>
  <c r="AD12" i="4"/>
  <c r="AC12" i="4"/>
  <c r="AB9" i="4"/>
  <c r="X9" i="4"/>
  <c r="V9" i="4"/>
  <c r="AI9" i="4"/>
  <c r="AH9" i="4"/>
  <c r="AG9" i="4"/>
  <c r="AF9" i="4"/>
  <c r="AE9" i="4"/>
  <c r="AD9" i="4"/>
  <c r="AC9" i="4"/>
  <c r="AA9" i="4"/>
  <c r="Z9" i="4"/>
  <c r="Y9" i="4"/>
  <c r="W9" i="4"/>
  <c r="Y113" i="4"/>
  <c r="X113" i="4"/>
  <c r="W113" i="4"/>
  <c r="V113" i="4"/>
  <c r="U113" i="4"/>
  <c r="T113" i="4"/>
  <c r="S113" i="4"/>
  <c r="R113" i="4"/>
  <c r="Q113" i="4"/>
  <c r="P113" i="4"/>
  <c r="AI113" i="4"/>
  <c r="O113" i="4"/>
  <c r="AH113" i="4"/>
  <c r="N113" i="4"/>
  <c r="AG113" i="4"/>
  <c r="M113" i="4"/>
  <c r="AF113" i="4"/>
  <c r="L113" i="4"/>
  <c r="AE113" i="4"/>
  <c r="K113" i="4"/>
  <c r="AD113" i="4"/>
  <c r="J113" i="4"/>
  <c r="AC113" i="4"/>
  <c r="I113" i="4"/>
  <c r="AB113" i="4"/>
  <c r="H113" i="4"/>
  <c r="AA113" i="4"/>
  <c r="G113" i="4"/>
  <c r="Z113" i="4"/>
  <c r="AB73" i="4"/>
  <c r="H73" i="4"/>
  <c r="AA73" i="4"/>
  <c r="G73" i="4"/>
  <c r="Z73" i="4"/>
  <c r="Y73" i="4"/>
  <c r="X73" i="4"/>
  <c r="W73" i="4"/>
  <c r="V73" i="4"/>
  <c r="U73" i="4"/>
  <c r="T73" i="4"/>
  <c r="S73" i="4"/>
  <c r="R73" i="4"/>
  <c r="Q73" i="4"/>
  <c r="P73" i="4"/>
  <c r="AI73" i="4"/>
  <c r="O73" i="4"/>
  <c r="AH73" i="4"/>
  <c r="N73" i="4"/>
  <c r="AG73" i="4"/>
  <c r="M73" i="4"/>
  <c r="AF73" i="4"/>
  <c r="L73" i="4"/>
  <c r="AE73" i="4"/>
  <c r="K73" i="4"/>
  <c r="AD73" i="4"/>
  <c r="AC73" i="4"/>
  <c r="J73" i="4"/>
  <c r="I73" i="4"/>
  <c r="Q101" i="4"/>
  <c r="P101" i="4"/>
  <c r="AI101" i="4"/>
  <c r="O101" i="4"/>
  <c r="AH101" i="4"/>
  <c r="N101" i="4"/>
  <c r="AG101" i="4"/>
  <c r="M101" i="4"/>
  <c r="AF101" i="4"/>
  <c r="L101" i="4"/>
  <c r="AE101" i="4"/>
  <c r="K101" i="4"/>
  <c r="AD101" i="4"/>
  <c r="J101" i="4"/>
  <c r="AC101" i="4"/>
  <c r="I101" i="4"/>
  <c r="AB101" i="4"/>
  <c r="H101" i="4"/>
  <c r="AA101" i="4"/>
  <c r="G101" i="4"/>
  <c r="Z101" i="4"/>
  <c r="Y101" i="4"/>
  <c r="X101" i="4"/>
  <c r="W101" i="4"/>
  <c r="V101" i="4"/>
  <c r="T101" i="4"/>
  <c r="U101" i="4"/>
  <c r="S101" i="4"/>
  <c r="R101" i="4"/>
  <c r="AC88" i="4"/>
  <c r="I88" i="4"/>
  <c r="AB88" i="4"/>
  <c r="H88" i="4"/>
  <c r="AA88" i="4"/>
  <c r="G88" i="4"/>
  <c r="Z88" i="4"/>
  <c r="Y88" i="4"/>
  <c r="X88" i="4"/>
  <c r="W88" i="4"/>
  <c r="V88" i="4"/>
  <c r="U88" i="4"/>
  <c r="T88" i="4"/>
  <c r="S88" i="4"/>
  <c r="R88" i="4"/>
  <c r="Q88" i="4"/>
  <c r="K88" i="4"/>
  <c r="J88" i="4"/>
  <c r="AI88" i="4"/>
  <c r="AH88" i="4"/>
  <c r="AG88" i="4"/>
  <c r="AF88" i="4"/>
  <c r="AE88" i="4"/>
  <c r="AD88" i="4"/>
  <c r="P88" i="4"/>
  <c r="O88" i="4"/>
  <c r="N88" i="4"/>
  <c r="M88" i="4"/>
  <c r="L88" i="4"/>
  <c r="S72" i="4"/>
  <c r="R72" i="4"/>
  <c r="Q72" i="4"/>
  <c r="P72" i="4"/>
  <c r="AI72" i="4"/>
  <c r="O72" i="4"/>
  <c r="AH72" i="4"/>
  <c r="N72" i="4"/>
  <c r="AG72" i="4"/>
  <c r="M72" i="4"/>
  <c r="AF72" i="4"/>
  <c r="L72" i="4"/>
  <c r="AE72" i="4"/>
  <c r="K72" i="4"/>
  <c r="AD72" i="4"/>
  <c r="J72" i="4"/>
  <c r="AC72" i="4"/>
  <c r="I72" i="4"/>
  <c r="AB72" i="4"/>
  <c r="H72" i="4"/>
  <c r="AA72" i="4"/>
  <c r="G72" i="4"/>
  <c r="Z72" i="4"/>
  <c r="Y72" i="4"/>
  <c r="X72" i="4"/>
  <c r="W72" i="4"/>
  <c r="V72" i="4"/>
  <c r="U72" i="4"/>
  <c r="T72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X83" i="4"/>
  <c r="W83" i="4"/>
  <c r="V83" i="4"/>
  <c r="U83" i="4"/>
  <c r="T83" i="4"/>
  <c r="S83" i="4"/>
  <c r="R83" i="4"/>
  <c r="Q83" i="4"/>
  <c r="P83" i="4"/>
  <c r="AI83" i="4"/>
  <c r="O83" i="4"/>
  <c r="AH83" i="4"/>
  <c r="N83" i="4"/>
  <c r="AG83" i="4"/>
  <c r="M83" i="4"/>
  <c r="H83" i="4"/>
  <c r="G83" i="4"/>
  <c r="AF83" i="4"/>
  <c r="AE83" i="4"/>
  <c r="AD83" i="4"/>
  <c r="AC83" i="4"/>
  <c r="AB83" i="4"/>
  <c r="AA83" i="4"/>
  <c r="Z83" i="4"/>
  <c r="Y83" i="4"/>
  <c r="L83" i="4"/>
  <c r="K83" i="4"/>
  <c r="J83" i="4"/>
  <c r="I83" i="4"/>
  <c r="Q121" i="4"/>
  <c r="P121" i="4"/>
  <c r="AI121" i="4"/>
  <c r="O121" i="4"/>
  <c r="AH121" i="4"/>
  <c r="N121" i="4"/>
  <c r="AG121" i="4"/>
  <c r="M121" i="4"/>
  <c r="AF121" i="4"/>
  <c r="L121" i="4"/>
  <c r="AE121" i="4"/>
  <c r="K121" i="4"/>
  <c r="AD121" i="4"/>
  <c r="J121" i="4"/>
  <c r="AC121" i="4"/>
  <c r="I121" i="4"/>
  <c r="AB121" i="4"/>
  <c r="H121" i="4"/>
  <c r="AA121" i="4"/>
  <c r="G121" i="4"/>
  <c r="Z121" i="4"/>
  <c r="Y121" i="4"/>
  <c r="X121" i="4"/>
  <c r="W121" i="4"/>
  <c r="V121" i="4"/>
  <c r="U121" i="4"/>
  <c r="T121" i="4"/>
  <c r="S121" i="4"/>
  <c r="R121" i="4"/>
  <c r="AC109" i="4"/>
  <c r="I109" i="4"/>
  <c r="AB109" i="4"/>
  <c r="H109" i="4"/>
  <c r="AA109" i="4"/>
  <c r="G109" i="4"/>
  <c r="Z109" i="4"/>
  <c r="Y109" i="4"/>
  <c r="X109" i="4"/>
  <c r="W109" i="4"/>
  <c r="V109" i="4"/>
  <c r="U109" i="4"/>
  <c r="T109" i="4"/>
  <c r="S109" i="4"/>
  <c r="R109" i="4"/>
  <c r="Q109" i="4"/>
  <c r="P109" i="4"/>
  <c r="AI109" i="4"/>
  <c r="O109" i="4"/>
  <c r="AH109" i="4"/>
  <c r="N109" i="4"/>
  <c r="AG109" i="4"/>
  <c r="M109" i="4"/>
  <c r="AF109" i="4"/>
  <c r="L109" i="4"/>
  <c r="AE109" i="4"/>
  <c r="K109" i="4"/>
  <c r="AD109" i="4"/>
  <c r="J109" i="4"/>
  <c r="X104" i="4"/>
  <c r="W104" i="4"/>
  <c r="V104" i="4"/>
  <c r="U104" i="4"/>
  <c r="T104" i="4"/>
  <c r="S104" i="4"/>
  <c r="R104" i="4"/>
  <c r="Q104" i="4"/>
  <c r="P104" i="4"/>
  <c r="AI104" i="4"/>
  <c r="O104" i="4"/>
  <c r="AH104" i="4"/>
  <c r="N104" i="4"/>
  <c r="AG104" i="4"/>
  <c r="M104" i="4"/>
  <c r="AF104" i="4"/>
  <c r="L104" i="4"/>
  <c r="AE104" i="4"/>
  <c r="K104" i="4"/>
  <c r="AD104" i="4"/>
  <c r="J104" i="4"/>
  <c r="AC104" i="4"/>
  <c r="I104" i="4"/>
  <c r="AB104" i="4"/>
  <c r="H104" i="4"/>
  <c r="AA104" i="4"/>
  <c r="G104" i="4"/>
  <c r="Z104" i="4"/>
  <c r="Y104" i="4"/>
  <c r="AI82" i="4"/>
  <c r="O82" i="4"/>
  <c r="AH82" i="4"/>
  <c r="N82" i="4"/>
  <c r="AG82" i="4"/>
  <c r="M82" i="4"/>
  <c r="AF82" i="4"/>
  <c r="L82" i="4"/>
  <c r="AE82" i="4"/>
  <c r="K82" i="4"/>
  <c r="AD82" i="4"/>
  <c r="J82" i="4"/>
  <c r="AC82" i="4"/>
  <c r="I82" i="4"/>
  <c r="AB82" i="4"/>
  <c r="H82" i="4"/>
  <c r="AA82" i="4"/>
  <c r="G82" i="4"/>
  <c r="Y82" i="4"/>
  <c r="X82" i="4"/>
  <c r="Z82" i="4"/>
  <c r="W82" i="4"/>
  <c r="V82" i="4"/>
  <c r="U82" i="4"/>
  <c r="T82" i="4"/>
  <c r="S82" i="4"/>
  <c r="R82" i="4"/>
  <c r="Q82" i="4"/>
  <c r="P82" i="4"/>
  <c r="AB21" i="4"/>
  <c r="AA21" i="4"/>
  <c r="Z21" i="4"/>
  <c r="Y21" i="4"/>
  <c r="X21" i="4"/>
  <c r="W21" i="4"/>
  <c r="V21" i="4"/>
  <c r="AD21" i="4"/>
  <c r="AI21" i="4"/>
  <c r="AH21" i="4"/>
  <c r="AG21" i="4"/>
  <c r="AF21" i="4"/>
  <c r="AE21" i="4"/>
  <c r="AC21" i="4"/>
  <c r="AF17" i="4"/>
  <c r="AH17" i="4"/>
  <c r="AE17" i="4"/>
  <c r="AD17" i="4"/>
  <c r="AC17" i="4"/>
  <c r="AB17" i="4"/>
  <c r="AA17" i="4"/>
  <c r="Z17" i="4"/>
  <c r="Y17" i="4"/>
  <c r="X17" i="4"/>
  <c r="AG17" i="4"/>
  <c r="W17" i="4"/>
  <c r="V17" i="4"/>
  <c r="AI17" i="4"/>
  <c r="W67" i="4"/>
  <c r="V67" i="4"/>
  <c r="U67" i="4"/>
  <c r="T67" i="4"/>
  <c r="S67" i="4"/>
  <c r="R67" i="4"/>
  <c r="Q67" i="4"/>
  <c r="P67" i="4"/>
  <c r="AI67" i="4"/>
  <c r="O67" i="4"/>
  <c r="AH67" i="4"/>
  <c r="N67" i="4"/>
  <c r="AG67" i="4"/>
  <c r="M67" i="4"/>
  <c r="AF67" i="4"/>
  <c r="L67" i="4"/>
  <c r="AE67" i="4"/>
  <c r="K67" i="4"/>
  <c r="AD67" i="4"/>
  <c r="J67" i="4"/>
  <c r="AC67" i="4"/>
  <c r="I67" i="4"/>
  <c r="AB67" i="4"/>
  <c r="H67" i="4"/>
  <c r="AA67" i="4"/>
  <c r="G67" i="4"/>
  <c r="Z67" i="4"/>
  <c r="Y67" i="4"/>
  <c r="X67" i="4"/>
  <c r="AI55" i="4"/>
  <c r="O55" i="4"/>
  <c r="AH55" i="4"/>
  <c r="N55" i="4"/>
  <c r="AG55" i="4"/>
  <c r="M55" i="4"/>
  <c r="AF55" i="4"/>
  <c r="L55" i="4"/>
  <c r="AE55" i="4"/>
  <c r="K55" i="4"/>
  <c r="AD55" i="4"/>
  <c r="J55" i="4"/>
  <c r="AC55" i="4"/>
  <c r="I55" i="4"/>
  <c r="AB55" i="4"/>
  <c r="H55" i="4"/>
  <c r="AA55" i="4"/>
  <c r="G55" i="4"/>
  <c r="Z55" i="4"/>
  <c r="Y55" i="4"/>
  <c r="X55" i="4"/>
  <c r="W55" i="4"/>
  <c r="V55" i="4"/>
  <c r="U55" i="4"/>
  <c r="T55" i="4"/>
  <c r="S55" i="4"/>
  <c r="R55" i="4"/>
  <c r="Q55" i="4"/>
  <c r="P55" i="4"/>
  <c r="AA43" i="4"/>
  <c r="G43" i="4"/>
  <c r="Z43" i="4"/>
  <c r="Y43" i="4"/>
  <c r="X43" i="4"/>
  <c r="W43" i="4"/>
  <c r="V43" i="4"/>
  <c r="U43" i="4"/>
  <c r="T43" i="4"/>
  <c r="S43" i="4"/>
  <c r="R43" i="4"/>
  <c r="Q43" i="4"/>
  <c r="P43" i="4"/>
  <c r="AI43" i="4"/>
  <c r="O43" i="4"/>
  <c r="AH43" i="4"/>
  <c r="AG43" i="4"/>
  <c r="AF43" i="4"/>
  <c r="AE43" i="4"/>
  <c r="AD43" i="4"/>
  <c r="AC43" i="4"/>
  <c r="AB43" i="4"/>
  <c r="N43" i="4"/>
  <c r="M43" i="4"/>
  <c r="L43" i="4"/>
  <c r="K43" i="4"/>
  <c r="J43" i="4"/>
  <c r="I43" i="4"/>
  <c r="H43" i="4"/>
  <c r="P91" i="4"/>
  <c r="AI91" i="4"/>
  <c r="O91" i="4"/>
  <c r="AH91" i="4"/>
  <c r="N91" i="4"/>
  <c r="AG91" i="4"/>
  <c r="M91" i="4"/>
  <c r="AF91" i="4"/>
  <c r="L91" i="4"/>
  <c r="AE91" i="4"/>
  <c r="K91" i="4"/>
  <c r="AD91" i="4"/>
  <c r="J91" i="4"/>
  <c r="AC91" i="4"/>
  <c r="I91" i="4"/>
  <c r="AB91" i="4"/>
  <c r="H91" i="4"/>
  <c r="AA91" i="4"/>
  <c r="G91" i="4"/>
  <c r="Z91" i="4"/>
  <c r="Y91" i="4"/>
  <c r="X91" i="4"/>
  <c r="W91" i="4"/>
  <c r="V91" i="4"/>
  <c r="U91" i="4"/>
  <c r="T91" i="4"/>
  <c r="S91" i="4"/>
  <c r="R91" i="4"/>
  <c r="Q91" i="4"/>
  <c r="AC129" i="4"/>
  <c r="I129" i="4"/>
  <c r="AB129" i="4"/>
  <c r="H129" i="4"/>
  <c r="AA129" i="4"/>
  <c r="G129" i="4"/>
  <c r="Z129" i="4"/>
  <c r="Y129" i="4"/>
  <c r="X129" i="4"/>
  <c r="W129" i="4"/>
  <c r="V129" i="4"/>
  <c r="U129" i="4"/>
  <c r="T129" i="4"/>
  <c r="S129" i="4"/>
  <c r="R129" i="4"/>
  <c r="Q129" i="4"/>
  <c r="P129" i="4"/>
  <c r="AI129" i="4"/>
  <c r="O129" i="4"/>
  <c r="AH129" i="4"/>
  <c r="N129" i="4"/>
  <c r="AG129" i="4"/>
  <c r="M129" i="4"/>
  <c r="AF129" i="4"/>
  <c r="L129" i="4"/>
  <c r="AE129" i="4"/>
  <c r="K129" i="4"/>
  <c r="AD129" i="4"/>
  <c r="J129" i="4"/>
  <c r="V126" i="4"/>
  <c r="U126" i="4"/>
  <c r="T126" i="4"/>
  <c r="S126" i="4"/>
  <c r="R126" i="4"/>
  <c r="Q126" i="4"/>
  <c r="P126" i="4"/>
  <c r="AI126" i="4"/>
  <c r="O126" i="4"/>
  <c r="AH126" i="4"/>
  <c r="N126" i="4"/>
  <c r="AG126" i="4"/>
  <c r="M126" i="4"/>
  <c r="AF126" i="4"/>
  <c r="L126" i="4"/>
  <c r="AE126" i="4"/>
  <c r="K126" i="4"/>
  <c r="AD126" i="4"/>
  <c r="J126" i="4"/>
  <c r="AC126" i="4"/>
  <c r="I126" i="4"/>
  <c r="AB126" i="4"/>
  <c r="H126" i="4"/>
  <c r="AA126" i="4"/>
  <c r="G126" i="4"/>
  <c r="Z126" i="4"/>
  <c r="Y126" i="4"/>
  <c r="X126" i="4"/>
  <c r="W126" i="4"/>
  <c r="V58" i="4"/>
  <c r="U58" i="4"/>
  <c r="T58" i="4"/>
  <c r="S58" i="4"/>
  <c r="R58" i="4"/>
  <c r="Q58" i="4"/>
  <c r="P58" i="4"/>
  <c r="AI58" i="4"/>
  <c r="O58" i="4"/>
  <c r="AH58" i="4"/>
  <c r="N58" i="4"/>
  <c r="AG58" i="4"/>
  <c r="M58" i="4"/>
  <c r="AF58" i="4"/>
  <c r="L58" i="4"/>
  <c r="AE58" i="4"/>
  <c r="K58" i="4"/>
  <c r="AD58" i="4"/>
  <c r="J58" i="4"/>
  <c r="AC58" i="4"/>
  <c r="I58" i="4"/>
  <c r="AB58" i="4"/>
  <c r="H58" i="4"/>
  <c r="AA58" i="4"/>
  <c r="G58" i="4"/>
  <c r="Z58" i="4"/>
  <c r="Y58" i="4"/>
  <c r="X58" i="4"/>
  <c r="W58" i="4"/>
  <c r="AI76" i="4"/>
  <c r="AH76" i="4"/>
  <c r="AG76" i="4"/>
  <c r="AE76" i="4"/>
  <c r="AD76" i="4"/>
  <c r="O76" i="4"/>
  <c r="N76" i="4"/>
  <c r="M76" i="4"/>
  <c r="L76" i="4"/>
  <c r="K76" i="4"/>
  <c r="AF76" i="4"/>
  <c r="J76" i="4"/>
  <c r="AC76" i="4"/>
  <c r="I76" i="4"/>
  <c r="AB76" i="4"/>
  <c r="H76" i="4"/>
  <c r="AA76" i="4"/>
  <c r="G76" i="4"/>
  <c r="Z76" i="4"/>
  <c r="Y76" i="4"/>
  <c r="X76" i="4"/>
  <c r="W76" i="4"/>
  <c r="V76" i="4"/>
  <c r="U76" i="4"/>
  <c r="T76" i="4"/>
  <c r="S76" i="4"/>
  <c r="R76" i="4"/>
  <c r="Q76" i="4"/>
  <c r="P76" i="4"/>
  <c r="AA63" i="4"/>
  <c r="G63" i="4"/>
  <c r="Z63" i="4"/>
  <c r="Y63" i="4"/>
  <c r="X63" i="4"/>
  <c r="W63" i="4"/>
  <c r="V63" i="4"/>
  <c r="U63" i="4"/>
  <c r="T63" i="4"/>
  <c r="S63" i="4"/>
  <c r="R63" i="4"/>
  <c r="Q63" i="4"/>
  <c r="P63" i="4"/>
  <c r="AI63" i="4"/>
  <c r="O63" i="4"/>
  <c r="AH63" i="4"/>
  <c r="N63" i="4"/>
  <c r="AG63" i="4"/>
  <c r="M63" i="4"/>
  <c r="AF63" i="4"/>
  <c r="L63" i="4"/>
  <c r="AE63" i="4"/>
  <c r="K63" i="4"/>
  <c r="AD63" i="4"/>
  <c r="J63" i="4"/>
  <c r="AC63" i="4"/>
  <c r="AB63" i="4"/>
  <c r="I63" i="4"/>
  <c r="H63" i="4"/>
  <c r="P112" i="4"/>
  <c r="AI112" i="4"/>
  <c r="O112" i="4"/>
  <c r="AH112" i="4"/>
  <c r="N112" i="4"/>
  <c r="AG112" i="4"/>
  <c r="M112" i="4"/>
  <c r="AF112" i="4"/>
  <c r="L112" i="4"/>
  <c r="AE112" i="4"/>
  <c r="K112" i="4"/>
  <c r="AD112" i="4"/>
  <c r="J112" i="4"/>
  <c r="AC112" i="4"/>
  <c r="I112" i="4"/>
  <c r="AB112" i="4"/>
  <c r="H112" i="4"/>
  <c r="AA112" i="4"/>
  <c r="G112" i="4"/>
  <c r="Z112" i="4"/>
  <c r="Y112" i="4"/>
  <c r="X112" i="4"/>
  <c r="W112" i="4"/>
  <c r="V112" i="4"/>
  <c r="U112" i="4"/>
  <c r="T112" i="4"/>
  <c r="S112" i="4"/>
  <c r="R112" i="4"/>
  <c r="Q112" i="4"/>
  <c r="AB79" i="4"/>
  <c r="H79" i="4"/>
  <c r="AA79" i="4"/>
  <c r="G79" i="4"/>
  <c r="Z79" i="4"/>
  <c r="Y79" i="4"/>
  <c r="X79" i="4"/>
  <c r="W79" i="4"/>
  <c r="V79" i="4"/>
  <c r="U79" i="4"/>
  <c r="T79" i="4"/>
  <c r="R79" i="4"/>
  <c r="Q79" i="4"/>
  <c r="AI79" i="4"/>
  <c r="AH79" i="4"/>
  <c r="AG79" i="4"/>
  <c r="AF79" i="4"/>
  <c r="AE79" i="4"/>
  <c r="AD79" i="4"/>
  <c r="AC79" i="4"/>
  <c r="S79" i="4"/>
  <c r="P79" i="4"/>
  <c r="O79" i="4"/>
  <c r="N79" i="4"/>
  <c r="M79" i="4"/>
  <c r="L79" i="4"/>
  <c r="K79" i="4"/>
  <c r="J79" i="4"/>
  <c r="I79" i="4"/>
  <c r="Z102" i="4"/>
  <c r="Y102" i="4"/>
  <c r="X102" i="4"/>
  <c r="W102" i="4"/>
  <c r="V102" i="4"/>
  <c r="U102" i="4"/>
  <c r="T102" i="4"/>
  <c r="S102" i="4"/>
  <c r="R102" i="4"/>
  <c r="Q102" i="4"/>
  <c r="P102" i="4"/>
  <c r="AI102" i="4"/>
  <c r="O102" i="4"/>
  <c r="AH102" i="4"/>
  <c r="N102" i="4"/>
  <c r="AG102" i="4"/>
  <c r="M102" i="4"/>
  <c r="AF102" i="4"/>
  <c r="L102" i="4"/>
  <c r="AE102" i="4"/>
  <c r="K102" i="4"/>
  <c r="AC102" i="4"/>
  <c r="I102" i="4"/>
  <c r="AD102" i="4"/>
  <c r="AB102" i="4"/>
  <c r="AA102" i="4"/>
  <c r="J102" i="4"/>
  <c r="H102" i="4"/>
  <c r="G102" i="4"/>
  <c r="X13" i="4"/>
  <c r="W13" i="4"/>
  <c r="AI13" i="4"/>
  <c r="AH13" i="4"/>
  <c r="AG13" i="4"/>
  <c r="AF13" i="4"/>
  <c r="AE13" i="4"/>
  <c r="AD13" i="4"/>
  <c r="AC13" i="4"/>
  <c r="AB13" i="4"/>
  <c r="AA13" i="4"/>
  <c r="Z13" i="4"/>
  <c r="Y13" i="4"/>
  <c r="V13" i="4"/>
  <c r="V85" i="4"/>
  <c r="U85" i="4"/>
  <c r="T85" i="4"/>
  <c r="S85" i="4"/>
  <c r="R85" i="4"/>
  <c r="Q85" i="4"/>
  <c r="P85" i="4"/>
  <c r="AI85" i="4"/>
  <c r="O85" i="4"/>
  <c r="AH85" i="4"/>
  <c r="N85" i="4"/>
  <c r="AG85" i="4"/>
  <c r="M85" i="4"/>
  <c r="AF85" i="4"/>
  <c r="L85" i="4"/>
  <c r="AE85" i="4"/>
  <c r="K85" i="4"/>
  <c r="AD85" i="4"/>
  <c r="AC85" i="4"/>
  <c r="AB85" i="4"/>
  <c r="AA85" i="4"/>
  <c r="Z85" i="4"/>
  <c r="Y85" i="4"/>
  <c r="X85" i="4"/>
  <c r="W85" i="4"/>
  <c r="J85" i="4"/>
  <c r="I85" i="4"/>
  <c r="H85" i="4"/>
  <c r="G85" i="4"/>
  <c r="S78" i="4"/>
  <c r="R78" i="4"/>
  <c r="Q78" i="4"/>
  <c r="P78" i="4"/>
  <c r="AI78" i="4"/>
  <c r="O78" i="4"/>
  <c r="AH78" i="4"/>
  <c r="N78" i="4"/>
  <c r="AG78" i="4"/>
  <c r="M78" i="4"/>
  <c r="AF78" i="4"/>
  <c r="L78" i="4"/>
  <c r="AE78" i="4"/>
  <c r="K78" i="4"/>
  <c r="AC78" i="4"/>
  <c r="I78" i="4"/>
  <c r="AB78" i="4"/>
  <c r="H78" i="4"/>
  <c r="Z78" i="4"/>
  <c r="Y78" i="4"/>
  <c r="X78" i="4"/>
  <c r="W78" i="4"/>
  <c r="V78" i="4"/>
  <c r="U78" i="4"/>
  <c r="T78" i="4"/>
  <c r="J78" i="4"/>
  <c r="G78" i="4"/>
  <c r="AD78" i="4"/>
  <c r="AA78" i="4"/>
  <c r="Z33" i="4"/>
  <c r="Y33" i="4"/>
  <c r="X33" i="4"/>
  <c r="W33" i="4"/>
  <c r="V33" i="4"/>
  <c r="AI33" i="4"/>
  <c r="AH33" i="4"/>
  <c r="AG33" i="4"/>
  <c r="AF33" i="4"/>
  <c r="AE33" i="4"/>
  <c r="AD33" i="4"/>
  <c r="AC33" i="4"/>
  <c r="AB33" i="4"/>
  <c r="AA33" i="4"/>
  <c r="P133" i="4"/>
  <c r="AI133" i="4"/>
  <c r="O133" i="4"/>
  <c r="AH133" i="4"/>
  <c r="N133" i="4"/>
  <c r="AG133" i="4"/>
  <c r="M133" i="4"/>
  <c r="AF133" i="4"/>
  <c r="L133" i="4"/>
  <c r="AE133" i="4"/>
  <c r="K133" i="4"/>
  <c r="AD133" i="4"/>
  <c r="J133" i="4"/>
  <c r="AC133" i="4"/>
  <c r="I133" i="4"/>
  <c r="AB133" i="4"/>
  <c r="H133" i="4"/>
  <c r="AA133" i="4"/>
  <c r="G133" i="4"/>
  <c r="Z133" i="4"/>
  <c r="Y133" i="4"/>
  <c r="X133" i="4"/>
  <c r="W133" i="4"/>
  <c r="V133" i="4"/>
  <c r="U133" i="4"/>
  <c r="T133" i="4"/>
  <c r="S133" i="4"/>
  <c r="R133" i="4"/>
  <c r="Q133" i="4"/>
  <c r="AB100" i="4"/>
  <c r="H100" i="4"/>
  <c r="AA100" i="4"/>
  <c r="G100" i="4"/>
  <c r="Z100" i="4"/>
  <c r="Y100" i="4"/>
  <c r="X100" i="4"/>
  <c r="W100" i="4"/>
  <c r="V100" i="4"/>
  <c r="U100" i="4"/>
  <c r="T100" i="4"/>
  <c r="S100" i="4"/>
  <c r="R100" i="4"/>
  <c r="Q100" i="4"/>
  <c r="P100" i="4"/>
  <c r="AI100" i="4"/>
  <c r="O100" i="4"/>
  <c r="AH100" i="4"/>
  <c r="N100" i="4"/>
  <c r="AG100" i="4"/>
  <c r="AF100" i="4"/>
  <c r="AE100" i="4"/>
  <c r="AD100" i="4"/>
  <c r="AC100" i="4"/>
  <c r="M100" i="4"/>
  <c r="L100" i="4"/>
  <c r="K100" i="4"/>
  <c r="J100" i="4"/>
  <c r="I100" i="4"/>
  <c r="V27" i="4"/>
  <c r="X27" i="4"/>
  <c r="W27" i="4"/>
  <c r="AI27" i="4"/>
  <c r="AH27" i="4"/>
  <c r="AG27" i="4"/>
  <c r="AF27" i="4"/>
  <c r="AE27" i="4"/>
  <c r="AD27" i="4"/>
  <c r="AC27" i="4"/>
  <c r="AB27" i="4"/>
  <c r="AA27" i="4"/>
  <c r="Z27" i="4"/>
  <c r="Y27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AG26" i="4"/>
  <c r="AF26" i="4"/>
  <c r="AE26" i="4"/>
  <c r="AD26" i="4"/>
  <c r="AC26" i="4"/>
  <c r="AB26" i="4"/>
  <c r="AA26" i="4"/>
  <c r="Z26" i="4"/>
  <c r="Y26" i="4"/>
  <c r="X26" i="4"/>
  <c r="W26" i="4"/>
  <c r="V26" i="4"/>
  <c r="AI26" i="4"/>
  <c r="AH26" i="4"/>
  <c r="W94" i="4"/>
  <c r="V94" i="4"/>
  <c r="U94" i="4"/>
  <c r="T94" i="4"/>
  <c r="S94" i="4"/>
  <c r="R94" i="4"/>
  <c r="Q94" i="4"/>
  <c r="P94" i="4"/>
  <c r="AI94" i="4"/>
  <c r="O94" i="4"/>
  <c r="AH94" i="4"/>
  <c r="N94" i="4"/>
  <c r="AG94" i="4"/>
  <c r="M94" i="4"/>
  <c r="AF94" i="4"/>
  <c r="L94" i="4"/>
  <c r="AE94" i="4"/>
  <c r="K94" i="4"/>
  <c r="AD94" i="4"/>
  <c r="AC94" i="4"/>
  <c r="AB94" i="4"/>
  <c r="AA94" i="4"/>
  <c r="Z94" i="4"/>
  <c r="Y94" i="4"/>
  <c r="X94" i="4"/>
  <c r="J94" i="4"/>
  <c r="I94" i="4"/>
  <c r="H94" i="4"/>
  <c r="G94" i="4"/>
  <c r="AH46" i="4"/>
  <c r="N46" i="4"/>
  <c r="AG46" i="4"/>
  <c r="M46" i="4"/>
  <c r="AF46" i="4"/>
  <c r="L46" i="4"/>
  <c r="AE46" i="4"/>
  <c r="K46" i="4"/>
  <c r="AD46" i="4"/>
  <c r="J46" i="4"/>
  <c r="AC46" i="4"/>
  <c r="I46" i="4"/>
  <c r="AB46" i="4"/>
  <c r="H46" i="4"/>
  <c r="AA46" i="4"/>
  <c r="G46" i="4"/>
  <c r="Z46" i="4"/>
  <c r="Y46" i="4"/>
  <c r="X46" i="4"/>
  <c r="W46" i="4"/>
  <c r="V46" i="4"/>
  <c r="R46" i="4"/>
  <c r="Q46" i="4"/>
  <c r="P46" i="4"/>
  <c r="O46" i="4"/>
  <c r="S46" i="4"/>
  <c r="T46" i="4"/>
  <c r="AI46" i="4"/>
  <c r="U46" i="4"/>
  <c r="Z54" i="4"/>
  <c r="Y54" i="4"/>
  <c r="X54" i="4"/>
  <c r="W54" i="4"/>
  <c r="V54" i="4"/>
  <c r="U54" i="4"/>
  <c r="T54" i="4"/>
  <c r="S54" i="4"/>
  <c r="R54" i="4"/>
  <c r="Q54" i="4"/>
  <c r="P54" i="4"/>
  <c r="AI54" i="4"/>
  <c r="O54" i="4"/>
  <c r="AH54" i="4"/>
  <c r="N54" i="4"/>
  <c r="AG54" i="4"/>
  <c r="M54" i="4"/>
  <c r="AF54" i="4"/>
  <c r="AE54" i="4"/>
  <c r="K54" i="4"/>
  <c r="AD54" i="4"/>
  <c r="J54" i="4"/>
  <c r="AC54" i="4"/>
  <c r="I54" i="4"/>
  <c r="G54" i="4"/>
  <c r="H54" i="4"/>
  <c r="L54" i="4"/>
  <c r="AB54" i="4"/>
  <c r="AA54" i="4"/>
  <c r="AI103" i="4"/>
  <c r="O103" i="4"/>
  <c r="AH103" i="4"/>
  <c r="N103" i="4"/>
  <c r="AG103" i="4"/>
  <c r="M103" i="4"/>
  <c r="AF103" i="4"/>
  <c r="L103" i="4"/>
  <c r="AE103" i="4"/>
  <c r="K103" i="4"/>
  <c r="AD103" i="4"/>
  <c r="J103" i="4"/>
  <c r="AC103" i="4"/>
  <c r="I103" i="4"/>
  <c r="AB103" i="4"/>
  <c r="H103" i="4"/>
  <c r="AA103" i="4"/>
  <c r="G103" i="4"/>
  <c r="Z103" i="4"/>
  <c r="Y103" i="4"/>
  <c r="X103" i="4"/>
  <c r="W103" i="4"/>
  <c r="V103" i="4"/>
  <c r="U103" i="4"/>
  <c r="T103" i="4"/>
  <c r="S103" i="4"/>
  <c r="R103" i="4"/>
  <c r="Q103" i="4"/>
  <c r="P103" i="4"/>
  <c r="AB120" i="4"/>
  <c r="H120" i="4"/>
  <c r="AA120" i="4"/>
  <c r="G120" i="4"/>
  <c r="Z120" i="4"/>
  <c r="Y120" i="4"/>
  <c r="X120" i="4"/>
  <c r="W120" i="4"/>
  <c r="V120" i="4"/>
  <c r="U120" i="4"/>
  <c r="T120" i="4"/>
  <c r="S120" i="4"/>
  <c r="R120" i="4"/>
  <c r="Q120" i="4"/>
  <c r="P120" i="4"/>
  <c r="AI120" i="4"/>
  <c r="O120" i="4"/>
  <c r="AH120" i="4"/>
  <c r="N120" i="4"/>
  <c r="AG120" i="4"/>
  <c r="M120" i="4"/>
  <c r="AF120" i="4"/>
  <c r="L120" i="4"/>
  <c r="AE120" i="4"/>
  <c r="K120" i="4"/>
  <c r="AD120" i="4"/>
  <c r="J120" i="4"/>
  <c r="AC120" i="4"/>
  <c r="I12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70" i="4"/>
  <c r="T70" i="4"/>
  <c r="S70" i="4"/>
  <c r="R70" i="4"/>
  <c r="Q70" i="4"/>
  <c r="P70" i="4"/>
  <c r="AI70" i="4"/>
  <c r="O70" i="4"/>
  <c r="AH70" i="4"/>
  <c r="N70" i="4"/>
  <c r="AG70" i="4"/>
  <c r="M70" i="4"/>
  <c r="AF70" i="4"/>
  <c r="L70" i="4"/>
  <c r="AE70" i="4"/>
  <c r="K70" i="4"/>
  <c r="AD70" i="4"/>
  <c r="J70" i="4"/>
  <c r="AC70" i="4"/>
  <c r="I70" i="4"/>
  <c r="AB70" i="4"/>
  <c r="H70" i="4"/>
  <c r="AA70" i="4"/>
  <c r="G70" i="4"/>
  <c r="Z70" i="4"/>
  <c r="Y70" i="4"/>
  <c r="X70" i="4"/>
  <c r="W70" i="4"/>
  <c r="V70" i="4"/>
  <c r="AH66" i="4"/>
  <c r="N66" i="4"/>
  <c r="AG66" i="4"/>
  <c r="M66" i="4"/>
  <c r="AF66" i="4"/>
  <c r="L66" i="4"/>
  <c r="AE66" i="4"/>
  <c r="K66" i="4"/>
  <c r="AD66" i="4"/>
  <c r="J66" i="4"/>
  <c r="AC66" i="4"/>
  <c r="I66" i="4"/>
  <c r="AB66" i="4"/>
  <c r="H66" i="4"/>
  <c r="AA66" i="4"/>
  <c r="G66" i="4"/>
  <c r="Z66" i="4"/>
  <c r="Y66" i="4"/>
  <c r="X66" i="4"/>
  <c r="W66" i="4"/>
  <c r="V66" i="4"/>
  <c r="U66" i="4"/>
  <c r="T66" i="4"/>
  <c r="S66" i="4"/>
  <c r="R66" i="4"/>
  <c r="Q66" i="4"/>
  <c r="P66" i="4"/>
  <c r="O66" i="4"/>
  <c r="AI66" i="4"/>
  <c r="Z75" i="4"/>
  <c r="Y75" i="4"/>
  <c r="X75" i="4"/>
  <c r="W75" i="4"/>
  <c r="V75" i="4"/>
  <c r="U75" i="4"/>
  <c r="T75" i="4"/>
  <c r="S75" i="4"/>
  <c r="R75" i="4"/>
  <c r="Q75" i="4"/>
  <c r="P75" i="4"/>
  <c r="AI75" i="4"/>
  <c r="O75" i="4"/>
  <c r="AH75" i="4"/>
  <c r="N75" i="4"/>
  <c r="AG75" i="4"/>
  <c r="M75" i="4"/>
  <c r="AF75" i="4"/>
  <c r="L75" i="4"/>
  <c r="AE75" i="4"/>
  <c r="K75" i="4"/>
  <c r="AD75" i="4"/>
  <c r="J75" i="4"/>
  <c r="AC75" i="4"/>
  <c r="I75" i="4"/>
  <c r="AB75" i="4"/>
  <c r="AA75" i="4"/>
  <c r="H75" i="4"/>
  <c r="G75" i="4"/>
  <c r="AI123" i="4"/>
  <c r="O123" i="4"/>
  <c r="AH123" i="4"/>
  <c r="N123" i="4"/>
  <c r="AG123" i="4"/>
  <c r="M123" i="4"/>
  <c r="AF123" i="4"/>
  <c r="L123" i="4"/>
  <c r="AE123" i="4"/>
  <c r="K123" i="4"/>
  <c r="AD123" i="4"/>
  <c r="J123" i="4"/>
  <c r="AC123" i="4"/>
  <c r="I123" i="4"/>
  <c r="AB123" i="4"/>
  <c r="H123" i="4"/>
  <c r="AA123" i="4"/>
  <c r="G123" i="4"/>
  <c r="Z123" i="4"/>
  <c r="Y123" i="4"/>
  <c r="X123" i="4"/>
  <c r="W123" i="4"/>
  <c r="V123" i="4"/>
  <c r="U123" i="4"/>
  <c r="T123" i="4"/>
  <c r="S123" i="4"/>
  <c r="R123" i="4"/>
  <c r="Q123" i="4"/>
  <c r="P123" i="4"/>
  <c r="AA90" i="4"/>
  <c r="G90" i="4"/>
  <c r="Z90" i="4"/>
  <c r="Y90" i="4"/>
  <c r="X90" i="4"/>
  <c r="W90" i="4"/>
  <c r="V90" i="4"/>
  <c r="U90" i="4"/>
  <c r="T90" i="4"/>
  <c r="S90" i="4"/>
  <c r="R90" i="4"/>
  <c r="Q90" i="4"/>
  <c r="P90" i="4"/>
  <c r="AI90" i="4"/>
  <c r="O90" i="4"/>
  <c r="H90" i="4"/>
  <c r="AH90" i="4"/>
  <c r="AG90" i="4"/>
  <c r="AF90" i="4"/>
  <c r="AE90" i="4"/>
  <c r="AD90" i="4"/>
  <c r="AC90" i="4"/>
  <c r="AB90" i="4"/>
  <c r="N90" i="4"/>
  <c r="M90" i="4"/>
  <c r="L90" i="4"/>
  <c r="K90" i="4"/>
  <c r="J90" i="4"/>
  <c r="I90" i="4"/>
  <c r="T60" i="4"/>
  <c r="S60" i="4"/>
  <c r="R60" i="4"/>
  <c r="Q60" i="4"/>
  <c r="P60" i="4"/>
  <c r="AI60" i="4"/>
  <c r="O60" i="4"/>
  <c r="AH60" i="4"/>
  <c r="N60" i="4"/>
  <c r="AG60" i="4"/>
  <c r="M60" i="4"/>
  <c r="AF60" i="4"/>
  <c r="L60" i="4"/>
  <c r="AE60" i="4"/>
  <c r="K60" i="4"/>
  <c r="AD60" i="4"/>
  <c r="J60" i="4"/>
  <c r="AC60" i="4"/>
  <c r="I60" i="4"/>
  <c r="AB60" i="4"/>
  <c r="H60" i="4"/>
  <c r="AA60" i="4"/>
  <c r="G60" i="4"/>
  <c r="Z60" i="4"/>
  <c r="Y60" i="4"/>
  <c r="X60" i="4"/>
  <c r="W60" i="4"/>
  <c r="U60" i="4"/>
  <c r="V60" i="4"/>
  <c r="AG36" i="4"/>
  <c r="AF36" i="4"/>
  <c r="AE36" i="4"/>
  <c r="AD36" i="4"/>
  <c r="AC36" i="4"/>
  <c r="AB36" i="4"/>
  <c r="AA36" i="4"/>
  <c r="Z36" i="4"/>
  <c r="Y36" i="4"/>
  <c r="X36" i="4"/>
  <c r="W36" i="4"/>
  <c r="V36" i="4"/>
  <c r="AI36" i="4"/>
  <c r="AH36" i="4"/>
  <c r="X124" i="4"/>
  <c r="W124" i="4"/>
  <c r="V124" i="4"/>
  <c r="U124" i="4"/>
  <c r="T124" i="4"/>
  <c r="S124" i="4"/>
  <c r="R124" i="4"/>
  <c r="Q124" i="4"/>
  <c r="P124" i="4"/>
  <c r="AI124" i="4"/>
  <c r="O124" i="4"/>
  <c r="AH124" i="4"/>
  <c r="N124" i="4"/>
  <c r="AG124" i="4"/>
  <c r="M124" i="4"/>
  <c r="AF124" i="4"/>
  <c r="L124" i="4"/>
  <c r="AE124" i="4"/>
  <c r="K124" i="4"/>
  <c r="AD124" i="4"/>
  <c r="J124" i="4"/>
  <c r="AC124" i="4"/>
  <c r="I124" i="4"/>
  <c r="AB124" i="4"/>
  <c r="H124" i="4"/>
  <c r="AA124" i="4"/>
  <c r="G124" i="4"/>
  <c r="Z124" i="4"/>
  <c r="Y124" i="4"/>
  <c r="AH93" i="4"/>
  <c r="N93" i="4"/>
  <c r="AG93" i="4"/>
  <c r="M93" i="4"/>
  <c r="AF93" i="4"/>
  <c r="L93" i="4"/>
  <c r="AE93" i="4"/>
  <c r="K93" i="4"/>
  <c r="AD93" i="4"/>
  <c r="J93" i="4"/>
  <c r="AC93" i="4"/>
  <c r="I93" i="4"/>
  <c r="AB93" i="4"/>
  <c r="H93" i="4"/>
  <c r="AA93" i="4"/>
  <c r="G93" i="4"/>
  <c r="Z93" i="4"/>
  <c r="Y93" i="4"/>
  <c r="X93" i="4"/>
  <c r="W93" i="4"/>
  <c r="V93" i="4"/>
  <c r="T93" i="4"/>
  <c r="S93" i="4"/>
  <c r="R93" i="4"/>
  <c r="Q93" i="4"/>
  <c r="P93" i="4"/>
  <c r="O93" i="4"/>
  <c r="AI93" i="4"/>
  <c r="U93" i="4"/>
  <c r="AA111" i="4"/>
  <c r="G111" i="4"/>
  <c r="Z111" i="4"/>
  <c r="Y111" i="4"/>
  <c r="X111" i="4"/>
  <c r="W111" i="4"/>
  <c r="V111" i="4"/>
  <c r="U111" i="4"/>
  <c r="T111" i="4"/>
  <c r="S111" i="4"/>
  <c r="R111" i="4"/>
  <c r="Q111" i="4"/>
  <c r="P111" i="4"/>
  <c r="AI111" i="4"/>
  <c r="O111" i="4"/>
  <c r="AH111" i="4"/>
  <c r="N111" i="4"/>
  <c r="AG111" i="4"/>
  <c r="M111" i="4"/>
  <c r="AF111" i="4"/>
  <c r="L111" i="4"/>
  <c r="AE111" i="4"/>
  <c r="K111" i="4"/>
  <c r="AD111" i="4"/>
  <c r="J111" i="4"/>
  <c r="AC111" i="4"/>
  <c r="I111" i="4"/>
  <c r="AB111" i="4"/>
  <c r="H111" i="4"/>
  <c r="V106" i="4"/>
  <c r="U106" i="4"/>
  <c r="T106" i="4"/>
  <c r="S106" i="4"/>
  <c r="R106" i="4"/>
  <c r="Q106" i="4"/>
  <c r="P106" i="4"/>
  <c r="AI106" i="4"/>
  <c r="O106" i="4"/>
  <c r="AH106" i="4"/>
  <c r="N106" i="4"/>
  <c r="AG106" i="4"/>
  <c r="M106" i="4"/>
  <c r="AF106" i="4"/>
  <c r="L106" i="4"/>
  <c r="AE106" i="4"/>
  <c r="K106" i="4"/>
  <c r="AD106" i="4"/>
  <c r="J106" i="4"/>
  <c r="AC106" i="4"/>
  <c r="I106" i="4"/>
  <c r="AB106" i="4"/>
  <c r="H106" i="4"/>
  <c r="AA106" i="4"/>
  <c r="G106" i="4"/>
  <c r="Z106" i="4"/>
  <c r="Y106" i="4"/>
  <c r="X106" i="4"/>
  <c r="W106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S51" i="4"/>
  <c r="R51" i="4"/>
  <c r="Q51" i="4"/>
  <c r="P51" i="4"/>
  <c r="AI51" i="4"/>
  <c r="O51" i="4"/>
  <c r="AH51" i="4"/>
  <c r="N51" i="4"/>
  <c r="AG51" i="4"/>
  <c r="M51" i="4"/>
  <c r="AF51" i="4"/>
  <c r="L51" i="4"/>
  <c r="AE51" i="4"/>
  <c r="K51" i="4"/>
  <c r="AD51" i="4"/>
  <c r="J51" i="4"/>
  <c r="AC51" i="4"/>
  <c r="I51" i="4"/>
  <c r="AB51" i="4"/>
  <c r="H51" i="4"/>
  <c r="AA51" i="4"/>
  <c r="G51" i="4"/>
  <c r="Z51" i="4"/>
  <c r="W51" i="4"/>
  <c r="Y51" i="4"/>
  <c r="X51" i="4"/>
  <c r="V51" i="4"/>
  <c r="U51" i="4"/>
  <c r="T51" i="4"/>
  <c r="AG57" i="4"/>
  <c r="M57" i="4"/>
  <c r="AF57" i="4"/>
  <c r="L57" i="4"/>
  <c r="AE57" i="4"/>
  <c r="K57" i="4"/>
  <c r="AD57" i="4"/>
  <c r="J57" i="4"/>
  <c r="AC57" i="4"/>
  <c r="I57" i="4"/>
  <c r="AB57" i="4"/>
  <c r="H57" i="4"/>
  <c r="AA57" i="4"/>
  <c r="G57" i="4"/>
  <c r="Z57" i="4"/>
  <c r="Y57" i="4"/>
  <c r="X57" i="4"/>
  <c r="W57" i="4"/>
  <c r="V57" i="4"/>
  <c r="U57" i="4"/>
  <c r="T57" i="4"/>
  <c r="S57" i="4"/>
  <c r="R57" i="4"/>
  <c r="Q57" i="4"/>
  <c r="P57" i="4"/>
  <c r="AI57" i="4"/>
  <c r="AH57" i="4"/>
  <c r="O57" i="4"/>
  <c r="N57" i="4"/>
  <c r="W115" i="4"/>
  <c r="V115" i="4"/>
  <c r="U115" i="4"/>
  <c r="T115" i="4"/>
  <c r="S115" i="4"/>
  <c r="R115" i="4"/>
  <c r="Q115" i="4"/>
  <c r="P115" i="4"/>
  <c r="AI115" i="4"/>
  <c r="O115" i="4"/>
  <c r="AH115" i="4"/>
  <c r="N115" i="4"/>
  <c r="AG115" i="4"/>
  <c r="M115" i="4"/>
  <c r="AF115" i="4"/>
  <c r="L115" i="4"/>
  <c r="AE115" i="4"/>
  <c r="K115" i="4"/>
  <c r="AD115" i="4"/>
  <c r="J115" i="4"/>
  <c r="AC115" i="4"/>
  <c r="I115" i="4"/>
  <c r="AB115" i="4"/>
  <c r="H115" i="4"/>
  <c r="AA115" i="4"/>
  <c r="G115" i="4"/>
  <c r="Z115" i="4"/>
  <c r="Y115" i="4"/>
  <c r="X115" i="4"/>
  <c r="AH114" i="4"/>
  <c r="N114" i="4"/>
  <c r="AG114" i="4"/>
  <c r="M114" i="4"/>
  <c r="AF114" i="4"/>
  <c r="L114" i="4"/>
  <c r="AE114" i="4"/>
  <c r="K114" i="4"/>
  <c r="AD114" i="4"/>
  <c r="J114" i="4"/>
  <c r="AC114" i="4"/>
  <c r="I114" i="4"/>
  <c r="AB114" i="4"/>
  <c r="H114" i="4"/>
  <c r="AA114" i="4"/>
  <c r="G114" i="4"/>
  <c r="Z114" i="4"/>
  <c r="Y114" i="4"/>
  <c r="X114" i="4"/>
  <c r="W114" i="4"/>
  <c r="V114" i="4"/>
  <c r="U114" i="4"/>
  <c r="T114" i="4"/>
  <c r="S114" i="4"/>
  <c r="R114" i="4"/>
  <c r="Q114" i="4"/>
  <c r="P114" i="4"/>
  <c r="AI114" i="4"/>
  <c r="O114" i="4"/>
  <c r="AA132" i="4"/>
  <c r="G132" i="4"/>
  <c r="Z132" i="4"/>
  <c r="Y132" i="4"/>
  <c r="X132" i="4"/>
  <c r="W132" i="4"/>
  <c r="V132" i="4"/>
  <c r="U132" i="4"/>
  <c r="T132" i="4"/>
  <c r="S132" i="4"/>
  <c r="R132" i="4"/>
  <c r="Q132" i="4"/>
  <c r="P132" i="4"/>
  <c r="AI132" i="4"/>
  <c r="O132" i="4"/>
  <c r="AH132" i="4"/>
  <c r="N132" i="4"/>
  <c r="AG132" i="4"/>
  <c r="M132" i="4"/>
  <c r="AF132" i="4"/>
  <c r="L132" i="4"/>
  <c r="AE132" i="4"/>
  <c r="K132" i="4"/>
  <c r="AD132" i="4"/>
  <c r="J132" i="4"/>
  <c r="AC132" i="4"/>
  <c r="I132" i="4"/>
  <c r="AB132" i="4"/>
  <c r="H132" i="4"/>
  <c r="F7" i="3"/>
  <c r="Y7" i="3"/>
  <c r="W7" i="3"/>
  <c r="AG7" i="3"/>
  <c r="G7" i="3"/>
  <c r="AF7" i="3"/>
  <c r="V24" i="3"/>
  <c r="AA7" i="3"/>
  <c r="AE7" i="3"/>
  <c r="U7" i="3"/>
  <c r="S7" i="3"/>
  <c r="R7" i="3"/>
  <c r="Z7" i="3"/>
  <c r="Q7" i="3"/>
  <c r="V7" i="3"/>
  <c r="P7" i="3"/>
  <c r="N7" i="3"/>
  <c r="M7" i="3"/>
  <c r="K32" i="2"/>
  <c r="F32" i="2"/>
  <c r="I32" i="2"/>
  <c r="H32" i="2"/>
  <c r="L32" i="2"/>
  <c r="L7" i="3"/>
  <c r="T7" i="3"/>
  <c r="H41" i="2"/>
  <c r="J67" i="2"/>
  <c r="M41" i="2"/>
  <c r="L41" i="2"/>
  <c r="F41" i="2"/>
  <c r="K67" i="2"/>
  <c r="L67" i="2"/>
  <c r="E86" i="2"/>
  <c r="G98" i="2"/>
  <c r="H98" i="2"/>
  <c r="M67" i="2"/>
  <c r="H67" i="2"/>
  <c r="J98" i="2"/>
  <c r="I98" i="2"/>
  <c r="J41" i="2"/>
  <c r="M52" i="2"/>
  <c r="K41" i="2"/>
  <c r="K50" i="2"/>
  <c r="G67" i="2"/>
  <c r="M98" i="2"/>
  <c r="K98" i="2"/>
  <c r="L98" i="2"/>
  <c r="K52" i="2"/>
  <c r="L52" i="2"/>
  <c r="L50" i="2"/>
  <c r="I52" i="2"/>
  <c r="J50" i="2"/>
  <c r="I50" i="2"/>
  <c r="F50" i="2"/>
  <c r="G50" i="2"/>
  <c r="F52" i="2"/>
  <c r="E126" i="2"/>
  <c r="O7" i="3"/>
  <c r="AF24" i="3"/>
  <c r="L24" i="3"/>
  <c r="R24" i="3"/>
  <c r="Q24" i="3"/>
  <c r="AD24" i="3"/>
  <c r="Y24" i="3"/>
  <c r="AH24" i="3"/>
  <c r="AC24" i="3"/>
  <c r="I24" i="3"/>
  <c r="AA24" i="3"/>
  <c r="T24" i="3"/>
  <c r="AB24" i="3"/>
  <c r="F24" i="3"/>
  <c r="AG24" i="3"/>
  <c r="H24" i="3"/>
  <c r="M24" i="3"/>
  <c r="S24" i="3"/>
  <c r="F33" i="3"/>
  <c r="AH33" i="3"/>
  <c r="M33" i="3"/>
  <c r="N33" i="3"/>
  <c r="O33" i="3"/>
  <c r="AG33" i="3"/>
  <c r="P33" i="3"/>
  <c r="Z24" i="3"/>
  <c r="Q33" i="3"/>
  <c r="R33" i="3"/>
  <c r="Z33" i="3"/>
  <c r="S33" i="3"/>
  <c r="T33" i="3"/>
  <c r="U33" i="3"/>
  <c r="X33" i="3"/>
  <c r="W33" i="3"/>
  <c r="V33" i="3"/>
  <c r="AA13" i="3"/>
  <c r="I13" i="3"/>
  <c r="P24" i="3"/>
  <c r="O24" i="3"/>
  <c r="U24" i="3"/>
  <c r="AE24" i="3"/>
  <c r="K24" i="3"/>
  <c r="N24" i="3"/>
  <c r="J24" i="3"/>
  <c r="AC13" i="3"/>
  <c r="AE13" i="3"/>
  <c r="N13" i="3"/>
  <c r="AH13" i="3"/>
  <c r="Q13" i="3"/>
  <c r="Z13" i="3"/>
  <c r="F13" i="3"/>
  <c r="V13" i="3"/>
  <c r="W13" i="3"/>
  <c r="X13" i="3"/>
  <c r="W55" i="3"/>
  <c r="V55" i="3"/>
  <c r="X55" i="3"/>
  <c r="AB55" i="3"/>
  <c r="F55" i="3"/>
  <c r="I55" i="3"/>
  <c r="K55" i="3"/>
  <c r="AE55" i="3"/>
  <c r="J13" i="3"/>
  <c r="L55" i="3"/>
  <c r="AD13" i="3"/>
  <c r="M55" i="3"/>
  <c r="K13" i="3"/>
  <c r="AH55" i="3"/>
  <c r="O55" i="3"/>
  <c r="O13" i="3"/>
  <c r="P55" i="3"/>
  <c r="P13" i="3"/>
  <c r="Q55" i="3"/>
  <c r="R55" i="3"/>
  <c r="T13" i="3"/>
  <c r="S55" i="3"/>
  <c r="U13" i="3"/>
  <c r="Y33" i="3"/>
  <c r="G33" i="3"/>
  <c r="H13" i="3"/>
  <c r="G55" i="3"/>
  <c r="AA33" i="3"/>
  <c r="AB13" i="3"/>
  <c r="U55" i="3"/>
  <c r="H33" i="3"/>
  <c r="AF13" i="3"/>
  <c r="Y55" i="3"/>
  <c r="AB33" i="3"/>
  <c r="M13" i="3"/>
  <c r="Z55" i="3"/>
  <c r="I33" i="3"/>
  <c r="AG13" i="3"/>
  <c r="AA55" i="3"/>
  <c r="AC33" i="3"/>
  <c r="AC55" i="3"/>
  <c r="J33" i="3"/>
  <c r="Y13" i="3"/>
  <c r="R13" i="3"/>
  <c r="J55" i="3"/>
  <c r="AD33" i="3"/>
  <c r="G13" i="3"/>
  <c r="S13" i="3"/>
  <c r="AD55" i="3"/>
  <c r="K33" i="3"/>
  <c r="H112" i="2"/>
  <c r="M32" i="2"/>
  <c r="J39" i="2"/>
  <c r="H37" i="2"/>
  <c r="K112" i="2"/>
  <c r="H52" i="2"/>
  <c r="L37" i="2"/>
  <c r="L39" i="2"/>
  <c r="F39" i="2"/>
  <c r="J112" i="2"/>
  <c r="L112" i="2"/>
  <c r="M112" i="2"/>
  <c r="K39" i="2"/>
  <c r="F37" i="2"/>
  <c r="M78" i="2"/>
  <c r="AF55" i="3"/>
  <c r="AE33" i="3"/>
  <c r="H55" i="3"/>
  <c r="AG55" i="3"/>
  <c r="L33" i="3"/>
  <c r="T55" i="3"/>
  <c r="I78" i="2"/>
  <c r="I59" i="2"/>
  <c r="I37" i="2"/>
  <c r="H39" i="2"/>
  <c r="F112" i="2"/>
  <c r="K37" i="2"/>
  <c r="G112" i="2"/>
  <c r="K78" i="2"/>
  <c r="H28" i="2"/>
  <c r="I67" i="2"/>
  <c r="M48" i="2"/>
  <c r="I41" i="2"/>
  <c r="W24" i="3"/>
  <c r="X24" i="3"/>
  <c r="J37" i="2"/>
  <c r="M59" i="2"/>
  <c r="I28" i="2"/>
  <c r="L30" i="2"/>
  <c r="F48" i="2"/>
  <c r="K48" i="2"/>
  <c r="H30" i="2"/>
  <c r="J48" i="2"/>
  <c r="F64" i="2"/>
  <c r="G64" i="2"/>
  <c r="J78" i="2"/>
  <c r="G78" i="2"/>
  <c r="H64" i="2"/>
  <c r="L59" i="2"/>
  <c r="J30" i="2"/>
  <c r="L78" i="2"/>
  <c r="J64" i="2"/>
  <c r="F59" i="2"/>
  <c r="H107" i="2"/>
  <c r="K30" i="2"/>
  <c r="I39" i="2"/>
  <c r="M28" i="2"/>
  <c r="L48" i="2"/>
  <c r="G30" i="2"/>
  <c r="G107" i="2"/>
  <c r="E56" i="2"/>
  <c r="I64" i="2"/>
  <c r="M30" i="2"/>
  <c r="H48" i="2"/>
  <c r="I107" i="2"/>
  <c r="G32" i="2"/>
  <c r="K59" i="2"/>
  <c r="L64" i="2"/>
  <c r="F107" i="2"/>
  <c r="J107" i="2"/>
  <c r="G28" i="2"/>
  <c r="K28" i="2"/>
  <c r="F28" i="2"/>
  <c r="J59" i="2"/>
  <c r="K107" i="2"/>
  <c r="J52" i="2"/>
  <c r="K64" i="2"/>
  <c r="L107" i="2"/>
  <c r="H50" i="2"/>
  <c r="G39" i="2"/>
  <c r="G37" i="2"/>
  <c r="F30" i="2"/>
  <c r="I48" i="2"/>
  <c r="G59" i="2"/>
  <c r="J28" i="2"/>
  <c r="F78" i="2"/>
  <c r="S128" i="3"/>
  <c r="R128" i="3"/>
  <c r="Q128" i="3"/>
  <c r="P128" i="3"/>
  <c r="O128" i="3"/>
  <c r="AH128" i="3"/>
  <c r="N128" i="3"/>
  <c r="AG128" i="3"/>
  <c r="M128" i="3"/>
  <c r="AF128" i="3"/>
  <c r="L128" i="3"/>
  <c r="AE128" i="3"/>
  <c r="K128" i="3"/>
  <c r="AD128" i="3"/>
  <c r="J128" i="3"/>
  <c r="AC128" i="3"/>
  <c r="I128" i="3"/>
  <c r="AB128" i="3"/>
  <c r="H128" i="3"/>
  <c r="AA128" i="3"/>
  <c r="G128" i="3"/>
  <c r="Z128" i="3"/>
  <c r="F128" i="3"/>
  <c r="Y128" i="3"/>
  <c r="X128" i="3"/>
  <c r="W128" i="3"/>
  <c r="V128" i="3"/>
  <c r="U128" i="3"/>
  <c r="T128" i="3"/>
  <c r="AC97" i="3"/>
  <c r="I97" i="3"/>
  <c r="AB97" i="3"/>
  <c r="H97" i="3"/>
  <c r="AA97" i="3"/>
  <c r="G97" i="3"/>
  <c r="Z97" i="3"/>
  <c r="F97" i="3"/>
  <c r="Y97" i="3"/>
  <c r="X97" i="3"/>
  <c r="W97" i="3"/>
  <c r="V97" i="3"/>
  <c r="U97" i="3"/>
  <c r="T97" i="3"/>
  <c r="S97" i="3"/>
  <c r="P97" i="3"/>
  <c r="O97" i="3"/>
  <c r="N97" i="3"/>
  <c r="M97" i="3"/>
  <c r="L97" i="3"/>
  <c r="K97" i="3"/>
  <c r="J97" i="3"/>
  <c r="AH97" i="3"/>
  <c r="AG97" i="3"/>
  <c r="AF97" i="3"/>
  <c r="AE97" i="3"/>
  <c r="AD97" i="3"/>
  <c r="R97" i="3"/>
  <c r="Q97" i="3"/>
  <c r="T17" i="3"/>
  <c r="S17" i="3"/>
  <c r="R17" i="3"/>
  <c r="Q17" i="3"/>
  <c r="P17" i="3"/>
  <c r="O17" i="3"/>
  <c r="AH17" i="3"/>
  <c r="N17" i="3"/>
  <c r="AG17" i="3"/>
  <c r="M17" i="3"/>
  <c r="AF17" i="3"/>
  <c r="L17" i="3"/>
  <c r="AE17" i="3"/>
  <c r="K17" i="3"/>
  <c r="AD17" i="3"/>
  <c r="J17" i="3"/>
  <c r="AC17" i="3"/>
  <c r="I17" i="3"/>
  <c r="AB17" i="3"/>
  <c r="H17" i="3"/>
  <c r="V17" i="3"/>
  <c r="AA17" i="3"/>
  <c r="G17" i="3"/>
  <c r="Z17" i="3"/>
  <c r="F17" i="3"/>
  <c r="Y17" i="3"/>
  <c r="X17" i="3"/>
  <c r="W17" i="3"/>
  <c r="U17" i="3"/>
  <c r="AB109" i="3"/>
  <c r="H109" i="3"/>
  <c r="AA109" i="3"/>
  <c r="G109" i="3"/>
  <c r="Z109" i="3"/>
  <c r="F109" i="3"/>
  <c r="Y109" i="3"/>
  <c r="X109" i="3"/>
  <c r="W109" i="3"/>
  <c r="V109" i="3"/>
  <c r="U109" i="3"/>
  <c r="T109" i="3"/>
  <c r="S109" i="3"/>
  <c r="R109" i="3"/>
  <c r="P109" i="3"/>
  <c r="AH109" i="3"/>
  <c r="AG109" i="3"/>
  <c r="AF109" i="3"/>
  <c r="AE109" i="3"/>
  <c r="AD109" i="3"/>
  <c r="AC109" i="3"/>
  <c r="Q109" i="3"/>
  <c r="O109" i="3"/>
  <c r="N109" i="3"/>
  <c r="M109" i="3"/>
  <c r="L109" i="3"/>
  <c r="K109" i="3"/>
  <c r="I109" i="3"/>
  <c r="J109" i="3"/>
  <c r="U126" i="3"/>
  <c r="T126" i="3"/>
  <c r="S126" i="3"/>
  <c r="R126" i="3"/>
  <c r="Q126" i="3"/>
  <c r="P126" i="3"/>
  <c r="O126" i="3"/>
  <c r="AH126" i="3"/>
  <c r="N126" i="3"/>
  <c r="AG126" i="3"/>
  <c r="M126" i="3"/>
  <c r="AF126" i="3"/>
  <c r="L126" i="3"/>
  <c r="AE126" i="3"/>
  <c r="K126" i="3"/>
  <c r="AD126" i="3"/>
  <c r="J126" i="3"/>
  <c r="AC126" i="3"/>
  <c r="I126" i="3"/>
  <c r="AB126" i="3"/>
  <c r="H126" i="3"/>
  <c r="AA126" i="3"/>
  <c r="G126" i="3"/>
  <c r="Z126" i="3"/>
  <c r="F126" i="3"/>
  <c r="Y126" i="3"/>
  <c r="X126" i="3"/>
  <c r="W126" i="3"/>
  <c r="V126" i="3"/>
  <c r="Q89" i="3"/>
  <c r="O89" i="3"/>
  <c r="AH89" i="3"/>
  <c r="N89" i="3"/>
  <c r="AG89" i="3"/>
  <c r="M89" i="3"/>
  <c r="AF89" i="3"/>
  <c r="L89" i="3"/>
  <c r="AE89" i="3"/>
  <c r="K89" i="3"/>
  <c r="AC89" i="3"/>
  <c r="I89" i="3"/>
  <c r="AB89" i="3"/>
  <c r="H89" i="3"/>
  <c r="AD89" i="3"/>
  <c r="AA89" i="3"/>
  <c r="Z89" i="3"/>
  <c r="Y89" i="3"/>
  <c r="X89" i="3"/>
  <c r="W89" i="3"/>
  <c r="V89" i="3"/>
  <c r="U89" i="3"/>
  <c r="T89" i="3"/>
  <c r="S89" i="3"/>
  <c r="R89" i="3"/>
  <c r="P89" i="3"/>
  <c r="J89" i="3"/>
  <c r="G89" i="3"/>
  <c r="F89" i="3"/>
  <c r="AE43" i="3"/>
  <c r="K43" i="3"/>
  <c r="AD43" i="3"/>
  <c r="J43" i="3"/>
  <c r="AC43" i="3"/>
  <c r="I43" i="3"/>
  <c r="AB43" i="3"/>
  <c r="H43" i="3"/>
  <c r="AA43" i="3"/>
  <c r="G43" i="3"/>
  <c r="Z43" i="3"/>
  <c r="F43" i="3"/>
  <c r="Y43" i="3"/>
  <c r="X43" i="3"/>
  <c r="W43" i="3"/>
  <c r="V43" i="3"/>
  <c r="P43" i="3"/>
  <c r="R43" i="3"/>
  <c r="O43" i="3"/>
  <c r="N43" i="3"/>
  <c r="M43" i="3"/>
  <c r="L43" i="3"/>
  <c r="AH43" i="3"/>
  <c r="AG43" i="3"/>
  <c r="AF43" i="3"/>
  <c r="U43" i="3"/>
  <c r="T43" i="3"/>
  <c r="S43" i="3"/>
  <c r="Q43" i="3"/>
  <c r="Q110" i="3"/>
  <c r="P110" i="3"/>
  <c r="O110" i="3"/>
  <c r="AH110" i="3"/>
  <c r="N110" i="3"/>
  <c r="AG110" i="3"/>
  <c r="M110" i="3"/>
  <c r="AF110" i="3"/>
  <c r="L110" i="3"/>
  <c r="AE110" i="3"/>
  <c r="K110" i="3"/>
  <c r="AD110" i="3"/>
  <c r="J110" i="3"/>
  <c r="AC110" i="3"/>
  <c r="I110" i="3"/>
  <c r="AB110" i="3"/>
  <c r="H110" i="3"/>
  <c r="AA110" i="3"/>
  <c r="G110" i="3"/>
  <c r="Y110" i="3"/>
  <c r="U110" i="3"/>
  <c r="T110" i="3"/>
  <c r="S110" i="3"/>
  <c r="R110" i="3"/>
  <c r="F110" i="3"/>
  <c r="Z110" i="3"/>
  <c r="X110" i="3"/>
  <c r="W110" i="3"/>
  <c r="V110" i="3"/>
  <c r="Q30" i="3"/>
  <c r="P30" i="3"/>
  <c r="O30" i="3"/>
  <c r="AH30" i="3"/>
  <c r="N30" i="3"/>
  <c r="AG30" i="3"/>
  <c r="M30" i="3"/>
  <c r="AF30" i="3"/>
  <c r="L30" i="3"/>
  <c r="AE30" i="3"/>
  <c r="K30" i="3"/>
  <c r="AD30" i="3"/>
  <c r="J30" i="3"/>
  <c r="AC30" i="3"/>
  <c r="I30" i="3"/>
  <c r="AB30" i="3"/>
  <c r="H30" i="3"/>
  <c r="AA30" i="3"/>
  <c r="G30" i="3"/>
  <c r="Z30" i="3"/>
  <c r="F30" i="3"/>
  <c r="Y30" i="3"/>
  <c r="X30" i="3"/>
  <c r="W30" i="3"/>
  <c r="V30" i="3"/>
  <c r="U30" i="3"/>
  <c r="T30" i="3"/>
  <c r="S30" i="3"/>
  <c r="R30" i="3"/>
  <c r="AA79" i="3"/>
  <c r="G79" i="3"/>
  <c r="Y79" i="3"/>
  <c r="X79" i="3"/>
  <c r="W79" i="3"/>
  <c r="V79" i="3"/>
  <c r="U79" i="3"/>
  <c r="R79" i="3"/>
  <c r="AC79" i="3"/>
  <c r="AB79" i="3"/>
  <c r="Z79" i="3"/>
  <c r="T79" i="3"/>
  <c r="S79" i="3"/>
  <c r="Q79" i="3"/>
  <c r="P79" i="3"/>
  <c r="O79" i="3"/>
  <c r="N79" i="3"/>
  <c r="M79" i="3"/>
  <c r="L79" i="3"/>
  <c r="K79" i="3"/>
  <c r="J79" i="3"/>
  <c r="I79" i="3"/>
  <c r="H79" i="3"/>
  <c r="AH79" i="3"/>
  <c r="F79" i="3"/>
  <c r="AG79" i="3"/>
  <c r="AF79" i="3"/>
  <c r="AE79" i="3"/>
  <c r="AD79" i="3"/>
  <c r="AE63" i="3"/>
  <c r="K63" i="3"/>
  <c r="AD63" i="3"/>
  <c r="J63" i="3"/>
  <c r="AC63" i="3"/>
  <c r="I63" i="3"/>
  <c r="AB63" i="3"/>
  <c r="H63" i="3"/>
  <c r="AA63" i="3"/>
  <c r="G63" i="3"/>
  <c r="Z63" i="3"/>
  <c r="F63" i="3"/>
  <c r="Y63" i="3"/>
  <c r="X63" i="3"/>
  <c r="W63" i="3"/>
  <c r="V63" i="3"/>
  <c r="U63" i="3"/>
  <c r="T63" i="3"/>
  <c r="AF63" i="3"/>
  <c r="S63" i="3"/>
  <c r="R63" i="3"/>
  <c r="Q63" i="3"/>
  <c r="P63" i="3"/>
  <c r="O63" i="3"/>
  <c r="N63" i="3"/>
  <c r="M63" i="3"/>
  <c r="L63" i="3"/>
  <c r="AH63" i="3"/>
  <c r="AG63" i="3"/>
  <c r="V35" i="3"/>
  <c r="X35" i="3"/>
  <c r="U35" i="3"/>
  <c r="T35" i="3"/>
  <c r="S35" i="3"/>
  <c r="R35" i="3"/>
  <c r="Q35" i="3"/>
  <c r="P35" i="3"/>
  <c r="O35" i="3"/>
  <c r="AH35" i="3"/>
  <c r="N35" i="3"/>
  <c r="AG35" i="3"/>
  <c r="M35" i="3"/>
  <c r="AF35" i="3"/>
  <c r="L35" i="3"/>
  <c r="AE35" i="3"/>
  <c r="K35" i="3"/>
  <c r="AD35" i="3"/>
  <c r="J35" i="3"/>
  <c r="AC35" i="3"/>
  <c r="I35" i="3"/>
  <c r="AB35" i="3"/>
  <c r="H35" i="3"/>
  <c r="AA35" i="3"/>
  <c r="G35" i="3"/>
  <c r="Z35" i="3"/>
  <c r="F35" i="3"/>
  <c r="Y35" i="3"/>
  <c r="W35" i="3"/>
  <c r="W51" i="3"/>
  <c r="V51" i="3"/>
  <c r="U51" i="3"/>
  <c r="T51" i="3"/>
  <c r="S51" i="3"/>
  <c r="R51" i="3"/>
  <c r="Q51" i="3"/>
  <c r="P51" i="3"/>
  <c r="O51" i="3"/>
  <c r="AH51" i="3"/>
  <c r="N51" i="3"/>
  <c r="AG51" i="3"/>
  <c r="G51" i="3"/>
  <c r="AF51" i="3"/>
  <c r="AE51" i="3"/>
  <c r="AD51" i="3"/>
  <c r="AC51" i="3"/>
  <c r="AB51" i="3"/>
  <c r="AA51" i="3"/>
  <c r="Z51" i="3"/>
  <c r="Y51" i="3"/>
  <c r="X51" i="3"/>
  <c r="M51" i="3"/>
  <c r="L51" i="3"/>
  <c r="K51" i="3"/>
  <c r="J51" i="3"/>
  <c r="I51" i="3"/>
  <c r="H51" i="3"/>
  <c r="F51" i="3"/>
  <c r="V15" i="3"/>
  <c r="U15" i="3"/>
  <c r="T15" i="3"/>
  <c r="S15" i="3"/>
  <c r="R15" i="3"/>
  <c r="Q15" i="3"/>
  <c r="P15" i="3"/>
  <c r="O15" i="3"/>
  <c r="AH15" i="3"/>
  <c r="N15" i="3"/>
  <c r="AG15" i="3"/>
  <c r="M15" i="3"/>
  <c r="AF15" i="3"/>
  <c r="L15" i="3"/>
  <c r="AE15" i="3"/>
  <c r="K15" i="3"/>
  <c r="AD15" i="3"/>
  <c r="J15" i="3"/>
  <c r="AC15" i="3"/>
  <c r="I15" i="3"/>
  <c r="AB15" i="3"/>
  <c r="H15" i="3"/>
  <c r="AA15" i="3"/>
  <c r="G15" i="3"/>
  <c r="Z15" i="3"/>
  <c r="F15" i="3"/>
  <c r="Y15" i="3"/>
  <c r="W15" i="3"/>
  <c r="X15" i="3"/>
  <c r="T76" i="3"/>
  <c r="R76" i="3"/>
  <c r="P76" i="3"/>
  <c r="O76" i="3"/>
  <c r="AH76" i="3"/>
  <c r="N76" i="3"/>
  <c r="AE76" i="3"/>
  <c r="K76" i="3"/>
  <c r="AC76" i="3"/>
  <c r="AB76" i="3"/>
  <c r="AA76" i="3"/>
  <c r="Z76" i="3"/>
  <c r="Y76" i="3"/>
  <c r="X76" i="3"/>
  <c r="W76" i="3"/>
  <c r="V76" i="3"/>
  <c r="U76" i="3"/>
  <c r="S76" i="3"/>
  <c r="Q76" i="3"/>
  <c r="M76" i="3"/>
  <c r="L76" i="3"/>
  <c r="J76" i="3"/>
  <c r="I76" i="3"/>
  <c r="H76" i="3"/>
  <c r="AG76" i="3"/>
  <c r="F76" i="3"/>
  <c r="AD76" i="3"/>
  <c r="G76" i="3"/>
  <c r="AF76" i="3"/>
  <c r="T96" i="3"/>
  <c r="R96" i="3"/>
  <c r="Q96" i="3"/>
  <c r="P96" i="3"/>
  <c r="O96" i="3"/>
  <c r="AH96" i="3"/>
  <c r="N96" i="3"/>
  <c r="AG96" i="3"/>
  <c r="M96" i="3"/>
  <c r="AF96" i="3"/>
  <c r="L96" i="3"/>
  <c r="AE96" i="3"/>
  <c r="K96" i="3"/>
  <c r="I96" i="3"/>
  <c r="H96" i="3"/>
  <c r="G96" i="3"/>
  <c r="F96" i="3"/>
  <c r="AD96" i="3"/>
  <c r="AC96" i="3"/>
  <c r="AB96" i="3"/>
  <c r="AA96" i="3"/>
  <c r="Z96" i="3"/>
  <c r="Y96" i="3"/>
  <c r="X96" i="3"/>
  <c r="W96" i="3"/>
  <c r="V96" i="3"/>
  <c r="U96" i="3"/>
  <c r="S96" i="3"/>
  <c r="J96" i="3"/>
  <c r="AA120" i="3"/>
  <c r="G120" i="3"/>
  <c r="Z120" i="3"/>
  <c r="F120" i="3"/>
  <c r="Y120" i="3"/>
  <c r="X120" i="3"/>
  <c r="W120" i="3"/>
  <c r="V120" i="3"/>
  <c r="U120" i="3"/>
  <c r="T120" i="3"/>
  <c r="S120" i="3"/>
  <c r="R120" i="3"/>
  <c r="Q120" i="3"/>
  <c r="P120" i="3"/>
  <c r="O120" i="3"/>
  <c r="AH120" i="3"/>
  <c r="N120" i="3"/>
  <c r="AG120" i="3"/>
  <c r="M120" i="3"/>
  <c r="AE120" i="3"/>
  <c r="K120" i="3"/>
  <c r="AD120" i="3"/>
  <c r="J120" i="3"/>
  <c r="AF120" i="3"/>
  <c r="AC120" i="3"/>
  <c r="AB120" i="3"/>
  <c r="L120" i="3"/>
  <c r="I120" i="3"/>
  <c r="H120" i="3"/>
  <c r="AF73" i="3"/>
  <c r="L73" i="3"/>
  <c r="AE73" i="3"/>
  <c r="K73" i="3"/>
  <c r="AD73" i="3"/>
  <c r="J73" i="3"/>
  <c r="AC73" i="3"/>
  <c r="I73" i="3"/>
  <c r="AB73" i="3"/>
  <c r="H73" i="3"/>
  <c r="AA73" i="3"/>
  <c r="G73" i="3"/>
  <c r="Z73" i="3"/>
  <c r="F73" i="3"/>
  <c r="Y73" i="3"/>
  <c r="X73" i="3"/>
  <c r="W73" i="3"/>
  <c r="V73" i="3"/>
  <c r="U73" i="3"/>
  <c r="T73" i="3"/>
  <c r="S73" i="3"/>
  <c r="R73" i="3"/>
  <c r="AH73" i="3"/>
  <c r="N73" i="3"/>
  <c r="AG73" i="3"/>
  <c r="Q73" i="3"/>
  <c r="P73" i="3"/>
  <c r="O73" i="3"/>
  <c r="M73" i="3"/>
  <c r="W104" i="3"/>
  <c r="V104" i="3"/>
  <c r="U104" i="3"/>
  <c r="T104" i="3"/>
  <c r="S104" i="3"/>
  <c r="R104" i="3"/>
  <c r="Q104" i="3"/>
  <c r="P104" i="3"/>
  <c r="O104" i="3"/>
  <c r="AH104" i="3"/>
  <c r="N104" i="3"/>
  <c r="AG104" i="3"/>
  <c r="M104" i="3"/>
  <c r="AE104" i="3"/>
  <c r="K104" i="3"/>
  <c r="J104" i="3"/>
  <c r="I104" i="3"/>
  <c r="H104" i="3"/>
  <c r="G104" i="3"/>
  <c r="F104" i="3"/>
  <c r="AF104" i="3"/>
  <c r="AD104" i="3"/>
  <c r="AC104" i="3"/>
  <c r="AB104" i="3"/>
  <c r="AA104" i="3"/>
  <c r="Z104" i="3"/>
  <c r="Y104" i="3"/>
  <c r="X104" i="3"/>
  <c r="L104" i="3"/>
  <c r="AC65" i="3"/>
  <c r="I65" i="3"/>
  <c r="AB65" i="3"/>
  <c r="H65" i="3"/>
  <c r="AA65" i="3"/>
  <c r="G65" i="3"/>
  <c r="Z65" i="3"/>
  <c r="F65" i="3"/>
  <c r="Y65" i="3"/>
  <c r="X65" i="3"/>
  <c r="W65" i="3"/>
  <c r="V65" i="3"/>
  <c r="U65" i="3"/>
  <c r="T65" i="3"/>
  <c r="S65" i="3"/>
  <c r="R65" i="3"/>
  <c r="Q65" i="3"/>
  <c r="O65" i="3"/>
  <c r="N65" i="3"/>
  <c r="M65" i="3"/>
  <c r="L65" i="3"/>
  <c r="K65" i="3"/>
  <c r="AD65" i="3"/>
  <c r="J65" i="3"/>
  <c r="AH65" i="3"/>
  <c r="AG65" i="3"/>
  <c r="AF65" i="3"/>
  <c r="AE65" i="3"/>
  <c r="P65" i="3"/>
  <c r="Q10" i="3"/>
  <c r="P10" i="3"/>
  <c r="O10" i="3"/>
  <c r="AH10" i="3"/>
  <c r="N10" i="3"/>
  <c r="AG10" i="3"/>
  <c r="M10" i="3"/>
  <c r="AF10" i="3"/>
  <c r="L10" i="3"/>
  <c r="AE10" i="3"/>
  <c r="K10" i="3"/>
  <c r="AD10" i="3"/>
  <c r="J10" i="3"/>
  <c r="AC10" i="3"/>
  <c r="I10" i="3"/>
  <c r="AB10" i="3"/>
  <c r="H10" i="3"/>
  <c r="AA10" i="3"/>
  <c r="G10" i="3"/>
  <c r="Z10" i="3"/>
  <c r="F10" i="3"/>
  <c r="Y10" i="3"/>
  <c r="X10" i="3"/>
  <c r="W10" i="3"/>
  <c r="V10" i="3"/>
  <c r="U10" i="3"/>
  <c r="T10" i="3"/>
  <c r="S10" i="3"/>
  <c r="R10" i="3"/>
  <c r="P80" i="3"/>
  <c r="AH80" i="3"/>
  <c r="N80" i="3"/>
  <c r="AG80" i="3"/>
  <c r="M80" i="3"/>
  <c r="AF80" i="3"/>
  <c r="L80" i="3"/>
  <c r="AE80" i="3"/>
  <c r="K80" i="3"/>
  <c r="AD80" i="3"/>
  <c r="J80" i="3"/>
  <c r="AA80" i="3"/>
  <c r="G80" i="3"/>
  <c r="Y80" i="3"/>
  <c r="X80" i="3"/>
  <c r="W80" i="3"/>
  <c r="V80" i="3"/>
  <c r="U80" i="3"/>
  <c r="T80" i="3"/>
  <c r="S80" i="3"/>
  <c r="R80" i="3"/>
  <c r="Q80" i="3"/>
  <c r="O80" i="3"/>
  <c r="I80" i="3"/>
  <c r="H80" i="3"/>
  <c r="F80" i="3"/>
  <c r="AC80" i="3"/>
  <c r="AB80" i="3"/>
  <c r="Z80" i="3"/>
  <c r="AB56" i="3"/>
  <c r="H56" i="3"/>
  <c r="AA56" i="3"/>
  <c r="G56" i="3"/>
  <c r="Z56" i="3"/>
  <c r="F56" i="3"/>
  <c r="Y56" i="3"/>
  <c r="X56" i="3"/>
  <c r="W56" i="3"/>
  <c r="V56" i="3"/>
  <c r="U56" i="3"/>
  <c r="T56" i="3"/>
  <c r="S56" i="3"/>
  <c r="R56" i="3"/>
  <c r="N56" i="3"/>
  <c r="M56" i="3"/>
  <c r="L56" i="3"/>
  <c r="K56" i="3"/>
  <c r="J56" i="3"/>
  <c r="I56" i="3"/>
  <c r="P56" i="3"/>
  <c r="AH56" i="3"/>
  <c r="AG56" i="3"/>
  <c r="AF56" i="3"/>
  <c r="AE56" i="3"/>
  <c r="AD56" i="3"/>
  <c r="AC56" i="3"/>
  <c r="Q56" i="3"/>
  <c r="O56" i="3"/>
  <c r="AH103" i="3"/>
  <c r="N103" i="3"/>
  <c r="AG103" i="3"/>
  <c r="M103" i="3"/>
  <c r="AF103" i="3"/>
  <c r="L103" i="3"/>
  <c r="AE103" i="3"/>
  <c r="K103" i="3"/>
  <c r="AD103" i="3"/>
  <c r="J103" i="3"/>
  <c r="AC103" i="3"/>
  <c r="I103" i="3"/>
  <c r="AB103" i="3"/>
  <c r="H103" i="3"/>
  <c r="AA103" i="3"/>
  <c r="G103" i="3"/>
  <c r="Z103" i="3"/>
  <c r="F103" i="3"/>
  <c r="Y103" i="3"/>
  <c r="X103" i="3"/>
  <c r="V103" i="3"/>
  <c r="W103" i="3"/>
  <c r="U103" i="3"/>
  <c r="T103" i="3"/>
  <c r="S103" i="3"/>
  <c r="R103" i="3"/>
  <c r="Q103" i="3"/>
  <c r="P103" i="3"/>
  <c r="O103" i="3"/>
  <c r="Z111" i="3"/>
  <c r="F111" i="3"/>
  <c r="Y111" i="3"/>
  <c r="X111" i="3"/>
  <c r="W111" i="3"/>
  <c r="V111" i="3"/>
  <c r="U111" i="3"/>
  <c r="T111" i="3"/>
  <c r="S111" i="3"/>
  <c r="R111" i="3"/>
  <c r="Q111" i="3"/>
  <c r="P111" i="3"/>
  <c r="AH111" i="3"/>
  <c r="N111" i="3"/>
  <c r="AG111" i="3"/>
  <c r="AF111" i="3"/>
  <c r="AE111" i="3"/>
  <c r="AD111" i="3"/>
  <c r="AC111" i="3"/>
  <c r="AB111" i="3"/>
  <c r="AA111" i="3"/>
  <c r="O111" i="3"/>
  <c r="M111" i="3"/>
  <c r="L111" i="3"/>
  <c r="K111" i="3"/>
  <c r="J111" i="3"/>
  <c r="I111" i="3"/>
  <c r="H111" i="3"/>
  <c r="G111" i="3"/>
  <c r="Z90" i="3"/>
  <c r="F90" i="3"/>
  <c r="X90" i="3"/>
  <c r="W90" i="3"/>
  <c r="V90" i="3"/>
  <c r="U90" i="3"/>
  <c r="T90" i="3"/>
  <c r="R90" i="3"/>
  <c r="Q90" i="3"/>
  <c r="AF90" i="3"/>
  <c r="AE90" i="3"/>
  <c r="AD90" i="3"/>
  <c r="AC90" i="3"/>
  <c r="AB90" i="3"/>
  <c r="AA90" i="3"/>
  <c r="Y90" i="3"/>
  <c r="S90" i="3"/>
  <c r="P90" i="3"/>
  <c r="O90" i="3"/>
  <c r="N90" i="3"/>
  <c r="M90" i="3"/>
  <c r="L90" i="3"/>
  <c r="K90" i="3"/>
  <c r="J90" i="3"/>
  <c r="I90" i="3"/>
  <c r="H90" i="3"/>
  <c r="G90" i="3"/>
  <c r="AH90" i="3"/>
  <c r="AG90" i="3"/>
  <c r="AF52" i="3"/>
  <c r="L52" i="3"/>
  <c r="AE52" i="3"/>
  <c r="K52" i="3"/>
  <c r="AD52" i="3"/>
  <c r="J52" i="3"/>
  <c r="AC52" i="3"/>
  <c r="I52" i="3"/>
  <c r="AB52" i="3"/>
  <c r="H52" i="3"/>
  <c r="AA52" i="3"/>
  <c r="G52" i="3"/>
  <c r="Z52" i="3"/>
  <c r="F52" i="3"/>
  <c r="Y52" i="3"/>
  <c r="X52" i="3"/>
  <c r="W52" i="3"/>
  <c r="V52" i="3"/>
  <c r="N52" i="3"/>
  <c r="M52" i="3"/>
  <c r="P52" i="3"/>
  <c r="AH52" i="3"/>
  <c r="AG52" i="3"/>
  <c r="U52" i="3"/>
  <c r="T52" i="3"/>
  <c r="S52" i="3"/>
  <c r="R52" i="3"/>
  <c r="Q52" i="3"/>
  <c r="O52" i="3"/>
  <c r="Y22" i="3"/>
  <c r="X22" i="3"/>
  <c r="W22" i="3"/>
  <c r="V22" i="3"/>
  <c r="U22" i="3"/>
  <c r="T22" i="3"/>
  <c r="S22" i="3"/>
  <c r="G22" i="3"/>
  <c r="R22" i="3"/>
  <c r="Q22" i="3"/>
  <c r="P22" i="3"/>
  <c r="O22" i="3"/>
  <c r="AH22" i="3"/>
  <c r="N22" i="3"/>
  <c r="AG22" i="3"/>
  <c r="M22" i="3"/>
  <c r="AF22" i="3"/>
  <c r="L22" i="3"/>
  <c r="AE22" i="3"/>
  <c r="K22" i="3"/>
  <c r="AD22" i="3"/>
  <c r="J22" i="3"/>
  <c r="AC22" i="3"/>
  <c r="I22" i="3"/>
  <c r="AB22" i="3"/>
  <c r="H22" i="3"/>
  <c r="AA22" i="3"/>
  <c r="Z22" i="3"/>
  <c r="F22" i="3"/>
  <c r="AD54" i="3"/>
  <c r="J54" i="3"/>
  <c r="AC54" i="3"/>
  <c r="I54" i="3"/>
  <c r="AB54" i="3"/>
  <c r="H54" i="3"/>
  <c r="AA54" i="3"/>
  <c r="G54" i="3"/>
  <c r="Z54" i="3"/>
  <c r="F54" i="3"/>
  <c r="Y54" i="3"/>
  <c r="X54" i="3"/>
  <c r="W54" i="3"/>
  <c r="V54" i="3"/>
  <c r="U54" i="3"/>
  <c r="T54" i="3"/>
  <c r="AH54" i="3"/>
  <c r="AG54" i="3"/>
  <c r="AF54" i="3"/>
  <c r="AE54" i="3"/>
  <c r="S54" i="3"/>
  <c r="R54" i="3"/>
  <c r="Q54" i="3"/>
  <c r="P54" i="3"/>
  <c r="O54" i="3"/>
  <c r="N54" i="3"/>
  <c r="M54" i="3"/>
  <c r="L54" i="3"/>
  <c r="K54" i="3"/>
  <c r="R66" i="3"/>
  <c r="Q66" i="3"/>
  <c r="P66" i="3"/>
  <c r="O66" i="3"/>
  <c r="AH66" i="3"/>
  <c r="N66" i="3"/>
  <c r="AG66" i="3"/>
  <c r="M66" i="3"/>
  <c r="AF66" i="3"/>
  <c r="L66" i="3"/>
  <c r="AE66" i="3"/>
  <c r="K66" i="3"/>
  <c r="AD66" i="3"/>
  <c r="J66" i="3"/>
  <c r="AC66" i="3"/>
  <c r="I66" i="3"/>
  <c r="AB66" i="3"/>
  <c r="H66" i="3"/>
  <c r="AA66" i="3"/>
  <c r="G66" i="3"/>
  <c r="Z66" i="3"/>
  <c r="F66" i="3"/>
  <c r="X66" i="3"/>
  <c r="Y66" i="3"/>
  <c r="W66" i="3"/>
  <c r="V66" i="3"/>
  <c r="U66" i="3"/>
  <c r="T66" i="3"/>
  <c r="S66" i="3"/>
  <c r="AA41" i="3"/>
  <c r="G41" i="3"/>
  <c r="Z41" i="3"/>
  <c r="F41" i="3"/>
  <c r="Y41" i="3"/>
  <c r="X41" i="3"/>
  <c r="W41" i="3"/>
  <c r="I41" i="3"/>
  <c r="V41" i="3"/>
  <c r="U41" i="3"/>
  <c r="AC41" i="3"/>
  <c r="T41" i="3"/>
  <c r="S41" i="3"/>
  <c r="R41" i="3"/>
  <c r="Q41" i="3"/>
  <c r="P41" i="3"/>
  <c r="O41" i="3"/>
  <c r="AH41" i="3"/>
  <c r="N41" i="3"/>
  <c r="AG41" i="3"/>
  <c r="M41" i="3"/>
  <c r="AF41" i="3"/>
  <c r="L41" i="3"/>
  <c r="AE41" i="3"/>
  <c r="K41" i="3"/>
  <c r="AD41" i="3"/>
  <c r="J41" i="3"/>
  <c r="AB41" i="3"/>
  <c r="H41" i="3"/>
  <c r="S87" i="3"/>
  <c r="Q87" i="3"/>
  <c r="P87" i="3"/>
  <c r="O87" i="3"/>
  <c r="AH87" i="3"/>
  <c r="N87" i="3"/>
  <c r="AG87" i="3"/>
  <c r="M87" i="3"/>
  <c r="AE87" i="3"/>
  <c r="K87" i="3"/>
  <c r="AD87" i="3"/>
  <c r="J87" i="3"/>
  <c r="AA87" i="3"/>
  <c r="Z87" i="3"/>
  <c r="Y87" i="3"/>
  <c r="X87" i="3"/>
  <c r="W87" i="3"/>
  <c r="V87" i="3"/>
  <c r="U87" i="3"/>
  <c r="T87" i="3"/>
  <c r="R87" i="3"/>
  <c r="L87" i="3"/>
  <c r="I87" i="3"/>
  <c r="H87" i="3"/>
  <c r="G87" i="3"/>
  <c r="F87" i="3"/>
  <c r="AF87" i="3"/>
  <c r="AC87" i="3"/>
  <c r="AB87" i="3"/>
  <c r="AB29" i="3"/>
  <c r="H29" i="3"/>
  <c r="AA29" i="3"/>
  <c r="G29" i="3"/>
  <c r="Z29" i="3"/>
  <c r="F29" i="3"/>
  <c r="Y29" i="3"/>
  <c r="X29" i="3"/>
  <c r="W29" i="3"/>
  <c r="V29" i="3"/>
  <c r="U29" i="3"/>
  <c r="T29" i="3"/>
  <c r="S29" i="3"/>
  <c r="R29" i="3"/>
  <c r="J29" i="3"/>
  <c r="Q29" i="3"/>
  <c r="P29" i="3"/>
  <c r="O29" i="3"/>
  <c r="AH29" i="3"/>
  <c r="N29" i="3"/>
  <c r="AG29" i="3"/>
  <c r="M29" i="3"/>
  <c r="AF29" i="3"/>
  <c r="L29" i="3"/>
  <c r="AD29" i="3"/>
  <c r="AE29" i="3"/>
  <c r="K29" i="3"/>
  <c r="AC29" i="3"/>
  <c r="I29" i="3"/>
  <c r="R40" i="3"/>
  <c r="Q40" i="3"/>
  <c r="P40" i="3"/>
  <c r="O40" i="3"/>
  <c r="AH40" i="3"/>
  <c r="N40" i="3"/>
  <c r="AG40" i="3"/>
  <c r="M40" i="3"/>
  <c r="T40" i="3"/>
  <c r="AF40" i="3"/>
  <c r="L40" i="3"/>
  <c r="AE40" i="3"/>
  <c r="K40" i="3"/>
  <c r="AD40" i="3"/>
  <c r="J40" i="3"/>
  <c r="AC40" i="3"/>
  <c r="I40" i="3"/>
  <c r="AB40" i="3"/>
  <c r="H40" i="3"/>
  <c r="AA40" i="3"/>
  <c r="G40" i="3"/>
  <c r="Z40" i="3"/>
  <c r="F40" i="3"/>
  <c r="Y40" i="3"/>
  <c r="X40" i="3"/>
  <c r="W40" i="3"/>
  <c r="V40" i="3"/>
  <c r="U40" i="3"/>
  <c r="S40" i="3"/>
  <c r="AF84" i="3"/>
  <c r="L84" i="3"/>
  <c r="AD84" i="3"/>
  <c r="J84" i="3"/>
  <c r="AC84" i="3"/>
  <c r="I84" i="3"/>
  <c r="AB84" i="3"/>
  <c r="H84" i="3"/>
  <c r="AA84" i="3"/>
  <c r="G84" i="3"/>
  <c r="Z84" i="3"/>
  <c r="F84" i="3"/>
  <c r="W84" i="3"/>
  <c r="X84" i="3"/>
  <c r="V84" i="3"/>
  <c r="U84" i="3"/>
  <c r="T84" i="3"/>
  <c r="S84" i="3"/>
  <c r="R84" i="3"/>
  <c r="Q84" i="3"/>
  <c r="P84" i="3"/>
  <c r="O84" i="3"/>
  <c r="N84" i="3"/>
  <c r="M84" i="3"/>
  <c r="K84" i="3"/>
  <c r="AH84" i="3"/>
  <c r="AG84" i="3"/>
  <c r="AE84" i="3"/>
  <c r="Y84" i="3"/>
  <c r="AA47" i="3"/>
  <c r="G47" i="3"/>
  <c r="Z47" i="3"/>
  <c r="F47" i="3"/>
  <c r="Y47" i="3"/>
  <c r="X47" i="3"/>
  <c r="W47" i="3"/>
  <c r="V47" i="3"/>
  <c r="U47" i="3"/>
  <c r="T47" i="3"/>
  <c r="S47" i="3"/>
  <c r="R47" i="3"/>
  <c r="J47" i="3"/>
  <c r="I47" i="3"/>
  <c r="H47" i="3"/>
  <c r="L47" i="3"/>
  <c r="AH47" i="3"/>
  <c r="AG47" i="3"/>
  <c r="AF47" i="3"/>
  <c r="AE47" i="3"/>
  <c r="AD47" i="3"/>
  <c r="AC47" i="3"/>
  <c r="AB47" i="3"/>
  <c r="Q47" i="3"/>
  <c r="P47" i="3"/>
  <c r="O47" i="3"/>
  <c r="N47" i="3"/>
  <c r="M47" i="3"/>
  <c r="K47" i="3"/>
  <c r="AH123" i="3"/>
  <c r="N123" i="3"/>
  <c r="AG123" i="3"/>
  <c r="M123" i="3"/>
  <c r="AF123" i="3"/>
  <c r="L123" i="3"/>
  <c r="AE123" i="3"/>
  <c r="K123" i="3"/>
  <c r="AD123" i="3"/>
  <c r="J123" i="3"/>
  <c r="AC123" i="3"/>
  <c r="I123" i="3"/>
  <c r="AB123" i="3"/>
  <c r="H123" i="3"/>
  <c r="AA123" i="3"/>
  <c r="G123" i="3"/>
  <c r="Z123" i="3"/>
  <c r="F123" i="3"/>
  <c r="Y123" i="3"/>
  <c r="X123" i="3"/>
  <c r="W123" i="3"/>
  <c r="V123" i="3"/>
  <c r="U123" i="3"/>
  <c r="T123" i="3"/>
  <c r="R123" i="3"/>
  <c r="Q123" i="3"/>
  <c r="S123" i="3"/>
  <c r="P123" i="3"/>
  <c r="O123" i="3"/>
  <c r="Z132" i="3"/>
  <c r="F132" i="3"/>
  <c r="Y132" i="3"/>
  <c r="X132" i="3"/>
  <c r="W132" i="3"/>
  <c r="V132" i="3"/>
  <c r="U132" i="3"/>
  <c r="T132" i="3"/>
  <c r="S132" i="3"/>
  <c r="R132" i="3"/>
  <c r="Q132" i="3"/>
  <c r="P132" i="3"/>
  <c r="O132" i="3"/>
  <c r="AH132" i="3"/>
  <c r="N132" i="3"/>
  <c r="AG132" i="3"/>
  <c r="M132" i="3"/>
  <c r="AF132" i="3"/>
  <c r="L132" i="3"/>
  <c r="AE132" i="3"/>
  <c r="K132" i="3"/>
  <c r="AD132" i="3"/>
  <c r="J132" i="3"/>
  <c r="AC132" i="3"/>
  <c r="I132" i="3"/>
  <c r="AB132" i="3"/>
  <c r="AA132" i="3"/>
  <c r="H132" i="3"/>
  <c r="G132" i="3"/>
  <c r="AE16" i="3"/>
  <c r="K16" i="3"/>
  <c r="AD16" i="3"/>
  <c r="J16" i="3"/>
  <c r="AC16" i="3"/>
  <c r="I16" i="3"/>
  <c r="AB16" i="3"/>
  <c r="H16" i="3"/>
  <c r="AA16" i="3"/>
  <c r="G16" i="3"/>
  <c r="AG16" i="3"/>
  <c r="Z16" i="3"/>
  <c r="F16" i="3"/>
  <c r="Y16" i="3"/>
  <c r="X16" i="3"/>
  <c r="W16" i="3"/>
  <c r="M16" i="3"/>
  <c r="V16" i="3"/>
  <c r="U16" i="3"/>
  <c r="T16" i="3"/>
  <c r="S16" i="3"/>
  <c r="R16" i="3"/>
  <c r="Q16" i="3"/>
  <c r="P16" i="3"/>
  <c r="O16" i="3"/>
  <c r="AH16" i="3"/>
  <c r="N16" i="3"/>
  <c r="AF16" i="3"/>
  <c r="L16" i="3"/>
  <c r="Z11" i="3"/>
  <c r="F11" i="3"/>
  <c r="Y11" i="3"/>
  <c r="X11" i="3"/>
  <c r="W11" i="3"/>
  <c r="V11" i="3"/>
  <c r="U11" i="3"/>
  <c r="H11" i="3"/>
  <c r="T11" i="3"/>
  <c r="S11" i="3"/>
  <c r="R11" i="3"/>
  <c r="AB11" i="3"/>
  <c r="Q11" i="3"/>
  <c r="P11" i="3"/>
  <c r="O11" i="3"/>
  <c r="AH11" i="3"/>
  <c r="N11" i="3"/>
  <c r="AG11" i="3"/>
  <c r="M11" i="3"/>
  <c r="AF11" i="3"/>
  <c r="L11" i="3"/>
  <c r="AE11" i="3"/>
  <c r="K11" i="3"/>
  <c r="AD11" i="3"/>
  <c r="J11" i="3"/>
  <c r="AC11" i="3"/>
  <c r="I11" i="3"/>
  <c r="AA11" i="3"/>
  <c r="G11" i="3"/>
  <c r="W124" i="3"/>
  <c r="V124" i="3"/>
  <c r="U124" i="3"/>
  <c r="T124" i="3"/>
  <c r="S124" i="3"/>
  <c r="R124" i="3"/>
  <c r="Q124" i="3"/>
  <c r="P124" i="3"/>
  <c r="O124" i="3"/>
  <c r="AH124" i="3"/>
  <c r="N124" i="3"/>
  <c r="AG124" i="3"/>
  <c r="M124" i="3"/>
  <c r="AF124" i="3"/>
  <c r="L124" i="3"/>
  <c r="AE124" i="3"/>
  <c r="K124" i="3"/>
  <c r="AD124" i="3"/>
  <c r="J124" i="3"/>
  <c r="AC124" i="3"/>
  <c r="I124" i="3"/>
  <c r="AB124" i="3"/>
  <c r="H124" i="3"/>
  <c r="AA124" i="3"/>
  <c r="G124" i="3"/>
  <c r="Z124" i="3"/>
  <c r="F124" i="3"/>
  <c r="Y124" i="3"/>
  <c r="X124" i="3"/>
  <c r="AG93" i="3"/>
  <c r="M93" i="3"/>
  <c r="AE93" i="3"/>
  <c r="K93" i="3"/>
  <c r="AD93" i="3"/>
  <c r="J93" i="3"/>
  <c r="AC93" i="3"/>
  <c r="I93" i="3"/>
  <c r="AB93" i="3"/>
  <c r="H93" i="3"/>
  <c r="AA93" i="3"/>
  <c r="G93" i="3"/>
  <c r="Y93" i="3"/>
  <c r="X93" i="3"/>
  <c r="AH93" i="3"/>
  <c r="AF93" i="3"/>
  <c r="Z93" i="3"/>
  <c r="W93" i="3"/>
  <c r="V93" i="3"/>
  <c r="U93" i="3"/>
  <c r="T93" i="3"/>
  <c r="S93" i="3"/>
  <c r="R93" i="3"/>
  <c r="Q93" i="3"/>
  <c r="P93" i="3"/>
  <c r="O93" i="3"/>
  <c r="N93" i="3"/>
  <c r="L93" i="3"/>
  <c r="F93" i="3"/>
  <c r="Y81" i="3"/>
  <c r="W81" i="3"/>
  <c r="V81" i="3"/>
  <c r="U81" i="3"/>
  <c r="T81" i="3"/>
  <c r="S81" i="3"/>
  <c r="P81" i="3"/>
  <c r="AB81" i="3"/>
  <c r="AA81" i="3"/>
  <c r="Z81" i="3"/>
  <c r="X81" i="3"/>
  <c r="R81" i="3"/>
  <c r="Q81" i="3"/>
  <c r="O81" i="3"/>
  <c r="N81" i="3"/>
  <c r="M81" i="3"/>
  <c r="L81" i="3"/>
  <c r="K81" i="3"/>
  <c r="J81" i="3"/>
  <c r="I81" i="3"/>
  <c r="H81" i="3"/>
  <c r="AH81" i="3"/>
  <c r="G81" i="3"/>
  <c r="AG81" i="3"/>
  <c r="F81" i="3"/>
  <c r="AF81" i="3"/>
  <c r="AE81" i="3"/>
  <c r="AD81" i="3"/>
  <c r="AC81" i="3"/>
  <c r="O91" i="3"/>
  <c r="AG91" i="3"/>
  <c r="M91" i="3"/>
  <c r="AF91" i="3"/>
  <c r="L91" i="3"/>
  <c r="AE91" i="3"/>
  <c r="K91" i="3"/>
  <c r="AD91" i="3"/>
  <c r="J91" i="3"/>
  <c r="AC91" i="3"/>
  <c r="I91" i="3"/>
  <c r="AA91" i="3"/>
  <c r="G91" i="3"/>
  <c r="Z91" i="3"/>
  <c r="F91" i="3"/>
  <c r="AH91" i="3"/>
  <c r="AB91" i="3"/>
  <c r="Y91" i="3"/>
  <c r="X91" i="3"/>
  <c r="W91" i="3"/>
  <c r="V91" i="3"/>
  <c r="U91" i="3"/>
  <c r="T91" i="3"/>
  <c r="S91" i="3"/>
  <c r="R91" i="3"/>
  <c r="Q91" i="3"/>
  <c r="P91" i="3"/>
  <c r="N91" i="3"/>
  <c r="H91" i="3"/>
  <c r="Q131" i="3"/>
  <c r="P131" i="3"/>
  <c r="O131" i="3"/>
  <c r="AH131" i="3"/>
  <c r="N131" i="3"/>
  <c r="AG131" i="3"/>
  <c r="M131" i="3"/>
  <c r="AF131" i="3"/>
  <c r="L131" i="3"/>
  <c r="AE131" i="3"/>
  <c r="K131" i="3"/>
  <c r="AD131" i="3"/>
  <c r="J131" i="3"/>
  <c r="AC131" i="3"/>
  <c r="I131" i="3"/>
  <c r="AB131" i="3"/>
  <c r="H131" i="3"/>
  <c r="AA131" i="3"/>
  <c r="G131" i="3"/>
  <c r="Z131" i="3"/>
  <c r="F131" i="3"/>
  <c r="Y131" i="3"/>
  <c r="X131" i="3"/>
  <c r="W131" i="3"/>
  <c r="V131" i="3"/>
  <c r="U131" i="3"/>
  <c r="T131" i="3"/>
  <c r="S131" i="3"/>
  <c r="R131" i="3"/>
  <c r="V62" i="3"/>
  <c r="U62" i="3"/>
  <c r="T62" i="3"/>
  <c r="S62" i="3"/>
  <c r="R62" i="3"/>
  <c r="Q62" i="3"/>
  <c r="P62" i="3"/>
  <c r="O62" i="3"/>
  <c r="AH62" i="3"/>
  <c r="N62" i="3"/>
  <c r="AG62" i="3"/>
  <c r="M62" i="3"/>
  <c r="AF62" i="3"/>
  <c r="L62" i="3"/>
  <c r="AE62" i="3"/>
  <c r="K62" i="3"/>
  <c r="H62" i="3"/>
  <c r="G62" i="3"/>
  <c r="F62" i="3"/>
  <c r="J62" i="3"/>
  <c r="AD62" i="3"/>
  <c r="AC62" i="3"/>
  <c r="AB62" i="3"/>
  <c r="AA62" i="3"/>
  <c r="Z62" i="3"/>
  <c r="Y62" i="3"/>
  <c r="X62" i="3"/>
  <c r="W62" i="3"/>
  <c r="I62" i="3"/>
  <c r="AB9" i="3"/>
  <c r="H9" i="3"/>
  <c r="AA9" i="3"/>
  <c r="G9" i="3"/>
  <c r="AD9" i="3"/>
  <c r="Z9" i="3"/>
  <c r="F9" i="3"/>
  <c r="Y9" i="3"/>
  <c r="X9" i="3"/>
  <c r="W9" i="3"/>
  <c r="V9" i="3"/>
  <c r="U9" i="3"/>
  <c r="T9" i="3"/>
  <c r="S9" i="3"/>
  <c r="R9" i="3"/>
  <c r="Q9" i="3"/>
  <c r="P9" i="3"/>
  <c r="O9" i="3"/>
  <c r="AH9" i="3"/>
  <c r="N9" i="3"/>
  <c r="AG9" i="3"/>
  <c r="M9" i="3"/>
  <c r="AF9" i="3"/>
  <c r="L9" i="3"/>
  <c r="AE9" i="3"/>
  <c r="K9" i="3"/>
  <c r="J9" i="3"/>
  <c r="I9" i="3"/>
  <c r="AC9" i="3"/>
  <c r="R98" i="3"/>
  <c r="Q98" i="3"/>
  <c r="P98" i="3"/>
  <c r="O98" i="3"/>
  <c r="AH98" i="3"/>
  <c r="N98" i="3"/>
  <c r="AG98" i="3"/>
  <c r="M98" i="3"/>
  <c r="AF98" i="3"/>
  <c r="L98" i="3"/>
  <c r="AE98" i="3"/>
  <c r="K98" i="3"/>
  <c r="AD98" i="3"/>
  <c r="J98" i="3"/>
  <c r="AC98" i="3"/>
  <c r="I98" i="3"/>
  <c r="AB98" i="3"/>
  <c r="H98" i="3"/>
  <c r="AA98" i="3"/>
  <c r="Z98" i="3"/>
  <c r="Y98" i="3"/>
  <c r="X98" i="3"/>
  <c r="W98" i="3"/>
  <c r="V98" i="3"/>
  <c r="U98" i="3"/>
  <c r="T98" i="3"/>
  <c r="S98" i="3"/>
  <c r="G98" i="3"/>
  <c r="F98" i="3"/>
  <c r="Z58" i="3"/>
  <c r="F58" i="3"/>
  <c r="Y58" i="3"/>
  <c r="X58" i="3"/>
  <c r="W58" i="3"/>
  <c r="V58" i="3"/>
  <c r="U58" i="3"/>
  <c r="T58" i="3"/>
  <c r="S58" i="3"/>
  <c r="R58" i="3"/>
  <c r="Q58" i="3"/>
  <c r="P58" i="3"/>
  <c r="AH58" i="3"/>
  <c r="AG58" i="3"/>
  <c r="AF58" i="3"/>
  <c r="AE58" i="3"/>
  <c r="AD58" i="3"/>
  <c r="AC58" i="3"/>
  <c r="AB58" i="3"/>
  <c r="AA58" i="3"/>
  <c r="O58" i="3"/>
  <c r="N58" i="3"/>
  <c r="M58" i="3"/>
  <c r="L58" i="3"/>
  <c r="K58" i="3"/>
  <c r="J58" i="3"/>
  <c r="I58" i="3"/>
  <c r="H58" i="3"/>
  <c r="G58" i="3"/>
  <c r="AG114" i="3"/>
  <c r="M114" i="3"/>
  <c r="AF114" i="3"/>
  <c r="L114" i="3"/>
  <c r="AE114" i="3"/>
  <c r="K114" i="3"/>
  <c r="AD114" i="3"/>
  <c r="J114" i="3"/>
  <c r="AC114" i="3"/>
  <c r="I114" i="3"/>
  <c r="AB114" i="3"/>
  <c r="H114" i="3"/>
  <c r="AA114" i="3"/>
  <c r="G114" i="3"/>
  <c r="Z114" i="3"/>
  <c r="F114" i="3"/>
  <c r="Y114" i="3"/>
  <c r="X114" i="3"/>
  <c r="W114" i="3"/>
  <c r="U114" i="3"/>
  <c r="AH114" i="3"/>
  <c r="V114" i="3"/>
  <c r="T114" i="3"/>
  <c r="S114" i="3"/>
  <c r="R114" i="3"/>
  <c r="Q114" i="3"/>
  <c r="P114" i="3"/>
  <c r="O114" i="3"/>
  <c r="N114" i="3"/>
  <c r="Y102" i="3"/>
  <c r="X102" i="3"/>
  <c r="W102" i="3"/>
  <c r="V102" i="3"/>
  <c r="U102" i="3"/>
  <c r="T102" i="3"/>
  <c r="S102" i="3"/>
  <c r="R102" i="3"/>
  <c r="Q102" i="3"/>
  <c r="P102" i="3"/>
  <c r="O102" i="3"/>
  <c r="AG102" i="3"/>
  <c r="M102" i="3"/>
  <c r="AC102" i="3"/>
  <c r="AB102" i="3"/>
  <c r="AA102" i="3"/>
  <c r="Z102" i="3"/>
  <c r="N102" i="3"/>
  <c r="L102" i="3"/>
  <c r="K102" i="3"/>
  <c r="J102" i="3"/>
  <c r="I102" i="3"/>
  <c r="H102" i="3"/>
  <c r="G102" i="3"/>
  <c r="F102" i="3"/>
  <c r="AH102" i="3"/>
  <c r="AF102" i="3"/>
  <c r="AE102" i="3"/>
  <c r="AD102" i="3"/>
  <c r="R78" i="3"/>
  <c r="P78" i="3"/>
  <c r="O78" i="3"/>
  <c r="AH78" i="3"/>
  <c r="N78" i="3"/>
  <c r="AG78" i="3"/>
  <c r="M78" i="3"/>
  <c r="AF78" i="3"/>
  <c r="L78" i="3"/>
  <c r="AC78" i="3"/>
  <c r="I78" i="3"/>
  <c r="AA78" i="3"/>
  <c r="Z78" i="3"/>
  <c r="Y78" i="3"/>
  <c r="X78" i="3"/>
  <c r="W78" i="3"/>
  <c r="V78" i="3"/>
  <c r="U78" i="3"/>
  <c r="T78" i="3"/>
  <c r="S78" i="3"/>
  <c r="Q78" i="3"/>
  <c r="K78" i="3"/>
  <c r="J78" i="3"/>
  <c r="H78" i="3"/>
  <c r="G78" i="3"/>
  <c r="F78" i="3"/>
  <c r="AE78" i="3"/>
  <c r="AD78" i="3"/>
  <c r="AB78" i="3"/>
  <c r="P121" i="3"/>
  <c r="O121" i="3"/>
  <c r="AH121" i="3"/>
  <c r="N121" i="3"/>
  <c r="AG121" i="3"/>
  <c r="M121" i="3"/>
  <c r="AF121" i="3"/>
  <c r="L121" i="3"/>
  <c r="AE121" i="3"/>
  <c r="K121" i="3"/>
  <c r="AD121" i="3"/>
  <c r="J121" i="3"/>
  <c r="AC121" i="3"/>
  <c r="I121" i="3"/>
  <c r="AB121" i="3"/>
  <c r="H121" i="3"/>
  <c r="AA121" i="3"/>
  <c r="G121" i="3"/>
  <c r="Z121" i="3"/>
  <c r="F121" i="3"/>
  <c r="Y121" i="3"/>
  <c r="X121" i="3"/>
  <c r="W121" i="3"/>
  <c r="V121" i="3"/>
  <c r="T121" i="3"/>
  <c r="S121" i="3"/>
  <c r="U121" i="3"/>
  <c r="R121" i="3"/>
  <c r="Q121" i="3"/>
  <c r="AG14" i="3"/>
  <c r="M14" i="3"/>
  <c r="AF14" i="3"/>
  <c r="L14" i="3"/>
  <c r="AE14" i="3"/>
  <c r="K14" i="3"/>
  <c r="AD14" i="3"/>
  <c r="J14" i="3"/>
  <c r="O14" i="3"/>
  <c r="AC14" i="3"/>
  <c r="I14" i="3"/>
  <c r="AB14" i="3"/>
  <c r="H14" i="3"/>
  <c r="AA14" i="3"/>
  <c r="G14" i="3"/>
  <c r="Z14" i="3"/>
  <c r="F14" i="3"/>
  <c r="Y14" i="3"/>
  <c r="X14" i="3"/>
  <c r="W14" i="3"/>
  <c r="V14" i="3"/>
  <c r="U14" i="3"/>
  <c r="T14" i="3"/>
  <c r="S14" i="3"/>
  <c r="R14" i="3"/>
  <c r="Q14" i="3"/>
  <c r="P14" i="3"/>
  <c r="AH14" i="3"/>
  <c r="N14" i="3"/>
  <c r="W72" i="3"/>
  <c r="V72" i="3"/>
  <c r="U72" i="3"/>
  <c r="T72" i="3"/>
  <c r="S72" i="3"/>
  <c r="R72" i="3"/>
  <c r="Q72" i="3"/>
  <c r="P72" i="3"/>
  <c r="O72" i="3"/>
  <c r="AH72" i="3"/>
  <c r="N72" i="3"/>
  <c r="AG72" i="3"/>
  <c r="M72" i="3"/>
  <c r="AF72" i="3"/>
  <c r="L72" i="3"/>
  <c r="AE72" i="3"/>
  <c r="K72" i="3"/>
  <c r="AD72" i="3"/>
  <c r="J72" i="3"/>
  <c r="AC72" i="3"/>
  <c r="I72" i="3"/>
  <c r="AB72" i="3"/>
  <c r="AA72" i="3"/>
  <c r="Z72" i="3"/>
  <c r="Y72" i="3"/>
  <c r="X72" i="3"/>
  <c r="H72" i="3"/>
  <c r="G72" i="3"/>
  <c r="F72" i="3"/>
  <c r="U106" i="3"/>
  <c r="T106" i="3"/>
  <c r="S106" i="3"/>
  <c r="R106" i="3"/>
  <c r="Q106" i="3"/>
  <c r="P106" i="3"/>
  <c r="O106" i="3"/>
  <c r="AH106" i="3"/>
  <c r="N106" i="3"/>
  <c r="AG106" i="3"/>
  <c r="M106" i="3"/>
  <c r="AF106" i="3"/>
  <c r="L106" i="3"/>
  <c r="AE106" i="3"/>
  <c r="K106" i="3"/>
  <c r="AC106" i="3"/>
  <c r="I106" i="3"/>
  <c r="AD106" i="3"/>
  <c r="AB106" i="3"/>
  <c r="AA106" i="3"/>
  <c r="Z106" i="3"/>
  <c r="Y106" i="3"/>
  <c r="X106" i="3"/>
  <c r="W106" i="3"/>
  <c r="V106" i="3"/>
  <c r="J106" i="3"/>
  <c r="H106" i="3"/>
  <c r="G106" i="3"/>
  <c r="F106" i="3"/>
  <c r="S108" i="3"/>
  <c r="R108" i="3"/>
  <c r="Q108" i="3"/>
  <c r="P108" i="3"/>
  <c r="O108" i="3"/>
  <c r="AH108" i="3"/>
  <c r="N108" i="3"/>
  <c r="AG108" i="3"/>
  <c r="M108" i="3"/>
  <c r="AF108" i="3"/>
  <c r="L108" i="3"/>
  <c r="AE108" i="3"/>
  <c r="K108" i="3"/>
  <c r="AD108" i="3"/>
  <c r="J108" i="3"/>
  <c r="AC108" i="3"/>
  <c r="I108" i="3"/>
  <c r="AA108" i="3"/>
  <c r="G108" i="3"/>
  <c r="AB108" i="3"/>
  <c r="Z108" i="3"/>
  <c r="Y108" i="3"/>
  <c r="X108" i="3"/>
  <c r="W108" i="3"/>
  <c r="V108" i="3"/>
  <c r="U108" i="3"/>
  <c r="T108" i="3"/>
  <c r="H108" i="3"/>
  <c r="F108" i="3"/>
  <c r="V94" i="3"/>
  <c r="T94" i="3"/>
  <c r="S94" i="3"/>
  <c r="R94" i="3"/>
  <c r="Q94" i="3"/>
  <c r="P94" i="3"/>
  <c r="AH94" i="3"/>
  <c r="N94" i="3"/>
  <c r="AG94" i="3"/>
  <c r="M94" i="3"/>
  <c r="F94" i="3"/>
  <c r="AF94" i="3"/>
  <c r="AE94" i="3"/>
  <c r="AD94" i="3"/>
  <c r="AC94" i="3"/>
  <c r="AB94" i="3"/>
  <c r="AA94" i="3"/>
  <c r="Z94" i="3"/>
  <c r="Y94" i="3"/>
  <c r="X94" i="3"/>
  <c r="W94" i="3"/>
  <c r="U94" i="3"/>
  <c r="O94" i="3"/>
  <c r="L94" i="3"/>
  <c r="K94" i="3"/>
  <c r="J94" i="3"/>
  <c r="I94" i="3"/>
  <c r="H94" i="3"/>
  <c r="G94" i="3"/>
  <c r="AF105" i="3"/>
  <c r="L105" i="3"/>
  <c r="AE105" i="3"/>
  <c r="K105" i="3"/>
  <c r="AD105" i="3"/>
  <c r="J105" i="3"/>
  <c r="AC105" i="3"/>
  <c r="I105" i="3"/>
  <c r="AB105" i="3"/>
  <c r="H105" i="3"/>
  <c r="AA105" i="3"/>
  <c r="G105" i="3"/>
  <c r="Z105" i="3"/>
  <c r="F105" i="3"/>
  <c r="Y105" i="3"/>
  <c r="X105" i="3"/>
  <c r="W105" i="3"/>
  <c r="V105" i="3"/>
  <c r="T105" i="3"/>
  <c r="AH105" i="3"/>
  <c r="AG105" i="3"/>
  <c r="U105" i="3"/>
  <c r="S105" i="3"/>
  <c r="R105" i="3"/>
  <c r="Q105" i="3"/>
  <c r="P105" i="3"/>
  <c r="O105" i="3"/>
  <c r="N105" i="3"/>
  <c r="M105" i="3"/>
  <c r="Y122" i="3"/>
  <c r="X122" i="3"/>
  <c r="W122" i="3"/>
  <c r="V122" i="3"/>
  <c r="U122" i="3"/>
  <c r="T122" i="3"/>
  <c r="S122" i="3"/>
  <c r="R122" i="3"/>
  <c r="Q122" i="3"/>
  <c r="P122" i="3"/>
  <c r="O122" i="3"/>
  <c r="AH122" i="3"/>
  <c r="N122" i="3"/>
  <c r="AG122" i="3"/>
  <c r="M122" i="3"/>
  <c r="AF122" i="3"/>
  <c r="L122" i="3"/>
  <c r="AE122" i="3"/>
  <c r="K122" i="3"/>
  <c r="AC122" i="3"/>
  <c r="I122" i="3"/>
  <c r="AB122" i="3"/>
  <c r="H122" i="3"/>
  <c r="AD122" i="3"/>
  <c r="AA122" i="3"/>
  <c r="Z122" i="3"/>
  <c r="J122" i="3"/>
  <c r="G122" i="3"/>
  <c r="F122" i="3"/>
  <c r="V115" i="3"/>
  <c r="U115" i="3"/>
  <c r="T115" i="3"/>
  <c r="S115" i="3"/>
  <c r="R115" i="3"/>
  <c r="Q115" i="3"/>
  <c r="P115" i="3"/>
  <c r="O115" i="3"/>
  <c r="AH115" i="3"/>
  <c r="N115" i="3"/>
  <c r="AG115" i="3"/>
  <c r="M115" i="3"/>
  <c r="AF115" i="3"/>
  <c r="L115" i="3"/>
  <c r="AE115" i="3"/>
  <c r="AD115" i="3"/>
  <c r="J115" i="3"/>
  <c r="Y115" i="3"/>
  <c r="H115" i="3"/>
  <c r="G115" i="3"/>
  <c r="F115" i="3"/>
  <c r="AC115" i="3"/>
  <c r="AB115" i="3"/>
  <c r="AA115" i="3"/>
  <c r="Z115" i="3"/>
  <c r="X115" i="3"/>
  <c r="W115" i="3"/>
  <c r="K115" i="3"/>
  <c r="I115" i="3"/>
  <c r="U74" i="3"/>
  <c r="T74" i="3"/>
  <c r="S74" i="3"/>
  <c r="R74" i="3"/>
  <c r="Q74" i="3"/>
  <c r="P74" i="3"/>
  <c r="O74" i="3"/>
  <c r="AH74" i="3"/>
  <c r="N74" i="3"/>
  <c r="AG74" i="3"/>
  <c r="M74" i="3"/>
  <c r="AF74" i="3"/>
  <c r="L74" i="3"/>
  <c r="AE74" i="3"/>
  <c r="K74" i="3"/>
  <c r="AD74" i="3"/>
  <c r="J74" i="3"/>
  <c r="AC74" i="3"/>
  <c r="I74" i="3"/>
  <c r="AB74" i="3"/>
  <c r="H74" i="3"/>
  <c r="AA74" i="3"/>
  <c r="G74" i="3"/>
  <c r="Z74" i="3"/>
  <c r="F74" i="3"/>
  <c r="X74" i="3"/>
  <c r="Y74" i="3"/>
  <c r="W74" i="3"/>
  <c r="V74" i="3"/>
  <c r="V42" i="3"/>
  <c r="U42" i="3"/>
  <c r="AH42" i="3"/>
  <c r="AG42" i="3"/>
  <c r="P42" i="3"/>
  <c r="O42" i="3"/>
  <c r="N42" i="3"/>
  <c r="M42" i="3"/>
  <c r="L42" i="3"/>
  <c r="K42" i="3"/>
  <c r="AF42" i="3"/>
  <c r="J42" i="3"/>
  <c r="AE42" i="3"/>
  <c r="I42" i="3"/>
  <c r="AD42" i="3"/>
  <c r="H42" i="3"/>
  <c r="R42" i="3"/>
  <c r="AC42" i="3"/>
  <c r="G42" i="3"/>
  <c r="AB42" i="3"/>
  <c r="F42" i="3"/>
  <c r="AA42" i="3"/>
  <c r="Z42" i="3"/>
  <c r="Y42" i="3"/>
  <c r="X42" i="3"/>
  <c r="W42" i="3"/>
  <c r="T42" i="3"/>
  <c r="S42" i="3"/>
  <c r="Q42" i="3"/>
  <c r="AB88" i="3"/>
  <c r="H88" i="3"/>
  <c r="Z88" i="3"/>
  <c r="F88" i="3"/>
  <c r="Y88" i="3"/>
  <c r="X88" i="3"/>
  <c r="W88" i="3"/>
  <c r="V88" i="3"/>
  <c r="T88" i="3"/>
  <c r="S88" i="3"/>
  <c r="AE88" i="3"/>
  <c r="AD88" i="3"/>
  <c r="AC88" i="3"/>
  <c r="AA88" i="3"/>
  <c r="U88" i="3"/>
  <c r="R88" i="3"/>
  <c r="Q88" i="3"/>
  <c r="P88" i="3"/>
  <c r="O88" i="3"/>
  <c r="N88" i="3"/>
  <c r="M88" i="3"/>
  <c r="L88" i="3"/>
  <c r="K88" i="3"/>
  <c r="J88" i="3"/>
  <c r="I88" i="3"/>
  <c r="G88" i="3"/>
  <c r="AH88" i="3"/>
  <c r="AG88" i="3"/>
  <c r="AF88" i="3"/>
  <c r="AB129" i="3"/>
  <c r="H129" i="3"/>
  <c r="AA129" i="3"/>
  <c r="G129" i="3"/>
  <c r="Z129" i="3"/>
  <c r="F129" i="3"/>
  <c r="Y129" i="3"/>
  <c r="X129" i="3"/>
  <c r="W129" i="3"/>
  <c r="V129" i="3"/>
  <c r="U129" i="3"/>
  <c r="T129" i="3"/>
  <c r="S129" i="3"/>
  <c r="R129" i="3"/>
  <c r="Q129" i="3"/>
  <c r="P129" i="3"/>
  <c r="O129" i="3"/>
  <c r="AH129" i="3"/>
  <c r="N129" i="3"/>
  <c r="AG129" i="3"/>
  <c r="M129" i="3"/>
  <c r="AF129" i="3"/>
  <c r="L129" i="3"/>
  <c r="AE129" i="3"/>
  <c r="K129" i="3"/>
  <c r="AD129" i="3"/>
  <c r="AC129" i="3"/>
  <c r="J129" i="3"/>
  <c r="I129" i="3"/>
  <c r="U85" i="3"/>
  <c r="S85" i="3"/>
  <c r="R85" i="3"/>
  <c r="Q85" i="3"/>
  <c r="P85" i="3"/>
  <c r="O85" i="3"/>
  <c r="AG85" i="3"/>
  <c r="AF85" i="3"/>
  <c r="L85" i="3"/>
  <c r="Z85" i="3"/>
  <c r="Y85" i="3"/>
  <c r="X85" i="3"/>
  <c r="W85" i="3"/>
  <c r="V85" i="3"/>
  <c r="T85" i="3"/>
  <c r="N85" i="3"/>
  <c r="M85" i="3"/>
  <c r="K85" i="3"/>
  <c r="J85" i="3"/>
  <c r="I85" i="3"/>
  <c r="H85" i="3"/>
  <c r="G85" i="3"/>
  <c r="F85" i="3"/>
  <c r="AH85" i="3"/>
  <c r="AE85" i="3"/>
  <c r="AD85" i="3"/>
  <c r="AC85" i="3"/>
  <c r="AB85" i="3"/>
  <c r="AA85" i="3"/>
  <c r="AA20" i="3"/>
  <c r="G20" i="3"/>
  <c r="AC20" i="3"/>
  <c r="Z20" i="3"/>
  <c r="F20" i="3"/>
  <c r="Y20" i="3"/>
  <c r="X20" i="3"/>
  <c r="W20" i="3"/>
  <c r="I20" i="3"/>
  <c r="V20" i="3"/>
  <c r="U20" i="3"/>
  <c r="T20" i="3"/>
  <c r="S20" i="3"/>
  <c r="R20" i="3"/>
  <c r="Q20" i="3"/>
  <c r="P20" i="3"/>
  <c r="O20" i="3"/>
  <c r="AH20" i="3"/>
  <c r="N20" i="3"/>
  <c r="AG20" i="3"/>
  <c r="M20" i="3"/>
  <c r="AF20" i="3"/>
  <c r="L20" i="3"/>
  <c r="AE20" i="3"/>
  <c r="K20" i="3"/>
  <c r="AD20" i="3"/>
  <c r="J20" i="3"/>
  <c r="AB20" i="3"/>
  <c r="H20" i="3"/>
  <c r="S28" i="3"/>
  <c r="R28" i="3"/>
  <c r="U28" i="3"/>
  <c r="Q28" i="3"/>
  <c r="P28" i="3"/>
  <c r="O28" i="3"/>
  <c r="AH28" i="3"/>
  <c r="N28" i="3"/>
  <c r="AG28" i="3"/>
  <c r="M28" i="3"/>
  <c r="AF28" i="3"/>
  <c r="L28" i="3"/>
  <c r="AE28" i="3"/>
  <c r="K28" i="3"/>
  <c r="AD28" i="3"/>
  <c r="J28" i="3"/>
  <c r="AC28" i="3"/>
  <c r="I28" i="3"/>
  <c r="AB28" i="3"/>
  <c r="H28" i="3"/>
  <c r="AA28" i="3"/>
  <c r="G28" i="3"/>
  <c r="Z28" i="3"/>
  <c r="F28" i="3"/>
  <c r="Y28" i="3"/>
  <c r="X28" i="3"/>
  <c r="W28" i="3"/>
  <c r="V28" i="3"/>
  <c r="T28" i="3"/>
  <c r="P101" i="3"/>
  <c r="O101" i="3"/>
  <c r="AH101" i="3"/>
  <c r="N101" i="3"/>
  <c r="AG101" i="3"/>
  <c r="M101" i="3"/>
  <c r="AF101" i="3"/>
  <c r="L101" i="3"/>
  <c r="AE101" i="3"/>
  <c r="K101" i="3"/>
  <c r="AD101" i="3"/>
  <c r="J101" i="3"/>
  <c r="AC101" i="3"/>
  <c r="I101" i="3"/>
  <c r="AB101" i="3"/>
  <c r="H101" i="3"/>
  <c r="AA101" i="3"/>
  <c r="G101" i="3"/>
  <c r="Z101" i="3"/>
  <c r="F101" i="3"/>
  <c r="X101" i="3"/>
  <c r="Q101" i="3"/>
  <c r="Y101" i="3"/>
  <c r="W101" i="3"/>
  <c r="V101" i="3"/>
  <c r="U101" i="3"/>
  <c r="T101" i="3"/>
  <c r="S101" i="3"/>
  <c r="R101" i="3"/>
  <c r="AF125" i="3"/>
  <c r="L125" i="3"/>
  <c r="AE125" i="3"/>
  <c r="K125" i="3"/>
  <c r="AD125" i="3"/>
  <c r="J125" i="3"/>
  <c r="AC125" i="3"/>
  <c r="I125" i="3"/>
  <c r="AB125" i="3"/>
  <c r="H125" i="3"/>
  <c r="AA125" i="3"/>
  <c r="G125" i="3"/>
  <c r="Z125" i="3"/>
  <c r="F125" i="3"/>
  <c r="Y125" i="3"/>
  <c r="X125" i="3"/>
  <c r="W125" i="3"/>
  <c r="V125" i="3"/>
  <c r="U125" i="3"/>
  <c r="T125" i="3"/>
  <c r="S125" i="3"/>
  <c r="R125" i="3"/>
  <c r="Q125" i="3"/>
  <c r="P125" i="3"/>
  <c r="O125" i="3"/>
  <c r="AH125" i="3"/>
  <c r="AG125" i="3"/>
  <c r="N125" i="3"/>
  <c r="M125" i="3"/>
  <c r="R119" i="3"/>
  <c r="Q119" i="3"/>
  <c r="P119" i="3"/>
  <c r="O119" i="3"/>
  <c r="AH119" i="3"/>
  <c r="N119" i="3"/>
  <c r="AG119" i="3"/>
  <c r="M119" i="3"/>
  <c r="AF119" i="3"/>
  <c r="L119" i="3"/>
  <c r="AE119" i="3"/>
  <c r="K119" i="3"/>
  <c r="AD119" i="3"/>
  <c r="J119" i="3"/>
  <c r="AC119" i="3"/>
  <c r="I119" i="3"/>
  <c r="AB119" i="3"/>
  <c r="H119" i="3"/>
  <c r="AA119" i="3"/>
  <c r="G119" i="3"/>
  <c r="Z119" i="3"/>
  <c r="F119" i="3"/>
  <c r="Y119" i="3"/>
  <c r="X119" i="3"/>
  <c r="V119" i="3"/>
  <c r="U119" i="3"/>
  <c r="T119" i="3"/>
  <c r="S119" i="3"/>
  <c r="W119" i="3"/>
  <c r="P21" i="3"/>
  <c r="O21" i="3"/>
  <c r="AH21" i="3"/>
  <c r="N21" i="3"/>
  <c r="AG21" i="3"/>
  <c r="M21" i="3"/>
  <c r="AF21" i="3"/>
  <c r="L21" i="3"/>
  <c r="AE21" i="3"/>
  <c r="K21" i="3"/>
  <c r="AD21" i="3"/>
  <c r="J21" i="3"/>
  <c r="AC21" i="3"/>
  <c r="I21" i="3"/>
  <c r="AB21" i="3"/>
  <c r="H21" i="3"/>
  <c r="AA21" i="3"/>
  <c r="G21" i="3"/>
  <c r="R21" i="3"/>
  <c r="Z21" i="3"/>
  <c r="F21" i="3"/>
  <c r="Y21" i="3"/>
  <c r="X21" i="3"/>
  <c r="W21" i="3"/>
  <c r="V21" i="3"/>
  <c r="U21" i="3"/>
  <c r="T21" i="3"/>
  <c r="S21" i="3"/>
  <c r="Q21" i="3"/>
  <c r="O112" i="3"/>
  <c r="AH112" i="3"/>
  <c r="N112" i="3"/>
  <c r="AG112" i="3"/>
  <c r="M112" i="3"/>
  <c r="AF112" i="3"/>
  <c r="L112" i="3"/>
  <c r="AE112" i="3"/>
  <c r="K112" i="3"/>
  <c r="AD112" i="3"/>
  <c r="J112" i="3"/>
  <c r="AC112" i="3"/>
  <c r="I112" i="3"/>
  <c r="AB112" i="3"/>
  <c r="H112" i="3"/>
  <c r="AA112" i="3"/>
  <c r="G112" i="3"/>
  <c r="Z112" i="3"/>
  <c r="F112" i="3"/>
  <c r="Y112" i="3"/>
  <c r="W112" i="3"/>
  <c r="X112" i="3"/>
  <c r="V112" i="3"/>
  <c r="U112" i="3"/>
  <c r="T112" i="3"/>
  <c r="S112" i="3"/>
  <c r="R112" i="3"/>
  <c r="Q112" i="3"/>
  <c r="P112" i="3"/>
  <c r="AH82" i="3"/>
  <c r="N82" i="3"/>
  <c r="AF82" i="3"/>
  <c r="L82" i="3"/>
  <c r="AE82" i="3"/>
  <c r="K82" i="3"/>
  <c r="AD82" i="3"/>
  <c r="J82" i="3"/>
  <c r="AC82" i="3"/>
  <c r="I82" i="3"/>
  <c r="AB82" i="3"/>
  <c r="H82" i="3"/>
  <c r="Y82" i="3"/>
  <c r="X82" i="3"/>
  <c r="W82" i="3"/>
  <c r="V82" i="3"/>
  <c r="U82" i="3"/>
  <c r="T82" i="3"/>
  <c r="S82" i="3"/>
  <c r="R82" i="3"/>
  <c r="Q82" i="3"/>
  <c r="P82" i="3"/>
  <c r="O82" i="3"/>
  <c r="M82" i="3"/>
  <c r="G82" i="3"/>
  <c r="F82" i="3"/>
  <c r="AG82" i="3"/>
  <c r="AA82" i="3"/>
  <c r="Z82" i="3"/>
  <c r="U53" i="3"/>
  <c r="T53" i="3"/>
  <c r="S53" i="3"/>
  <c r="R53" i="3"/>
  <c r="Q53" i="3"/>
  <c r="P53" i="3"/>
  <c r="O53" i="3"/>
  <c r="AH53" i="3"/>
  <c r="N53" i="3"/>
  <c r="AG53" i="3"/>
  <c r="M53" i="3"/>
  <c r="AF53" i="3"/>
  <c r="L53" i="3"/>
  <c r="AE53" i="3"/>
  <c r="K53" i="3"/>
  <c r="Y53" i="3"/>
  <c r="X53" i="3"/>
  <c r="W53" i="3"/>
  <c r="V53" i="3"/>
  <c r="J53" i="3"/>
  <c r="I53" i="3"/>
  <c r="H53" i="3"/>
  <c r="G53" i="3"/>
  <c r="F53" i="3"/>
  <c r="AA53" i="3"/>
  <c r="AD53" i="3"/>
  <c r="AC53" i="3"/>
  <c r="AB53" i="3"/>
  <c r="Z53" i="3"/>
  <c r="AA67" i="3"/>
  <c r="G67" i="3"/>
  <c r="Z67" i="3"/>
  <c r="F67" i="3"/>
  <c r="Y67" i="3"/>
  <c r="X67" i="3"/>
  <c r="W67" i="3"/>
  <c r="V67" i="3"/>
  <c r="U67" i="3"/>
  <c r="T67" i="3"/>
  <c r="S67" i="3"/>
  <c r="R67" i="3"/>
  <c r="Q67" i="3"/>
  <c r="P67" i="3"/>
  <c r="O67" i="3"/>
  <c r="AH67" i="3"/>
  <c r="AG67" i="3"/>
  <c r="M67" i="3"/>
  <c r="L67" i="3"/>
  <c r="K67" i="3"/>
  <c r="J67" i="3"/>
  <c r="I67" i="3"/>
  <c r="H67" i="3"/>
  <c r="AB67" i="3"/>
  <c r="AF67" i="3"/>
  <c r="AE67" i="3"/>
  <c r="AD67" i="3"/>
  <c r="AC67" i="3"/>
  <c r="N67" i="3"/>
  <c r="AH23" i="3"/>
  <c r="N23" i="3"/>
  <c r="AG23" i="3"/>
  <c r="M23" i="3"/>
  <c r="AF23" i="3"/>
  <c r="L23" i="3"/>
  <c r="AE23" i="3"/>
  <c r="K23" i="3"/>
  <c r="P23" i="3"/>
  <c r="AD23" i="3"/>
  <c r="J23" i="3"/>
  <c r="AC23" i="3"/>
  <c r="I23" i="3"/>
  <c r="AB23" i="3"/>
  <c r="H23" i="3"/>
  <c r="AA23" i="3"/>
  <c r="G23" i="3"/>
  <c r="Z23" i="3"/>
  <c r="F23" i="3"/>
  <c r="Y23" i="3"/>
  <c r="X23" i="3"/>
  <c r="W23" i="3"/>
  <c r="V23" i="3"/>
  <c r="U23" i="3"/>
  <c r="T23" i="3"/>
  <c r="S23" i="3"/>
  <c r="R23" i="3"/>
  <c r="Q23" i="3"/>
  <c r="O23" i="3"/>
  <c r="AC39" i="3"/>
  <c r="I39" i="3"/>
  <c r="AB39" i="3"/>
  <c r="H39" i="3"/>
  <c r="K39" i="3"/>
  <c r="AA39" i="3"/>
  <c r="G39" i="3"/>
  <c r="Z39" i="3"/>
  <c r="F39" i="3"/>
  <c r="Y39" i="3"/>
  <c r="X39" i="3"/>
  <c r="W39" i="3"/>
  <c r="V39" i="3"/>
  <c r="U39" i="3"/>
  <c r="T39" i="3"/>
  <c r="S39" i="3"/>
  <c r="R39" i="3"/>
  <c r="Q39" i="3"/>
  <c r="P39" i="3"/>
  <c r="O39" i="3"/>
  <c r="AH39" i="3"/>
  <c r="N39" i="3"/>
  <c r="AE39" i="3"/>
  <c r="AG39" i="3"/>
  <c r="M39" i="3"/>
  <c r="AF39" i="3"/>
  <c r="L39" i="3"/>
  <c r="J39" i="3"/>
  <c r="AD39" i="3"/>
  <c r="T44" i="3"/>
  <c r="S44" i="3"/>
  <c r="R44" i="3"/>
  <c r="Q44" i="3"/>
  <c r="P44" i="3"/>
  <c r="O44" i="3"/>
  <c r="AH44" i="3"/>
  <c r="N44" i="3"/>
  <c r="AG44" i="3"/>
  <c r="M44" i="3"/>
  <c r="AF44" i="3"/>
  <c r="L44" i="3"/>
  <c r="AE44" i="3"/>
  <c r="K44" i="3"/>
  <c r="Y44" i="3"/>
  <c r="X44" i="3"/>
  <c r="W44" i="3"/>
  <c r="V44" i="3"/>
  <c r="U44" i="3"/>
  <c r="J44" i="3"/>
  <c r="I44" i="3"/>
  <c r="H44" i="3"/>
  <c r="G44" i="3"/>
  <c r="AA44" i="3"/>
  <c r="F44" i="3"/>
  <c r="AD44" i="3"/>
  <c r="AC44" i="3"/>
  <c r="AB44" i="3"/>
  <c r="Z44" i="3"/>
  <c r="AH50" i="3"/>
  <c r="N50" i="3"/>
  <c r="AG50" i="3"/>
  <c r="M50" i="3"/>
  <c r="AF50" i="3"/>
  <c r="L50" i="3"/>
  <c r="AE50" i="3"/>
  <c r="K50" i="3"/>
  <c r="AD50" i="3"/>
  <c r="J50" i="3"/>
  <c r="AC50" i="3"/>
  <c r="I50" i="3"/>
  <c r="AB50" i="3"/>
  <c r="H50" i="3"/>
  <c r="AA50" i="3"/>
  <c r="G50" i="3"/>
  <c r="Z50" i="3"/>
  <c r="F50" i="3"/>
  <c r="Y50" i="3"/>
  <c r="X50" i="3"/>
  <c r="W50" i="3"/>
  <c r="V50" i="3"/>
  <c r="U50" i="3"/>
  <c r="T50" i="3"/>
  <c r="S50" i="3"/>
  <c r="R50" i="3"/>
  <c r="Q50" i="3"/>
  <c r="P50" i="3"/>
  <c r="O50" i="3"/>
  <c r="T117" i="3"/>
  <c r="S117" i="3"/>
  <c r="R117" i="3"/>
  <c r="Q117" i="3"/>
  <c r="P117" i="3"/>
  <c r="O117" i="3"/>
  <c r="AH117" i="3"/>
  <c r="N117" i="3"/>
  <c r="AG117" i="3"/>
  <c r="M117" i="3"/>
  <c r="AF117" i="3"/>
  <c r="L117" i="3"/>
  <c r="AE117" i="3"/>
  <c r="K117" i="3"/>
  <c r="AD117" i="3"/>
  <c r="J117" i="3"/>
  <c r="AC117" i="3"/>
  <c r="I117" i="3"/>
  <c r="AB117" i="3"/>
  <c r="H117" i="3"/>
  <c r="W117" i="3"/>
  <c r="F117" i="3"/>
  <c r="AA117" i="3"/>
  <c r="Z117" i="3"/>
  <c r="Y117" i="3"/>
  <c r="X117" i="3"/>
  <c r="V117" i="3"/>
  <c r="U117" i="3"/>
  <c r="G117" i="3"/>
  <c r="AE95" i="3"/>
  <c r="K95" i="3"/>
  <c r="AC95" i="3"/>
  <c r="I95" i="3"/>
  <c r="AB95" i="3"/>
  <c r="H95" i="3"/>
  <c r="AA95" i="3"/>
  <c r="G95" i="3"/>
  <c r="Z95" i="3"/>
  <c r="F95" i="3"/>
  <c r="Y95" i="3"/>
  <c r="X95" i="3"/>
  <c r="W95" i="3"/>
  <c r="V95" i="3"/>
  <c r="J95" i="3"/>
  <c r="AH95" i="3"/>
  <c r="AG95" i="3"/>
  <c r="AF95" i="3"/>
  <c r="AD95" i="3"/>
  <c r="U95" i="3"/>
  <c r="T95" i="3"/>
  <c r="S95" i="3"/>
  <c r="R95" i="3"/>
  <c r="Q95" i="3"/>
  <c r="P95" i="3"/>
  <c r="O95" i="3"/>
  <c r="N95" i="3"/>
  <c r="M95" i="3"/>
  <c r="L95" i="3"/>
  <c r="U26" i="3"/>
  <c r="T26" i="3"/>
  <c r="S26" i="3"/>
  <c r="R26" i="3"/>
  <c r="Q26" i="3"/>
  <c r="W26" i="3"/>
  <c r="P26" i="3"/>
  <c r="O26" i="3"/>
  <c r="AH26" i="3"/>
  <c r="N26" i="3"/>
  <c r="AG26" i="3"/>
  <c r="M26" i="3"/>
  <c r="AF26" i="3"/>
  <c r="L26" i="3"/>
  <c r="AE26" i="3"/>
  <c r="K26" i="3"/>
  <c r="AD26" i="3"/>
  <c r="J26" i="3"/>
  <c r="AC26" i="3"/>
  <c r="I26" i="3"/>
  <c r="AB26" i="3"/>
  <c r="H26" i="3"/>
  <c r="AA26" i="3"/>
  <c r="G26" i="3"/>
  <c r="Z26" i="3"/>
  <c r="F26" i="3"/>
  <c r="Y26" i="3"/>
  <c r="X26" i="3"/>
  <c r="V26" i="3"/>
  <c r="O12" i="3"/>
  <c r="AH12" i="3"/>
  <c r="N12" i="3"/>
  <c r="AG12" i="3"/>
  <c r="M12" i="3"/>
  <c r="AF12" i="3"/>
  <c r="L12" i="3"/>
  <c r="AE12" i="3"/>
  <c r="K12" i="3"/>
  <c r="AD12" i="3"/>
  <c r="J12" i="3"/>
  <c r="AC12" i="3"/>
  <c r="I12" i="3"/>
  <c r="AB12" i="3"/>
  <c r="H12" i="3"/>
  <c r="AA12" i="3"/>
  <c r="G12" i="3"/>
  <c r="Z12" i="3"/>
  <c r="F12" i="3"/>
  <c r="Y12" i="3"/>
  <c r="X12" i="3"/>
  <c r="W12" i="3"/>
  <c r="V12" i="3"/>
  <c r="U12" i="3"/>
  <c r="T12" i="3"/>
  <c r="S12" i="3"/>
  <c r="R12" i="3"/>
  <c r="Q12" i="3"/>
  <c r="P12" i="3"/>
  <c r="AC77" i="3"/>
  <c r="I77" i="3"/>
  <c r="AA77" i="3"/>
  <c r="G77" i="3"/>
  <c r="Z77" i="3"/>
  <c r="F77" i="3"/>
  <c r="Y77" i="3"/>
  <c r="X77" i="3"/>
  <c r="W77" i="3"/>
  <c r="T77" i="3"/>
  <c r="AE77" i="3"/>
  <c r="AD77" i="3"/>
  <c r="AB77" i="3"/>
  <c r="V77" i="3"/>
  <c r="U77" i="3"/>
  <c r="S77" i="3"/>
  <c r="R77" i="3"/>
  <c r="Q77" i="3"/>
  <c r="P77" i="3"/>
  <c r="O77" i="3"/>
  <c r="N77" i="3"/>
  <c r="M77" i="3"/>
  <c r="L77" i="3"/>
  <c r="K77" i="3"/>
  <c r="J77" i="3"/>
  <c r="H77" i="3"/>
  <c r="AH77" i="3"/>
  <c r="AG77" i="3"/>
  <c r="AF77" i="3"/>
  <c r="Z31" i="3"/>
  <c r="F31" i="3"/>
  <c r="Y31" i="3"/>
  <c r="X31" i="3"/>
  <c r="W31" i="3"/>
  <c r="V31" i="3"/>
  <c r="U31" i="3"/>
  <c r="T31" i="3"/>
  <c r="H31" i="3"/>
  <c r="S31" i="3"/>
  <c r="AB31" i="3"/>
  <c r="R31" i="3"/>
  <c r="Q31" i="3"/>
  <c r="P31" i="3"/>
  <c r="O31" i="3"/>
  <c r="AH31" i="3"/>
  <c r="N31" i="3"/>
  <c r="AG31" i="3"/>
  <c r="M31" i="3"/>
  <c r="AF31" i="3"/>
  <c r="L31" i="3"/>
  <c r="AE31" i="3"/>
  <c r="K31" i="3"/>
  <c r="AD31" i="3"/>
  <c r="J31" i="3"/>
  <c r="AC31" i="3"/>
  <c r="I31" i="3"/>
  <c r="G31" i="3"/>
  <c r="AA31" i="3"/>
  <c r="AF25" i="3"/>
  <c r="L25" i="3"/>
  <c r="AE25" i="3"/>
  <c r="K25" i="3"/>
  <c r="AD25" i="3"/>
  <c r="J25" i="3"/>
  <c r="AC25" i="3"/>
  <c r="I25" i="3"/>
  <c r="AB25" i="3"/>
  <c r="H25" i="3"/>
  <c r="AA25" i="3"/>
  <c r="G25" i="3"/>
  <c r="AH25" i="3"/>
  <c r="Z25" i="3"/>
  <c r="F25" i="3"/>
  <c r="Y25" i="3"/>
  <c r="X25" i="3"/>
  <c r="N25" i="3"/>
  <c r="W25" i="3"/>
  <c r="V25" i="3"/>
  <c r="U25" i="3"/>
  <c r="T25" i="3"/>
  <c r="S25" i="3"/>
  <c r="R25" i="3"/>
  <c r="Q25" i="3"/>
  <c r="P25" i="3"/>
  <c r="O25" i="3"/>
  <c r="AG25" i="3"/>
  <c r="M25" i="3"/>
  <c r="AG34" i="3"/>
  <c r="M34" i="3"/>
  <c r="AF34" i="3"/>
  <c r="L34" i="3"/>
  <c r="AE34" i="3"/>
  <c r="K34" i="3"/>
  <c r="AD34" i="3"/>
  <c r="J34" i="3"/>
  <c r="O34" i="3"/>
  <c r="AC34" i="3"/>
  <c r="I34" i="3"/>
  <c r="AB34" i="3"/>
  <c r="H34" i="3"/>
  <c r="AA34" i="3"/>
  <c r="G34" i="3"/>
  <c r="Z34" i="3"/>
  <c r="F34" i="3"/>
  <c r="Y34" i="3"/>
  <c r="X34" i="3"/>
  <c r="W34" i="3"/>
  <c r="V34" i="3"/>
  <c r="U34" i="3"/>
  <c r="T34" i="3"/>
  <c r="S34" i="3"/>
  <c r="R34" i="3"/>
  <c r="Q34" i="3"/>
  <c r="P34" i="3"/>
  <c r="AH34" i="3"/>
  <c r="N34" i="3"/>
  <c r="AA100" i="3"/>
  <c r="G100" i="3"/>
  <c r="Z100" i="3"/>
  <c r="F100" i="3"/>
  <c r="Y100" i="3"/>
  <c r="X100" i="3"/>
  <c r="W100" i="3"/>
  <c r="V100" i="3"/>
  <c r="U100" i="3"/>
  <c r="T100" i="3"/>
  <c r="S100" i="3"/>
  <c r="R100" i="3"/>
  <c r="Q100" i="3"/>
  <c r="AH100" i="3"/>
  <c r="AG100" i="3"/>
  <c r="AF100" i="3"/>
  <c r="AE100" i="3"/>
  <c r="AD100" i="3"/>
  <c r="AC100" i="3"/>
  <c r="AB100" i="3"/>
  <c r="P100" i="3"/>
  <c r="O100" i="3"/>
  <c r="N100" i="3"/>
  <c r="M100" i="3"/>
  <c r="L100" i="3"/>
  <c r="K100" i="3"/>
  <c r="J100" i="3"/>
  <c r="I100" i="3"/>
  <c r="H100" i="3"/>
  <c r="Q57" i="3"/>
  <c r="P57" i="3"/>
  <c r="O57" i="3"/>
  <c r="AH57" i="3"/>
  <c r="N57" i="3"/>
  <c r="AG57" i="3"/>
  <c r="M57" i="3"/>
  <c r="AF57" i="3"/>
  <c r="L57" i="3"/>
  <c r="AE57" i="3"/>
  <c r="K57" i="3"/>
  <c r="AD57" i="3"/>
  <c r="J57" i="3"/>
  <c r="AC57" i="3"/>
  <c r="I57" i="3"/>
  <c r="AB57" i="3"/>
  <c r="H57" i="3"/>
  <c r="AA57" i="3"/>
  <c r="G57" i="3"/>
  <c r="Y57" i="3"/>
  <c r="X57" i="3"/>
  <c r="W57" i="3"/>
  <c r="V57" i="3"/>
  <c r="U57" i="3"/>
  <c r="T57" i="3"/>
  <c r="S57" i="3"/>
  <c r="R57" i="3"/>
  <c r="F57" i="3"/>
  <c r="Z57" i="3"/>
  <c r="R19" i="3"/>
  <c r="Q19" i="3"/>
  <c r="P19" i="3"/>
  <c r="O19" i="3"/>
  <c r="AH19" i="3"/>
  <c r="N19" i="3"/>
  <c r="AG19" i="3"/>
  <c r="M19" i="3"/>
  <c r="AF19" i="3"/>
  <c r="L19" i="3"/>
  <c r="AE19" i="3"/>
  <c r="K19" i="3"/>
  <c r="AD19" i="3"/>
  <c r="J19" i="3"/>
  <c r="T19" i="3"/>
  <c r="AC19" i="3"/>
  <c r="I19" i="3"/>
  <c r="AB19" i="3"/>
  <c r="H19" i="3"/>
  <c r="AA19" i="3"/>
  <c r="G19" i="3"/>
  <c r="Z19" i="3"/>
  <c r="F19" i="3"/>
  <c r="Y19" i="3"/>
  <c r="X19" i="3"/>
  <c r="W19" i="3"/>
  <c r="V19" i="3"/>
  <c r="U19" i="3"/>
  <c r="S19" i="3"/>
  <c r="O32" i="3"/>
  <c r="AH32" i="3"/>
  <c r="N32" i="3"/>
  <c r="AG32" i="3"/>
  <c r="M32" i="3"/>
  <c r="AF32" i="3"/>
  <c r="L32" i="3"/>
  <c r="AE32" i="3"/>
  <c r="K32" i="3"/>
  <c r="AD32" i="3"/>
  <c r="J32" i="3"/>
  <c r="AC32" i="3"/>
  <c r="I32" i="3"/>
  <c r="AB32" i="3"/>
  <c r="H32" i="3"/>
  <c r="AA32" i="3"/>
  <c r="G32" i="3"/>
  <c r="Q32" i="3"/>
  <c r="Z32" i="3"/>
  <c r="F32" i="3"/>
  <c r="Y32" i="3"/>
  <c r="X32" i="3"/>
  <c r="W32" i="3"/>
  <c r="V32" i="3"/>
  <c r="U32" i="3"/>
  <c r="T32" i="3"/>
  <c r="S32" i="3"/>
  <c r="R32" i="3"/>
  <c r="P32" i="3"/>
  <c r="AH71" i="3"/>
  <c r="N71" i="3"/>
  <c r="AG71" i="3"/>
  <c r="M71" i="3"/>
  <c r="AF71" i="3"/>
  <c r="L71" i="3"/>
  <c r="AE71" i="3"/>
  <c r="K71" i="3"/>
  <c r="AD71" i="3"/>
  <c r="J71" i="3"/>
  <c r="AC71" i="3"/>
  <c r="I71" i="3"/>
  <c r="AB71" i="3"/>
  <c r="H71" i="3"/>
  <c r="AA71" i="3"/>
  <c r="G71" i="3"/>
  <c r="Z71" i="3"/>
  <c r="F71" i="3"/>
  <c r="Y71" i="3"/>
  <c r="X71" i="3"/>
  <c r="W71" i="3"/>
  <c r="V71" i="3"/>
  <c r="U71" i="3"/>
  <c r="T71" i="3"/>
  <c r="S71" i="3"/>
  <c r="R71" i="3"/>
  <c r="Q71" i="3"/>
  <c r="P71" i="3"/>
  <c r="O71" i="3"/>
  <c r="Y49" i="3"/>
  <c r="X49" i="3"/>
  <c r="W49" i="3"/>
  <c r="V49" i="3"/>
  <c r="U49" i="3"/>
  <c r="T49" i="3"/>
  <c r="S49" i="3"/>
  <c r="R49" i="3"/>
  <c r="Q49" i="3"/>
  <c r="P49" i="3"/>
  <c r="AA49" i="3"/>
  <c r="Z49" i="3"/>
  <c r="O49" i="3"/>
  <c r="N49" i="3"/>
  <c r="AC49" i="3"/>
  <c r="M49" i="3"/>
  <c r="L49" i="3"/>
  <c r="K49" i="3"/>
  <c r="J49" i="3"/>
  <c r="I49" i="3"/>
  <c r="H49" i="3"/>
  <c r="G49" i="3"/>
  <c r="F49" i="3"/>
  <c r="AH49" i="3"/>
  <c r="AG49" i="3"/>
  <c r="AF49" i="3"/>
  <c r="AE49" i="3"/>
  <c r="AD49" i="3"/>
  <c r="AB49" i="3"/>
  <c r="AE116" i="3"/>
  <c r="K116" i="3"/>
  <c r="AD116" i="3"/>
  <c r="J116" i="3"/>
  <c r="AC116" i="3"/>
  <c r="I116" i="3"/>
  <c r="AB116" i="3"/>
  <c r="H116" i="3"/>
  <c r="AA116" i="3"/>
  <c r="G116" i="3"/>
  <c r="Z116" i="3"/>
  <c r="F116" i="3"/>
  <c r="Y116" i="3"/>
  <c r="X116" i="3"/>
  <c r="W116" i="3"/>
  <c r="V116" i="3"/>
  <c r="U116" i="3"/>
  <c r="T116" i="3"/>
  <c r="S116" i="3"/>
  <c r="AH116" i="3"/>
  <c r="N116" i="3"/>
  <c r="AG116" i="3"/>
  <c r="AF116" i="3"/>
  <c r="R116" i="3"/>
  <c r="Q116" i="3"/>
  <c r="P116" i="3"/>
  <c r="O116" i="3"/>
  <c r="M116" i="3"/>
  <c r="L116" i="3"/>
  <c r="W83" i="3"/>
  <c r="U83" i="3"/>
  <c r="T83" i="3"/>
  <c r="S83" i="3"/>
  <c r="R83" i="3"/>
  <c r="Q83" i="3"/>
  <c r="AH83" i="3"/>
  <c r="N83" i="3"/>
  <c r="AA83" i="3"/>
  <c r="Z83" i="3"/>
  <c r="Y83" i="3"/>
  <c r="X83" i="3"/>
  <c r="V83" i="3"/>
  <c r="P83" i="3"/>
  <c r="O83" i="3"/>
  <c r="M83" i="3"/>
  <c r="L83" i="3"/>
  <c r="K83" i="3"/>
  <c r="J83" i="3"/>
  <c r="I83" i="3"/>
  <c r="H83" i="3"/>
  <c r="G83" i="3"/>
  <c r="AG83" i="3"/>
  <c r="F83" i="3"/>
  <c r="AF83" i="3"/>
  <c r="AE83" i="3"/>
  <c r="AD83" i="3"/>
  <c r="AC83" i="3"/>
  <c r="AB83" i="3"/>
  <c r="O133" i="3"/>
  <c r="AH133" i="3"/>
  <c r="N133" i="3"/>
  <c r="AG133" i="3"/>
  <c r="M133" i="3"/>
  <c r="AF133" i="3"/>
  <c r="L133" i="3"/>
  <c r="AE133" i="3"/>
  <c r="K133" i="3"/>
  <c r="AD133" i="3"/>
  <c r="J133" i="3"/>
  <c r="AC133" i="3"/>
  <c r="I133" i="3"/>
  <c r="AB133" i="3"/>
  <c r="H133" i="3"/>
  <c r="AA133" i="3"/>
  <c r="G133" i="3"/>
  <c r="Z133" i="3"/>
  <c r="F133" i="3"/>
  <c r="Y133" i="3"/>
  <c r="X133" i="3"/>
  <c r="W133" i="3"/>
  <c r="V133" i="3"/>
  <c r="U133" i="3"/>
  <c r="T133" i="3"/>
  <c r="S133" i="3"/>
  <c r="R133" i="3"/>
  <c r="Q133" i="3"/>
  <c r="P133" i="3"/>
  <c r="P48" i="3"/>
  <c r="O48" i="3"/>
  <c r="AH48" i="3"/>
  <c r="N48" i="3"/>
  <c r="AG48" i="3"/>
  <c r="M48" i="3"/>
  <c r="AF48" i="3"/>
  <c r="L48" i="3"/>
  <c r="AE48" i="3"/>
  <c r="K48" i="3"/>
  <c r="AD48" i="3"/>
  <c r="J48" i="3"/>
  <c r="AC48" i="3"/>
  <c r="I48" i="3"/>
  <c r="AB48" i="3"/>
  <c r="H48" i="3"/>
  <c r="AA48" i="3"/>
  <c r="G48" i="3"/>
  <c r="S48" i="3"/>
  <c r="R48" i="3"/>
  <c r="Q48" i="3"/>
  <c r="F48" i="3"/>
  <c r="U48" i="3"/>
  <c r="Z48" i="3"/>
  <c r="Y48" i="3"/>
  <c r="X48" i="3"/>
  <c r="W48" i="3"/>
  <c r="V48" i="3"/>
  <c r="T48" i="3"/>
  <c r="X60" i="3"/>
  <c r="W60" i="3"/>
  <c r="V60" i="3"/>
  <c r="U60" i="3"/>
  <c r="T60" i="3"/>
  <c r="S60" i="3"/>
  <c r="R60" i="3"/>
  <c r="Q60" i="3"/>
  <c r="P60" i="3"/>
  <c r="O60" i="3"/>
  <c r="AH60" i="3"/>
  <c r="N60" i="3"/>
  <c r="AG60" i="3"/>
  <c r="M60" i="3"/>
  <c r="AA60" i="3"/>
  <c r="Z60" i="3"/>
  <c r="Y60" i="3"/>
  <c r="L60" i="3"/>
  <c r="K60" i="3"/>
  <c r="J60" i="3"/>
  <c r="I60" i="3"/>
  <c r="AC60" i="3"/>
  <c r="H60" i="3"/>
  <c r="G60" i="3"/>
  <c r="F60" i="3"/>
  <c r="AF60" i="3"/>
  <c r="AE60" i="3"/>
  <c r="AD60" i="3"/>
  <c r="AB60" i="3"/>
  <c r="AC18" i="3"/>
  <c r="I18" i="3"/>
  <c r="AB18" i="3"/>
  <c r="H18" i="3"/>
  <c r="AE18" i="3"/>
  <c r="AA18" i="3"/>
  <c r="G18" i="3"/>
  <c r="Z18" i="3"/>
  <c r="F18" i="3"/>
  <c r="Y18" i="3"/>
  <c r="X18" i="3"/>
  <c r="K18" i="3"/>
  <c r="W18" i="3"/>
  <c r="V18" i="3"/>
  <c r="U18" i="3"/>
  <c r="T18" i="3"/>
  <c r="S18" i="3"/>
  <c r="R18" i="3"/>
  <c r="Q18" i="3"/>
  <c r="P18" i="3"/>
  <c r="O18" i="3"/>
  <c r="AH18" i="3"/>
  <c r="N18" i="3"/>
  <c r="AG18" i="3"/>
  <c r="M18" i="3"/>
  <c r="AF18" i="3"/>
  <c r="L18" i="3"/>
  <c r="AD18" i="3"/>
  <c r="J18" i="3"/>
  <c r="S8" i="3"/>
  <c r="R8" i="3"/>
  <c r="Q8" i="3"/>
  <c r="P8" i="3"/>
  <c r="O8" i="3"/>
  <c r="U8" i="3"/>
  <c r="AH8" i="3"/>
  <c r="N8" i="3"/>
  <c r="AG8" i="3"/>
  <c r="M8" i="3"/>
  <c r="AF8" i="3"/>
  <c r="L8" i="3"/>
  <c r="AE8" i="3"/>
  <c r="K8" i="3"/>
  <c r="AD8" i="3"/>
  <c r="J8" i="3"/>
  <c r="AC8" i="3"/>
  <c r="I8" i="3"/>
  <c r="AB8" i="3"/>
  <c r="H8" i="3"/>
  <c r="AA8" i="3"/>
  <c r="G8" i="3"/>
  <c r="Z8" i="3"/>
  <c r="F8" i="3"/>
  <c r="Y8" i="3"/>
  <c r="X8" i="3"/>
  <c r="W8" i="3"/>
  <c r="V8" i="3"/>
  <c r="T8" i="3"/>
  <c r="X113" i="3"/>
  <c r="W113" i="3"/>
  <c r="V113" i="3"/>
  <c r="U113" i="3"/>
  <c r="T113" i="3"/>
  <c r="S113" i="3"/>
  <c r="R113" i="3"/>
  <c r="Q113" i="3"/>
  <c r="P113" i="3"/>
  <c r="O113" i="3"/>
  <c r="AH113" i="3"/>
  <c r="N113" i="3"/>
  <c r="AF113" i="3"/>
  <c r="L113" i="3"/>
  <c r="Z113" i="3"/>
  <c r="Y113" i="3"/>
  <c r="M113" i="3"/>
  <c r="K113" i="3"/>
  <c r="J113" i="3"/>
  <c r="I113" i="3"/>
  <c r="H113" i="3"/>
  <c r="G113" i="3"/>
  <c r="F113" i="3"/>
  <c r="AG113" i="3"/>
  <c r="AE113" i="3"/>
  <c r="AD113" i="3"/>
  <c r="AC113" i="3"/>
  <c r="AB113" i="3"/>
  <c r="AA113" i="3"/>
  <c r="Y70" i="3"/>
  <c r="X70" i="3"/>
  <c r="W70" i="3"/>
  <c r="V70" i="3"/>
  <c r="U70" i="3"/>
  <c r="T70" i="3"/>
  <c r="S70" i="3"/>
  <c r="R70" i="3"/>
  <c r="Q70" i="3"/>
  <c r="P70" i="3"/>
  <c r="O70" i="3"/>
  <c r="AH70" i="3"/>
  <c r="N70" i="3"/>
  <c r="AG70" i="3"/>
  <c r="M70" i="3"/>
  <c r="AF70" i="3"/>
  <c r="L70" i="3"/>
  <c r="AE70" i="3"/>
  <c r="K70" i="3"/>
  <c r="AA70" i="3"/>
  <c r="Z70" i="3"/>
  <c r="J70" i="3"/>
  <c r="I70" i="3"/>
  <c r="H70" i="3"/>
  <c r="G70" i="3"/>
  <c r="F70" i="3"/>
  <c r="AC70" i="3"/>
  <c r="AD70" i="3"/>
  <c r="AB70" i="3"/>
  <c r="AD86" i="3"/>
  <c r="J86" i="3"/>
  <c r="AB86" i="3"/>
  <c r="H86" i="3"/>
  <c r="AA86" i="3"/>
  <c r="G86" i="3"/>
  <c r="Z86" i="3"/>
  <c r="F86" i="3"/>
  <c r="Y86" i="3"/>
  <c r="X86" i="3"/>
  <c r="V86" i="3"/>
  <c r="U86" i="3"/>
  <c r="AC86" i="3"/>
  <c r="W86" i="3"/>
  <c r="T86" i="3"/>
  <c r="S86" i="3"/>
  <c r="R86" i="3"/>
  <c r="Q86" i="3"/>
  <c r="P86" i="3"/>
  <c r="O86" i="3"/>
  <c r="N86" i="3"/>
  <c r="M86" i="3"/>
  <c r="L86" i="3"/>
  <c r="K86" i="3"/>
  <c r="I86" i="3"/>
  <c r="AH86" i="3"/>
  <c r="AG86" i="3"/>
  <c r="AF86" i="3"/>
  <c r="AE86" i="3"/>
  <c r="AD127" i="3"/>
  <c r="J127" i="3"/>
  <c r="AC127" i="3"/>
  <c r="I127" i="3"/>
  <c r="AB127" i="3"/>
  <c r="H127" i="3"/>
  <c r="AA127" i="3"/>
  <c r="G127" i="3"/>
  <c r="Z127" i="3"/>
  <c r="F127" i="3"/>
  <c r="Y127" i="3"/>
  <c r="X127" i="3"/>
  <c r="W127" i="3"/>
  <c r="V127" i="3"/>
  <c r="U127" i="3"/>
  <c r="T127" i="3"/>
  <c r="S127" i="3"/>
  <c r="R127" i="3"/>
  <c r="Q127" i="3"/>
  <c r="P127" i="3"/>
  <c r="O127" i="3"/>
  <c r="AH127" i="3"/>
  <c r="N127" i="3"/>
  <c r="AG127" i="3"/>
  <c r="M127" i="3"/>
  <c r="AF127" i="3"/>
  <c r="AE127" i="3"/>
  <c r="L127" i="3"/>
  <c r="K127" i="3"/>
  <c r="AE36" i="3"/>
  <c r="K36" i="3"/>
  <c r="AD36" i="3"/>
  <c r="J36" i="3"/>
  <c r="AC36" i="3"/>
  <c r="I36" i="3"/>
  <c r="M36" i="3"/>
  <c r="AB36" i="3"/>
  <c r="H36" i="3"/>
  <c r="AA36" i="3"/>
  <c r="G36" i="3"/>
  <c r="Z36" i="3"/>
  <c r="F36" i="3"/>
  <c r="Y36" i="3"/>
  <c r="X36" i="3"/>
  <c r="W36" i="3"/>
  <c r="V36" i="3"/>
  <c r="AG36" i="3"/>
  <c r="U36" i="3"/>
  <c r="T36" i="3"/>
  <c r="S36" i="3"/>
  <c r="R36" i="3"/>
  <c r="Q36" i="3"/>
  <c r="P36" i="3"/>
  <c r="O36" i="3"/>
  <c r="AH36" i="3"/>
  <c r="N36" i="3"/>
  <c r="AF36" i="3"/>
  <c r="L36" i="3"/>
  <c r="AC118" i="3"/>
  <c r="I118" i="3"/>
  <c r="AB118" i="3"/>
  <c r="H118" i="3"/>
  <c r="AA118" i="3"/>
  <c r="G118" i="3"/>
  <c r="Z118" i="3"/>
  <c r="F118" i="3"/>
  <c r="Y118" i="3"/>
  <c r="X118" i="3"/>
  <c r="W118" i="3"/>
  <c r="V118" i="3"/>
  <c r="U118" i="3"/>
  <c r="T118" i="3"/>
  <c r="S118" i="3"/>
  <c r="R118" i="3"/>
  <c r="Q118" i="3"/>
  <c r="AG118" i="3"/>
  <c r="AF118" i="3"/>
  <c r="L118" i="3"/>
  <c r="AH118" i="3"/>
  <c r="AE118" i="3"/>
  <c r="AD118" i="3"/>
  <c r="P118" i="3"/>
  <c r="O118" i="3"/>
  <c r="N118" i="3"/>
  <c r="M118" i="3"/>
  <c r="K118" i="3"/>
  <c r="J118" i="3"/>
  <c r="AE75" i="3"/>
  <c r="AC75" i="3"/>
  <c r="AA75" i="3"/>
  <c r="Y75" i="3"/>
  <c r="AH75" i="3"/>
  <c r="J75" i="3"/>
  <c r="AG75" i="3"/>
  <c r="I75" i="3"/>
  <c r="AF75" i="3"/>
  <c r="H75" i="3"/>
  <c r="AD75" i="3"/>
  <c r="G75" i="3"/>
  <c r="AB75" i="3"/>
  <c r="F75" i="3"/>
  <c r="Z75" i="3"/>
  <c r="X75" i="3"/>
  <c r="W75" i="3"/>
  <c r="V75" i="3"/>
  <c r="U75" i="3"/>
  <c r="T75" i="3"/>
  <c r="S75" i="3"/>
  <c r="R75" i="3"/>
  <c r="Q75" i="3"/>
  <c r="P75" i="3"/>
  <c r="O75" i="3"/>
  <c r="M75" i="3"/>
  <c r="N75" i="3"/>
  <c r="L75" i="3"/>
  <c r="K75" i="3"/>
  <c r="AC45" i="3"/>
  <c r="I45" i="3"/>
  <c r="AB45" i="3"/>
  <c r="H45" i="3"/>
  <c r="AA45" i="3"/>
  <c r="G45" i="3"/>
  <c r="Z45" i="3"/>
  <c r="F45" i="3"/>
  <c r="Y45" i="3"/>
  <c r="X45" i="3"/>
  <c r="W45" i="3"/>
  <c r="V45" i="3"/>
  <c r="U45" i="3"/>
  <c r="T45" i="3"/>
  <c r="AG45" i="3"/>
  <c r="AF45" i="3"/>
  <c r="AE45" i="3"/>
  <c r="AD45" i="3"/>
  <c r="S45" i="3"/>
  <c r="R45" i="3"/>
  <c r="Q45" i="3"/>
  <c r="P45" i="3"/>
  <c r="O45" i="3"/>
  <c r="N45" i="3"/>
  <c r="M45" i="3"/>
  <c r="L45" i="3"/>
  <c r="K45" i="3"/>
  <c r="J45" i="3"/>
  <c r="AH45" i="3"/>
  <c r="P69" i="3"/>
  <c r="O69" i="3"/>
  <c r="AH69" i="3"/>
  <c r="N69" i="3"/>
  <c r="AG69" i="3"/>
  <c r="M69" i="3"/>
  <c r="AF69" i="3"/>
  <c r="L69" i="3"/>
  <c r="AE69" i="3"/>
  <c r="K69" i="3"/>
  <c r="AD69" i="3"/>
  <c r="J69" i="3"/>
  <c r="AC69" i="3"/>
  <c r="I69" i="3"/>
  <c r="AB69" i="3"/>
  <c r="H69" i="3"/>
  <c r="AA69" i="3"/>
  <c r="G69" i="3"/>
  <c r="Z69" i="3"/>
  <c r="F69" i="3"/>
  <c r="Y69" i="3"/>
  <c r="X69" i="3"/>
  <c r="W69" i="3"/>
  <c r="V69" i="3"/>
  <c r="U69" i="3"/>
  <c r="T69" i="3"/>
  <c r="S69" i="3"/>
  <c r="R69" i="3"/>
  <c r="Q69" i="3"/>
  <c r="O59" i="3"/>
  <c r="AH59" i="3"/>
  <c r="N59" i="3"/>
  <c r="AG59" i="3"/>
  <c r="M59" i="3"/>
  <c r="AF59" i="3"/>
  <c r="L59" i="3"/>
  <c r="AE59" i="3"/>
  <c r="K59" i="3"/>
  <c r="AD59" i="3"/>
  <c r="J59" i="3"/>
  <c r="AC59" i="3"/>
  <c r="I59" i="3"/>
  <c r="AB59" i="3"/>
  <c r="H59" i="3"/>
  <c r="AA59" i="3"/>
  <c r="G59" i="3"/>
  <c r="Z59" i="3"/>
  <c r="F59" i="3"/>
  <c r="Y59" i="3"/>
  <c r="X59" i="3"/>
  <c r="Q59" i="3"/>
  <c r="W59" i="3"/>
  <c r="V59" i="3"/>
  <c r="U59" i="3"/>
  <c r="T59" i="3"/>
  <c r="S59" i="3"/>
  <c r="R59" i="3"/>
  <c r="P59" i="3"/>
  <c r="AD27" i="3"/>
  <c r="J27" i="3"/>
  <c r="AF27" i="3"/>
  <c r="AC27" i="3"/>
  <c r="I27" i="3"/>
  <c r="AB27" i="3"/>
  <c r="H27" i="3"/>
  <c r="AA27" i="3"/>
  <c r="G27" i="3"/>
  <c r="Z27" i="3"/>
  <c r="F27" i="3"/>
  <c r="Y27" i="3"/>
  <c r="X27" i="3"/>
  <c r="W27" i="3"/>
  <c r="V27" i="3"/>
  <c r="U27" i="3"/>
  <c r="T27" i="3"/>
  <c r="S27" i="3"/>
  <c r="R27" i="3"/>
  <c r="Q27" i="3"/>
  <c r="L27" i="3"/>
  <c r="P27" i="3"/>
  <c r="O27" i="3"/>
  <c r="AH27" i="3"/>
  <c r="N27" i="3"/>
  <c r="AG27" i="3"/>
  <c r="M27" i="3"/>
  <c r="AE27" i="3"/>
  <c r="K27" i="3"/>
  <c r="T38" i="3"/>
  <c r="S38" i="3"/>
  <c r="R38" i="3"/>
  <c r="Q38" i="3"/>
  <c r="P38" i="3"/>
  <c r="O38" i="3"/>
  <c r="AH38" i="3"/>
  <c r="N38" i="3"/>
  <c r="AG38" i="3"/>
  <c r="M38" i="3"/>
  <c r="AF38" i="3"/>
  <c r="L38" i="3"/>
  <c r="V38" i="3"/>
  <c r="AE38" i="3"/>
  <c r="K38" i="3"/>
  <c r="AD38" i="3"/>
  <c r="J38" i="3"/>
  <c r="AC38" i="3"/>
  <c r="I38" i="3"/>
  <c r="AB38" i="3"/>
  <c r="H38" i="3"/>
  <c r="AA38" i="3"/>
  <c r="G38" i="3"/>
  <c r="Z38" i="3"/>
  <c r="F38" i="3"/>
  <c r="Y38" i="3"/>
  <c r="X38" i="3"/>
  <c r="W38" i="3"/>
  <c r="U38" i="3"/>
  <c r="AG61" i="3"/>
  <c r="M61" i="3"/>
  <c r="AF61" i="3"/>
  <c r="L61" i="3"/>
  <c r="AE61" i="3"/>
  <c r="K61" i="3"/>
  <c r="AD61" i="3"/>
  <c r="J61" i="3"/>
  <c r="AC61" i="3"/>
  <c r="I61" i="3"/>
  <c r="AB61" i="3"/>
  <c r="H61" i="3"/>
  <c r="AA61" i="3"/>
  <c r="G61" i="3"/>
  <c r="Z61" i="3"/>
  <c r="F61" i="3"/>
  <c r="Y61" i="3"/>
  <c r="X61" i="3"/>
  <c r="W61" i="3"/>
  <c r="V61" i="3"/>
  <c r="AH61" i="3"/>
  <c r="U61" i="3"/>
  <c r="T61" i="3"/>
  <c r="S61" i="3"/>
  <c r="R61" i="3"/>
  <c r="Q61" i="3"/>
  <c r="P61" i="3"/>
  <c r="O61" i="3"/>
  <c r="N61" i="3"/>
  <c r="X92" i="3"/>
  <c r="V92" i="3"/>
  <c r="U92" i="3"/>
  <c r="T92" i="3"/>
  <c r="S92" i="3"/>
  <c r="R92" i="3"/>
  <c r="P92" i="3"/>
  <c r="O92" i="3"/>
  <c r="AG92" i="3"/>
  <c r="AF92" i="3"/>
  <c r="AE92" i="3"/>
  <c r="AD92" i="3"/>
  <c r="AC92" i="3"/>
  <c r="AB92" i="3"/>
  <c r="AA92" i="3"/>
  <c r="Z92" i="3"/>
  <c r="Y92" i="3"/>
  <c r="W92" i="3"/>
  <c r="Q92" i="3"/>
  <c r="N92" i="3"/>
  <c r="M92" i="3"/>
  <c r="L92" i="3"/>
  <c r="K92" i="3"/>
  <c r="J92" i="3"/>
  <c r="I92" i="3"/>
  <c r="H92" i="3"/>
  <c r="AH92" i="3"/>
  <c r="G92" i="3"/>
  <c r="F92" i="3"/>
  <c r="AD107" i="3"/>
  <c r="J107" i="3"/>
  <c r="AC107" i="3"/>
  <c r="I107" i="3"/>
  <c r="AB107" i="3"/>
  <c r="H107" i="3"/>
  <c r="AA107" i="3"/>
  <c r="G107" i="3"/>
  <c r="Z107" i="3"/>
  <c r="F107" i="3"/>
  <c r="Y107" i="3"/>
  <c r="X107" i="3"/>
  <c r="W107" i="3"/>
  <c r="V107" i="3"/>
  <c r="U107" i="3"/>
  <c r="T107" i="3"/>
  <c r="R107" i="3"/>
  <c r="O107" i="3"/>
  <c r="N107" i="3"/>
  <c r="M107" i="3"/>
  <c r="L107" i="3"/>
  <c r="K107" i="3"/>
  <c r="AH107" i="3"/>
  <c r="AG107" i="3"/>
  <c r="AF107" i="3"/>
  <c r="AE107" i="3"/>
  <c r="S107" i="3"/>
  <c r="Q107" i="3"/>
  <c r="P107" i="3"/>
  <c r="R46" i="3"/>
  <c r="Q46" i="3"/>
  <c r="P46" i="3"/>
  <c r="O46" i="3"/>
  <c r="AH46" i="3"/>
  <c r="N46" i="3"/>
  <c r="AG46" i="3"/>
  <c r="M46" i="3"/>
  <c r="AF46" i="3"/>
  <c r="L46" i="3"/>
  <c r="AE46" i="3"/>
  <c r="K46" i="3"/>
  <c r="AD46" i="3"/>
  <c r="J46" i="3"/>
  <c r="AC46" i="3"/>
  <c r="I46" i="3"/>
  <c r="AB46" i="3"/>
  <c r="AA46" i="3"/>
  <c r="Z46" i="3"/>
  <c r="Y46" i="3"/>
  <c r="X46" i="3"/>
  <c r="W46" i="3"/>
  <c r="V46" i="3"/>
  <c r="U46" i="3"/>
  <c r="T46" i="3"/>
  <c r="S46" i="3"/>
  <c r="H46" i="3"/>
  <c r="G46" i="3"/>
  <c r="F46" i="3"/>
  <c r="I42" i="2"/>
  <c r="H42" i="2"/>
  <c r="G42" i="2"/>
  <c r="F42" i="2"/>
  <c r="M42" i="2"/>
  <c r="J42" i="2"/>
  <c r="L42" i="2"/>
  <c r="K42" i="2"/>
  <c r="H81" i="2"/>
  <c r="G81" i="2"/>
  <c r="F81" i="2"/>
  <c r="M81" i="2"/>
  <c r="L81" i="2"/>
  <c r="K81" i="2"/>
  <c r="J81" i="2"/>
  <c r="I81" i="2"/>
  <c r="F83" i="2"/>
  <c r="J83" i="2"/>
  <c r="I83" i="2"/>
  <c r="H83" i="2"/>
  <c r="G83" i="2"/>
  <c r="K83" i="2"/>
  <c r="M83" i="2"/>
  <c r="L83" i="2"/>
  <c r="I99" i="2"/>
  <c r="H99" i="2"/>
  <c r="G99" i="2"/>
  <c r="F99" i="2"/>
  <c r="M99" i="2"/>
  <c r="L99" i="2"/>
  <c r="K99" i="2"/>
  <c r="J99" i="2"/>
  <c r="M43" i="2"/>
  <c r="L43" i="2"/>
  <c r="K43" i="2"/>
  <c r="J43" i="2"/>
  <c r="F43" i="2"/>
  <c r="I43" i="2"/>
  <c r="H43" i="2"/>
  <c r="G43" i="2"/>
  <c r="J18" i="2"/>
  <c r="M18" i="2"/>
  <c r="F18" i="2"/>
  <c r="L18" i="2"/>
  <c r="K18" i="2"/>
  <c r="H18" i="2"/>
  <c r="I18" i="2"/>
  <c r="G18" i="2"/>
  <c r="F10" i="2"/>
  <c r="G10" i="2"/>
  <c r="L10" i="2"/>
  <c r="I10" i="2"/>
  <c r="J10" i="2"/>
  <c r="M10" i="2"/>
  <c r="K10" i="2"/>
  <c r="H10" i="2"/>
  <c r="M34" i="2"/>
  <c r="H34" i="2"/>
  <c r="L34" i="2"/>
  <c r="K34" i="2"/>
  <c r="J34" i="2"/>
  <c r="I34" i="2"/>
  <c r="G34" i="2"/>
  <c r="F34" i="2"/>
  <c r="E114" i="2"/>
  <c r="D124" i="2"/>
  <c r="L103" i="2"/>
  <c r="K103" i="2"/>
  <c r="I103" i="2"/>
  <c r="J103" i="2"/>
  <c r="H103" i="2"/>
  <c r="G103" i="2"/>
  <c r="F103" i="2"/>
  <c r="M103" i="2"/>
  <c r="K11" i="2"/>
  <c r="M11" i="2"/>
  <c r="L11" i="2"/>
  <c r="H11" i="2"/>
  <c r="J11" i="2"/>
  <c r="F11" i="2"/>
  <c r="I11" i="2"/>
  <c r="G11" i="2"/>
  <c r="F14" i="2"/>
  <c r="L14" i="2"/>
  <c r="I14" i="2"/>
  <c r="J14" i="2"/>
  <c r="M14" i="2"/>
  <c r="G14" i="2"/>
  <c r="K14" i="2"/>
  <c r="H14" i="2"/>
  <c r="D123" i="2"/>
  <c r="E113" i="2"/>
  <c r="F12" i="2"/>
  <c r="L12" i="2"/>
  <c r="K12" i="2"/>
  <c r="M12" i="2"/>
  <c r="I12" i="2"/>
  <c r="J12" i="2"/>
  <c r="H12" i="2"/>
  <c r="G12" i="2"/>
  <c r="M93" i="2"/>
  <c r="L93" i="2"/>
  <c r="K93" i="2"/>
  <c r="J93" i="2"/>
  <c r="H93" i="2"/>
  <c r="G93" i="2"/>
  <c r="I93" i="2"/>
  <c r="F93" i="2"/>
  <c r="M120" i="2"/>
  <c r="L120" i="2"/>
  <c r="K120" i="2"/>
  <c r="J120" i="2"/>
  <c r="I120" i="2"/>
  <c r="H120" i="2"/>
  <c r="G120" i="2"/>
  <c r="F120" i="2"/>
  <c r="H92" i="2"/>
  <c r="G92" i="2"/>
  <c r="F92" i="2"/>
  <c r="M92" i="2"/>
  <c r="L92" i="2"/>
  <c r="K92" i="2"/>
  <c r="J92" i="2"/>
  <c r="I92" i="2"/>
  <c r="M63" i="2"/>
  <c r="L63" i="2"/>
  <c r="K63" i="2"/>
  <c r="J63" i="2"/>
  <c r="I63" i="2"/>
  <c r="H63" i="2"/>
  <c r="G63" i="2"/>
  <c r="F63" i="2"/>
  <c r="M69" i="2"/>
  <c r="L69" i="2"/>
  <c r="J69" i="2"/>
  <c r="I69" i="2"/>
  <c r="F69" i="2"/>
  <c r="G69" i="2"/>
  <c r="K69" i="2"/>
  <c r="H69" i="2"/>
  <c r="H70" i="2"/>
  <c r="G70" i="2"/>
  <c r="F70" i="2"/>
  <c r="M70" i="2"/>
  <c r="L70" i="2"/>
  <c r="K70" i="2"/>
  <c r="J70" i="2"/>
  <c r="I70" i="2"/>
  <c r="M102" i="2"/>
  <c r="L102" i="2"/>
  <c r="K102" i="2"/>
  <c r="J102" i="2"/>
  <c r="I102" i="2"/>
  <c r="H102" i="2"/>
  <c r="G102" i="2"/>
  <c r="F102" i="2"/>
  <c r="F61" i="2"/>
  <c r="I61" i="2"/>
  <c r="H61" i="2"/>
  <c r="G61" i="2"/>
  <c r="J61" i="2"/>
  <c r="M61" i="2"/>
  <c r="L61" i="2"/>
  <c r="K61" i="2"/>
  <c r="K7" i="2"/>
  <c r="M7" i="2"/>
  <c r="L7" i="2"/>
  <c r="J7" i="2"/>
  <c r="H7" i="2"/>
  <c r="I7" i="2"/>
  <c r="G7" i="2"/>
  <c r="F7" i="2"/>
  <c r="F94" i="2"/>
  <c r="M94" i="2"/>
  <c r="L94" i="2"/>
  <c r="K94" i="2"/>
  <c r="J94" i="2"/>
  <c r="I94" i="2"/>
  <c r="H94" i="2"/>
  <c r="G94" i="2"/>
  <c r="E128" i="2"/>
  <c r="D138" i="2"/>
  <c r="M71" i="2"/>
  <c r="L71" i="2"/>
  <c r="K71" i="2"/>
  <c r="J71" i="2"/>
  <c r="H71" i="2"/>
  <c r="G71" i="2"/>
  <c r="I71" i="2"/>
  <c r="F71" i="2"/>
  <c r="M101" i="2"/>
  <c r="L101" i="2"/>
  <c r="K101" i="2"/>
  <c r="J101" i="2"/>
  <c r="I101" i="2"/>
  <c r="H101" i="2"/>
  <c r="G101" i="2"/>
  <c r="F101" i="2"/>
  <c r="I104" i="2"/>
  <c r="H104" i="2"/>
  <c r="G104" i="2"/>
  <c r="F104" i="2"/>
  <c r="M104" i="2"/>
  <c r="L104" i="2"/>
  <c r="K104" i="2"/>
  <c r="J104" i="2"/>
  <c r="J57" i="2"/>
  <c r="H57" i="2"/>
  <c r="F57" i="2"/>
  <c r="E76" i="2"/>
  <c r="M57" i="2"/>
  <c r="L57" i="2"/>
  <c r="K57" i="2"/>
  <c r="I57" i="2"/>
  <c r="G57" i="2"/>
  <c r="M20" i="2"/>
  <c r="F20" i="2"/>
  <c r="H20" i="2"/>
  <c r="L20" i="2"/>
  <c r="J20" i="2"/>
  <c r="I20" i="2"/>
  <c r="K20" i="2"/>
  <c r="G20" i="2"/>
  <c r="M74" i="2"/>
  <c r="L74" i="2"/>
  <c r="K74" i="2"/>
  <c r="J74" i="2"/>
  <c r="I74" i="2"/>
  <c r="H74" i="2"/>
  <c r="G74" i="2"/>
  <c r="F74" i="2"/>
  <c r="F8" i="2"/>
  <c r="J8" i="2"/>
  <c r="K8" i="2"/>
  <c r="G8" i="2"/>
  <c r="M8" i="2"/>
  <c r="I8" i="2"/>
  <c r="L8" i="2"/>
  <c r="H8" i="2"/>
  <c r="G44" i="2"/>
  <c r="F44" i="2"/>
  <c r="L44" i="2"/>
  <c r="M44" i="2"/>
  <c r="H44" i="2"/>
  <c r="K44" i="2"/>
  <c r="J44" i="2"/>
  <c r="I44" i="2"/>
  <c r="M9" i="2"/>
  <c r="K9" i="2"/>
  <c r="J9" i="2"/>
  <c r="L9" i="2"/>
  <c r="I9" i="2"/>
  <c r="H9" i="2"/>
  <c r="G9" i="2"/>
  <c r="F9" i="2"/>
  <c r="J13" i="2"/>
  <c r="H13" i="2"/>
  <c r="F13" i="2"/>
  <c r="M13" i="2"/>
  <c r="L13" i="2"/>
  <c r="K13" i="2"/>
  <c r="I13" i="2"/>
  <c r="G13" i="2"/>
  <c r="M97" i="2"/>
  <c r="L97" i="2"/>
  <c r="K97" i="2"/>
  <c r="J97" i="2"/>
  <c r="I97" i="2"/>
  <c r="H97" i="2"/>
  <c r="G97" i="2"/>
  <c r="F97" i="2"/>
  <c r="E116" i="2"/>
  <c r="I31" i="2"/>
  <c r="H31" i="2"/>
  <c r="G31" i="2"/>
  <c r="F31" i="2"/>
  <c r="J31" i="2"/>
  <c r="M31" i="2"/>
  <c r="L31" i="2"/>
  <c r="K31" i="2"/>
  <c r="M110" i="2"/>
  <c r="K110" i="2"/>
  <c r="J110" i="2"/>
  <c r="H110" i="2"/>
  <c r="F110" i="2"/>
  <c r="L110" i="2"/>
  <c r="I110" i="2"/>
  <c r="G110" i="2"/>
  <c r="G118" i="2"/>
  <c r="F118" i="2"/>
  <c r="M118" i="2"/>
  <c r="L118" i="2"/>
  <c r="I118" i="2"/>
  <c r="K118" i="2"/>
  <c r="J118" i="2"/>
  <c r="H118" i="2"/>
  <c r="G23" i="2"/>
  <c r="M23" i="2"/>
  <c r="L23" i="2"/>
  <c r="K23" i="2"/>
  <c r="J23" i="2"/>
  <c r="I23" i="2"/>
  <c r="H23" i="2"/>
  <c r="F23" i="2"/>
  <c r="E130" i="2"/>
  <c r="D140" i="2"/>
  <c r="M84" i="2"/>
  <c r="L84" i="2"/>
  <c r="K84" i="2"/>
  <c r="J84" i="2"/>
  <c r="I84" i="2"/>
  <c r="H84" i="2"/>
  <c r="F84" i="2"/>
  <c r="G84" i="2"/>
  <c r="M82" i="2"/>
  <c r="L82" i="2"/>
  <c r="K82" i="2"/>
  <c r="J82" i="2"/>
  <c r="H82" i="2"/>
  <c r="G82" i="2"/>
  <c r="I82" i="2"/>
  <c r="F82" i="2"/>
  <c r="G17" i="2"/>
  <c r="I17" i="2"/>
  <c r="M17" i="2"/>
  <c r="L17" i="2"/>
  <c r="K17" i="2"/>
  <c r="J17" i="2"/>
  <c r="H17" i="2"/>
  <c r="F17" i="2"/>
  <c r="M49" i="2"/>
  <c r="L49" i="2"/>
  <c r="K49" i="2"/>
  <c r="J49" i="2"/>
  <c r="I49" i="2"/>
  <c r="H49" i="2"/>
  <c r="G49" i="2"/>
  <c r="F49" i="2"/>
  <c r="M100" i="2"/>
  <c r="L100" i="2"/>
  <c r="K100" i="2"/>
  <c r="J100" i="2"/>
  <c r="H100" i="2"/>
  <c r="G100" i="2"/>
  <c r="F100" i="2"/>
  <c r="I100" i="2"/>
  <c r="E117" i="2"/>
  <c r="D127" i="2"/>
  <c r="K29" i="2"/>
  <c r="L29" i="2"/>
  <c r="J29" i="2"/>
  <c r="I29" i="2"/>
  <c r="H29" i="2"/>
  <c r="G29" i="2"/>
  <c r="F29" i="2"/>
  <c r="M29" i="2"/>
  <c r="F72" i="2"/>
  <c r="I72" i="2"/>
  <c r="J72" i="2"/>
  <c r="H72" i="2"/>
  <c r="G72" i="2"/>
  <c r="M72" i="2"/>
  <c r="L72" i="2"/>
  <c r="K72" i="2"/>
  <c r="L108" i="2"/>
  <c r="M108" i="2"/>
  <c r="K108" i="2"/>
  <c r="J108" i="2"/>
  <c r="I108" i="2"/>
  <c r="H108" i="2"/>
  <c r="G108" i="2"/>
  <c r="F108" i="2"/>
  <c r="M47" i="2"/>
  <c r="L47" i="2"/>
  <c r="K47" i="2"/>
  <c r="J47" i="2"/>
  <c r="I47" i="2"/>
  <c r="H47" i="2"/>
  <c r="G47" i="2"/>
  <c r="F47" i="2"/>
  <c r="E66" i="2"/>
  <c r="M60" i="2"/>
  <c r="L60" i="2"/>
  <c r="K60" i="2"/>
  <c r="J60" i="2"/>
  <c r="H60" i="2"/>
  <c r="G60" i="2"/>
  <c r="I60" i="2"/>
  <c r="F60" i="2"/>
  <c r="M38" i="2"/>
  <c r="L38" i="2"/>
  <c r="K38" i="2"/>
  <c r="J38" i="2"/>
  <c r="I38" i="2"/>
  <c r="H38" i="2"/>
  <c r="G38" i="2"/>
  <c r="F38" i="2"/>
  <c r="G33" i="2"/>
  <c r="H33" i="2"/>
  <c r="F33" i="2"/>
  <c r="L33" i="2"/>
  <c r="M33" i="2"/>
  <c r="K33" i="2"/>
  <c r="J33" i="2"/>
  <c r="I33" i="2"/>
  <c r="M62" i="2"/>
  <c r="L62" i="2"/>
  <c r="K62" i="2"/>
  <c r="J62" i="2"/>
  <c r="I62" i="2"/>
  <c r="H62" i="2"/>
  <c r="F62" i="2"/>
  <c r="G62" i="2"/>
  <c r="M73" i="2"/>
  <c r="L73" i="2"/>
  <c r="K73" i="2"/>
  <c r="J73" i="2"/>
  <c r="I73" i="2"/>
  <c r="H73" i="2"/>
  <c r="F73" i="2"/>
  <c r="G73" i="2"/>
  <c r="E122" i="2"/>
  <c r="D132" i="2"/>
  <c r="J79" i="2"/>
  <c r="I79" i="2"/>
  <c r="H79" i="2"/>
  <c r="G79" i="2"/>
  <c r="F79" i="2"/>
  <c r="M79" i="2"/>
  <c r="L79" i="2"/>
  <c r="K79" i="2"/>
  <c r="M21" i="2"/>
  <c r="G21" i="2"/>
  <c r="L21" i="2"/>
  <c r="J21" i="2"/>
  <c r="K21" i="2"/>
  <c r="I21" i="2"/>
  <c r="H21" i="2"/>
  <c r="F21" i="2"/>
  <c r="M87" i="2"/>
  <c r="L87" i="2"/>
  <c r="K87" i="2"/>
  <c r="J87" i="2"/>
  <c r="I87" i="2"/>
  <c r="H87" i="2"/>
  <c r="G87" i="2"/>
  <c r="F87" i="2"/>
  <c r="E106" i="2"/>
  <c r="K40" i="2"/>
  <c r="J40" i="2"/>
  <c r="I40" i="2"/>
  <c r="H40" i="2"/>
  <c r="G40" i="2"/>
  <c r="F40" i="2"/>
  <c r="M40" i="2"/>
  <c r="L40" i="2"/>
  <c r="M27" i="2"/>
  <c r="L27" i="2"/>
  <c r="K27" i="2"/>
  <c r="J27" i="2"/>
  <c r="I27" i="2"/>
  <c r="H27" i="2"/>
  <c r="G27" i="2"/>
  <c r="F27" i="2"/>
  <c r="E46" i="2"/>
  <c r="M53" i="2"/>
  <c r="K53" i="2"/>
  <c r="I53" i="2"/>
  <c r="G53" i="2"/>
  <c r="F53" i="2"/>
  <c r="L53" i="2"/>
  <c r="J53" i="2"/>
  <c r="H53" i="2"/>
  <c r="M54" i="2"/>
  <c r="G54" i="2"/>
  <c r="F54" i="2"/>
  <c r="H54" i="2"/>
  <c r="L54" i="2"/>
  <c r="K54" i="2"/>
  <c r="J54" i="2"/>
  <c r="I54" i="2"/>
  <c r="I19" i="2"/>
  <c r="J19" i="2"/>
  <c r="M19" i="2"/>
  <c r="L19" i="2"/>
  <c r="K19" i="2"/>
  <c r="G19" i="2"/>
  <c r="H19" i="2"/>
  <c r="F19" i="2"/>
  <c r="E111" i="2"/>
  <c r="D121" i="2"/>
  <c r="L77" i="2"/>
  <c r="K77" i="2"/>
  <c r="J77" i="2"/>
  <c r="I77" i="2"/>
  <c r="H77" i="2"/>
  <c r="G77" i="2"/>
  <c r="F77" i="2"/>
  <c r="M77" i="2"/>
  <c r="E96" i="2"/>
  <c r="L88" i="2"/>
  <c r="K88" i="2"/>
  <c r="J88" i="2"/>
  <c r="I88" i="2"/>
  <c r="H88" i="2"/>
  <c r="G88" i="2"/>
  <c r="F88" i="2"/>
  <c r="M88" i="2"/>
  <c r="J68" i="2"/>
  <c r="I68" i="2"/>
  <c r="H68" i="2"/>
  <c r="G68" i="2"/>
  <c r="F68" i="2"/>
  <c r="M68" i="2"/>
  <c r="L68" i="2"/>
  <c r="K68" i="2"/>
  <c r="M24" i="2"/>
  <c r="H24" i="2"/>
  <c r="J24" i="2"/>
  <c r="L24" i="2"/>
  <c r="F24" i="2"/>
  <c r="I24" i="2"/>
  <c r="K24" i="2"/>
  <c r="G24" i="2"/>
  <c r="M91" i="2"/>
  <c r="L91" i="2"/>
  <c r="J91" i="2"/>
  <c r="I91" i="2"/>
  <c r="K91" i="2"/>
  <c r="H91" i="2"/>
  <c r="G91" i="2"/>
  <c r="F91" i="2"/>
  <c r="M22" i="2"/>
  <c r="L22" i="2"/>
  <c r="K22" i="2"/>
  <c r="J22" i="2"/>
  <c r="I22" i="2"/>
  <c r="H22" i="2"/>
  <c r="F22" i="2"/>
  <c r="G22" i="2"/>
  <c r="J90" i="2"/>
  <c r="I90" i="2"/>
  <c r="H90" i="2"/>
  <c r="G90" i="2"/>
  <c r="F90" i="2"/>
  <c r="M90" i="2"/>
  <c r="L90" i="2"/>
  <c r="K90" i="2"/>
  <c r="M58" i="2"/>
  <c r="L58" i="2"/>
  <c r="J58" i="2"/>
  <c r="I58" i="2"/>
  <c r="H58" i="2"/>
  <c r="G58" i="2"/>
  <c r="F58" i="2"/>
  <c r="K58" i="2"/>
  <c r="K51" i="2"/>
  <c r="I51" i="2"/>
  <c r="H51" i="2"/>
  <c r="F51" i="2"/>
  <c r="M51" i="2"/>
  <c r="L51" i="2"/>
  <c r="J51" i="2"/>
  <c r="G51" i="2"/>
  <c r="E109" i="2"/>
  <c r="D119" i="2"/>
  <c r="L89" i="2"/>
  <c r="K89" i="2"/>
  <c r="M89" i="2"/>
  <c r="J89" i="2"/>
  <c r="I89" i="2"/>
  <c r="H89" i="2"/>
  <c r="G89" i="2"/>
  <c r="F89" i="2"/>
  <c r="O114" i="2"/>
  <c r="O113" i="2"/>
  <c r="O130" i="2"/>
  <c r="O111" i="2"/>
  <c r="O128" i="2"/>
  <c r="O109" i="2"/>
  <c r="O117" i="2"/>
  <c r="O122" i="2"/>
  <c r="L113" i="2" l="1"/>
  <c r="K113" i="2"/>
  <c r="J113" i="2"/>
  <c r="I113" i="2"/>
  <c r="F113" i="2"/>
  <c r="G113" i="2"/>
  <c r="M113" i="2"/>
  <c r="H113" i="2"/>
  <c r="E123" i="2"/>
  <c r="D133" i="2"/>
  <c r="H111" i="2"/>
  <c r="G111" i="2"/>
  <c r="F111" i="2"/>
  <c r="M111" i="2"/>
  <c r="L111" i="2"/>
  <c r="K111" i="2"/>
  <c r="J111" i="2"/>
  <c r="I111" i="2"/>
  <c r="E127" i="2"/>
  <c r="D137" i="2"/>
  <c r="E136" i="2"/>
  <c r="M117" i="2"/>
  <c r="L117" i="2"/>
  <c r="J117" i="2"/>
  <c r="I117" i="2"/>
  <c r="H117" i="2"/>
  <c r="G117" i="2"/>
  <c r="F117" i="2"/>
  <c r="K117" i="2"/>
  <c r="E119" i="2"/>
  <c r="D129" i="2"/>
  <c r="E140" i="2"/>
  <c r="D150" i="2"/>
  <c r="E124" i="2"/>
  <c r="D134" i="2"/>
  <c r="L109" i="2"/>
  <c r="K109" i="2"/>
  <c r="J109" i="2"/>
  <c r="I109" i="2"/>
  <c r="H109" i="2"/>
  <c r="G109" i="2"/>
  <c r="F109" i="2"/>
  <c r="M109" i="2"/>
  <c r="F130" i="2"/>
  <c r="M130" i="2"/>
  <c r="L130" i="2"/>
  <c r="K130" i="2"/>
  <c r="I130" i="2"/>
  <c r="H130" i="2"/>
  <c r="G130" i="2"/>
  <c r="J130" i="2"/>
  <c r="L114" i="2"/>
  <c r="K114" i="2"/>
  <c r="J114" i="2"/>
  <c r="I114" i="2"/>
  <c r="H114" i="2"/>
  <c r="G114" i="2"/>
  <c r="F114" i="2"/>
  <c r="M114" i="2"/>
  <c r="E132" i="2"/>
  <c r="D142" i="2"/>
  <c r="E121" i="2"/>
  <c r="D131" i="2"/>
  <c r="M122" i="2"/>
  <c r="L122" i="2"/>
  <c r="J122" i="2"/>
  <c r="I122" i="2"/>
  <c r="H122" i="2"/>
  <c r="G122" i="2"/>
  <c r="F122" i="2"/>
  <c r="K122" i="2"/>
  <c r="D148" i="2"/>
  <c r="E138" i="2"/>
  <c r="J128" i="2"/>
  <c r="I128" i="2"/>
  <c r="H128" i="2"/>
  <c r="G128" i="2"/>
  <c r="F128" i="2"/>
  <c r="M128" i="2"/>
  <c r="L128" i="2"/>
  <c r="K128" i="2"/>
  <c r="O138" i="2"/>
  <c r="O140" i="2"/>
  <c r="O121" i="2"/>
  <c r="O127" i="2"/>
  <c r="O123" i="2"/>
  <c r="O119" i="2"/>
  <c r="O132" i="2"/>
  <c r="O124" i="2"/>
  <c r="E137" i="2" l="1"/>
  <c r="D147" i="2"/>
  <c r="E146" i="2"/>
  <c r="M127" i="2"/>
  <c r="L127" i="2"/>
  <c r="K127" i="2"/>
  <c r="J127" i="2"/>
  <c r="I127" i="2"/>
  <c r="H127" i="2"/>
  <c r="G127" i="2"/>
  <c r="F127" i="2"/>
  <c r="M132" i="2"/>
  <c r="L132" i="2"/>
  <c r="K132" i="2"/>
  <c r="J132" i="2"/>
  <c r="I132" i="2"/>
  <c r="H132" i="2"/>
  <c r="G132" i="2"/>
  <c r="F132" i="2"/>
  <c r="E134" i="2"/>
  <c r="D144" i="2"/>
  <c r="M124" i="2"/>
  <c r="L124" i="2"/>
  <c r="K124" i="2"/>
  <c r="J124" i="2"/>
  <c r="I124" i="2"/>
  <c r="H124" i="2"/>
  <c r="F124" i="2"/>
  <c r="G124" i="2"/>
  <c r="E150" i="2"/>
  <c r="D160" i="2"/>
  <c r="E148" i="2"/>
  <c r="D158" i="2"/>
  <c r="I140" i="2"/>
  <c r="H140" i="2"/>
  <c r="G140" i="2"/>
  <c r="F140" i="2"/>
  <c r="M140" i="2"/>
  <c r="L140" i="2"/>
  <c r="K140" i="2"/>
  <c r="J140" i="2"/>
  <c r="E129" i="2"/>
  <c r="D139" i="2"/>
  <c r="M138" i="2"/>
  <c r="L138" i="2"/>
  <c r="K138" i="2"/>
  <c r="J138" i="2"/>
  <c r="I138" i="2"/>
  <c r="H138" i="2"/>
  <c r="G138" i="2"/>
  <c r="F138" i="2"/>
  <c r="M119" i="2"/>
  <c r="L119" i="2"/>
  <c r="K119" i="2"/>
  <c r="J119" i="2"/>
  <c r="I119" i="2"/>
  <c r="H119" i="2"/>
  <c r="F119" i="2"/>
  <c r="G119" i="2"/>
  <c r="E133" i="2"/>
  <c r="D143" i="2"/>
  <c r="G123" i="2"/>
  <c r="F123" i="2"/>
  <c r="M123" i="2"/>
  <c r="L123" i="2"/>
  <c r="J123" i="2"/>
  <c r="I123" i="2"/>
  <c r="K123" i="2"/>
  <c r="H123" i="2"/>
  <c r="E131" i="2"/>
  <c r="D141" i="2"/>
  <c r="K121" i="2"/>
  <c r="J121" i="2"/>
  <c r="I121" i="2"/>
  <c r="H121" i="2"/>
  <c r="G121" i="2"/>
  <c r="F121" i="2"/>
  <c r="M121" i="2"/>
  <c r="L121" i="2"/>
  <c r="E142" i="2"/>
  <c r="D152" i="2"/>
  <c r="O133" i="2"/>
  <c r="O148" i="2"/>
  <c r="O142" i="2"/>
  <c r="O134" i="2"/>
  <c r="O137" i="2"/>
  <c r="O150" i="2"/>
  <c r="O129" i="2"/>
  <c r="O131" i="2"/>
  <c r="M134" i="2" l="1"/>
  <c r="L134" i="2"/>
  <c r="K134" i="2"/>
  <c r="I134" i="2"/>
  <c r="H134" i="2"/>
  <c r="G134" i="2"/>
  <c r="F134" i="2"/>
  <c r="J134" i="2"/>
  <c r="J133" i="2"/>
  <c r="I133" i="2"/>
  <c r="H133" i="2"/>
  <c r="G133" i="2"/>
  <c r="F133" i="2"/>
  <c r="M133" i="2"/>
  <c r="L133" i="2"/>
  <c r="K133" i="2"/>
  <c r="M142" i="2"/>
  <c r="L142" i="2"/>
  <c r="K142" i="2"/>
  <c r="J142" i="2"/>
  <c r="I142" i="2"/>
  <c r="H142" i="2"/>
  <c r="G142" i="2"/>
  <c r="F142" i="2"/>
  <c r="E158" i="2"/>
  <c r="D168" i="2"/>
  <c r="M148" i="2"/>
  <c r="L148" i="2"/>
  <c r="K148" i="2"/>
  <c r="J148" i="2"/>
  <c r="I148" i="2"/>
  <c r="G148" i="2"/>
  <c r="F148" i="2"/>
  <c r="H148" i="2"/>
  <c r="E141" i="2"/>
  <c r="D151" i="2"/>
  <c r="E160" i="2"/>
  <c r="D170" i="2"/>
  <c r="M131" i="2"/>
  <c r="L131" i="2"/>
  <c r="K131" i="2"/>
  <c r="J131" i="2"/>
  <c r="I131" i="2"/>
  <c r="H131" i="2"/>
  <c r="G131" i="2"/>
  <c r="F131" i="2"/>
  <c r="L150" i="2"/>
  <c r="K150" i="2"/>
  <c r="J150" i="2"/>
  <c r="I150" i="2"/>
  <c r="H150" i="2"/>
  <c r="G150" i="2"/>
  <c r="F150" i="2"/>
  <c r="M150" i="2"/>
  <c r="E139" i="2"/>
  <c r="D149" i="2"/>
  <c r="M129" i="2"/>
  <c r="L129" i="2"/>
  <c r="K129" i="2"/>
  <c r="I129" i="2"/>
  <c r="H129" i="2"/>
  <c r="G129" i="2"/>
  <c r="F129" i="2"/>
  <c r="J129" i="2"/>
  <c r="E147" i="2"/>
  <c r="D157" i="2"/>
  <c r="E152" i="2"/>
  <c r="D162" i="2"/>
  <c r="D153" i="2"/>
  <c r="E143" i="2"/>
  <c r="E144" i="2"/>
  <c r="D154" i="2"/>
  <c r="E156" i="2"/>
  <c r="M137" i="2"/>
  <c r="L137" i="2"/>
  <c r="K137" i="2"/>
  <c r="J137" i="2"/>
  <c r="I137" i="2"/>
  <c r="H137" i="2"/>
  <c r="G137" i="2"/>
  <c r="F137" i="2"/>
  <c r="O139" i="2"/>
  <c r="O141" i="2"/>
  <c r="O144" i="2"/>
  <c r="O152" i="2"/>
  <c r="O143" i="2"/>
  <c r="O147" i="2"/>
  <c r="O160" i="2"/>
  <c r="O158" i="2"/>
  <c r="E170" i="2" l="1"/>
  <c r="D180" i="2"/>
  <c r="M160" i="2"/>
  <c r="L160" i="2"/>
  <c r="K160" i="2"/>
  <c r="J160" i="2"/>
  <c r="I160" i="2"/>
  <c r="H160" i="2"/>
  <c r="F160" i="2"/>
  <c r="G160" i="2"/>
  <c r="D159" i="2"/>
  <c r="E149" i="2"/>
  <c r="E151" i="2"/>
  <c r="D161" i="2"/>
  <c r="L139" i="2"/>
  <c r="K139" i="2"/>
  <c r="J139" i="2"/>
  <c r="I139" i="2"/>
  <c r="H139" i="2"/>
  <c r="G139" i="2"/>
  <c r="F139" i="2"/>
  <c r="M139" i="2"/>
  <c r="M141" i="2"/>
  <c r="L141" i="2"/>
  <c r="K141" i="2"/>
  <c r="J141" i="2"/>
  <c r="H141" i="2"/>
  <c r="G141" i="2"/>
  <c r="F141" i="2"/>
  <c r="I141" i="2"/>
  <c r="D164" i="2"/>
  <c r="E154" i="2"/>
  <c r="L144" i="2"/>
  <c r="K144" i="2"/>
  <c r="J144" i="2"/>
  <c r="I144" i="2"/>
  <c r="H144" i="2"/>
  <c r="G144" i="2"/>
  <c r="F144" i="2"/>
  <c r="M144" i="2"/>
  <c r="M143" i="2"/>
  <c r="L143" i="2"/>
  <c r="K143" i="2"/>
  <c r="J143" i="2"/>
  <c r="I143" i="2"/>
  <c r="H143" i="2"/>
  <c r="G143" i="2"/>
  <c r="F143" i="2"/>
  <c r="E153" i="2"/>
  <c r="D163" i="2"/>
  <c r="E162" i="2"/>
  <c r="D172" i="2"/>
  <c r="H152" i="2"/>
  <c r="G152" i="2"/>
  <c r="F152" i="2"/>
  <c r="M152" i="2"/>
  <c r="L152" i="2"/>
  <c r="K152" i="2"/>
  <c r="J152" i="2"/>
  <c r="I152" i="2"/>
  <c r="E157" i="2"/>
  <c r="D167" i="2"/>
  <c r="E168" i="2"/>
  <c r="D178" i="2"/>
  <c r="H147" i="2"/>
  <c r="G147" i="2"/>
  <c r="F147" i="2"/>
  <c r="E166" i="2"/>
  <c r="M147" i="2"/>
  <c r="L147" i="2"/>
  <c r="K147" i="2"/>
  <c r="J147" i="2"/>
  <c r="I147" i="2"/>
  <c r="M158" i="2"/>
  <c r="L158" i="2"/>
  <c r="J158" i="2"/>
  <c r="I158" i="2"/>
  <c r="H158" i="2"/>
  <c r="G158" i="2"/>
  <c r="F158" i="2"/>
  <c r="K158" i="2"/>
  <c r="O153" i="2"/>
  <c r="O162" i="2"/>
  <c r="O168" i="2"/>
  <c r="O149" i="2"/>
  <c r="O151" i="2"/>
  <c r="O170" i="2"/>
  <c r="O157" i="2"/>
  <c r="O154" i="2"/>
  <c r="D171" i="2" l="1"/>
  <c r="E161" i="2"/>
  <c r="M151" i="2"/>
  <c r="K151" i="2"/>
  <c r="J151" i="2"/>
  <c r="I151" i="2"/>
  <c r="H151" i="2"/>
  <c r="G151" i="2"/>
  <c r="F151" i="2"/>
  <c r="L151" i="2"/>
  <c r="E172" i="2"/>
  <c r="D182" i="2"/>
  <c r="M154" i="2"/>
  <c r="L154" i="2"/>
  <c r="K154" i="2"/>
  <c r="J154" i="2"/>
  <c r="I154" i="2"/>
  <c r="H154" i="2"/>
  <c r="G154" i="2"/>
  <c r="F154" i="2"/>
  <c r="M149" i="2"/>
  <c r="L149" i="2"/>
  <c r="K149" i="2"/>
  <c r="J149" i="2"/>
  <c r="I149" i="2"/>
  <c r="H149" i="2"/>
  <c r="G149" i="2"/>
  <c r="F149" i="2"/>
  <c r="K162" i="2"/>
  <c r="J162" i="2"/>
  <c r="I162" i="2"/>
  <c r="H162" i="2"/>
  <c r="G162" i="2"/>
  <c r="F162" i="2"/>
  <c r="M162" i="2"/>
  <c r="L162" i="2"/>
  <c r="E164" i="2"/>
  <c r="D174" i="2"/>
  <c r="E159" i="2"/>
  <c r="D169" i="2"/>
  <c r="E163" i="2"/>
  <c r="D173" i="2"/>
  <c r="M153" i="2"/>
  <c r="L153" i="2"/>
  <c r="K153" i="2"/>
  <c r="J153" i="2"/>
  <c r="I153" i="2"/>
  <c r="G153" i="2"/>
  <c r="F153" i="2"/>
  <c r="H153" i="2"/>
  <c r="E178" i="2"/>
  <c r="D188" i="2"/>
  <c r="M168" i="2"/>
  <c r="L168" i="2"/>
  <c r="K168" i="2"/>
  <c r="J168" i="2"/>
  <c r="I168" i="2"/>
  <c r="H168" i="2"/>
  <c r="G168" i="2"/>
  <c r="F168" i="2"/>
  <c r="E167" i="2"/>
  <c r="D177" i="2"/>
  <c r="E180" i="2"/>
  <c r="D190" i="2"/>
  <c r="K157" i="2"/>
  <c r="J157" i="2"/>
  <c r="I157" i="2"/>
  <c r="H157" i="2"/>
  <c r="G157" i="2"/>
  <c r="F157" i="2"/>
  <c r="E176" i="2"/>
  <c r="M157" i="2"/>
  <c r="L157" i="2"/>
  <c r="M170" i="2"/>
  <c r="L170" i="2"/>
  <c r="K170" i="2"/>
  <c r="I170" i="2"/>
  <c r="H170" i="2"/>
  <c r="G170" i="2"/>
  <c r="F170" i="2"/>
  <c r="J170" i="2"/>
  <c r="O161" i="2"/>
  <c r="O180" i="2"/>
  <c r="O178" i="2"/>
  <c r="O164" i="2"/>
  <c r="O159" i="2"/>
  <c r="O163" i="2"/>
  <c r="O167" i="2"/>
  <c r="O172" i="2"/>
  <c r="G159" i="2" l="1"/>
  <c r="F159" i="2"/>
  <c r="M159" i="2"/>
  <c r="L159" i="2"/>
  <c r="K159" i="2"/>
  <c r="J159" i="2"/>
  <c r="I159" i="2"/>
  <c r="H159" i="2"/>
  <c r="E174" i="2"/>
  <c r="D184" i="2"/>
  <c r="G164" i="2"/>
  <c r="F164" i="2"/>
  <c r="M164" i="2"/>
  <c r="L164" i="2"/>
  <c r="K164" i="2"/>
  <c r="J164" i="2"/>
  <c r="I164" i="2"/>
  <c r="H164" i="2"/>
  <c r="E188" i="2"/>
  <c r="D198" i="2"/>
  <c r="E182" i="2"/>
  <c r="D192" i="2"/>
  <c r="M178" i="2"/>
  <c r="L178" i="2"/>
  <c r="K178" i="2"/>
  <c r="J178" i="2"/>
  <c r="I178" i="2"/>
  <c r="H178" i="2"/>
  <c r="G178" i="2"/>
  <c r="F178" i="2"/>
  <c r="M172" i="2"/>
  <c r="L172" i="2"/>
  <c r="K172" i="2"/>
  <c r="J172" i="2"/>
  <c r="I172" i="2"/>
  <c r="H172" i="2"/>
  <c r="G172" i="2"/>
  <c r="F172" i="2"/>
  <c r="E169" i="2"/>
  <c r="D179" i="2"/>
  <c r="D200" i="2"/>
  <c r="E190" i="2"/>
  <c r="L180" i="2"/>
  <c r="K180" i="2"/>
  <c r="J180" i="2"/>
  <c r="I180" i="2"/>
  <c r="H180" i="2"/>
  <c r="G180" i="2"/>
  <c r="F180" i="2"/>
  <c r="M180" i="2"/>
  <c r="E177" i="2"/>
  <c r="D187" i="2"/>
  <c r="E173" i="2"/>
  <c r="D183" i="2"/>
  <c r="M161" i="2"/>
  <c r="L161" i="2"/>
  <c r="K161" i="2"/>
  <c r="J161" i="2"/>
  <c r="I161" i="2"/>
  <c r="H161" i="2"/>
  <c r="G161" i="2"/>
  <c r="F161" i="2"/>
  <c r="M167" i="2"/>
  <c r="L167" i="2"/>
  <c r="K167" i="2"/>
  <c r="J167" i="2"/>
  <c r="I167" i="2"/>
  <c r="H167" i="2"/>
  <c r="G167" i="2"/>
  <c r="E186" i="2"/>
  <c r="F167" i="2"/>
  <c r="M163" i="2"/>
  <c r="L163" i="2"/>
  <c r="J163" i="2"/>
  <c r="I163" i="2"/>
  <c r="H163" i="2"/>
  <c r="G163" i="2"/>
  <c r="F163" i="2"/>
  <c r="K163" i="2"/>
  <c r="E171" i="2"/>
  <c r="D181" i="2"/>
  <c r="O188" i="2"/>
  <c r="O171" i="2"/>
  <c r="O173" i="2"/>
  <c r="O177" i="2"/>
  <c r="O169" i="2"/>
  <c r="O174" i="2"/>
  <c r="O182" i="2"/>
  <c r="O190" i="2"/>
  <c r="J169" i="2" l="1"/>
  <c r="I169" i="2"/>
  <c r="H169" i="2"/>
  <c r="G169" i="2"/>
  <c r="F169" i="2"/>
  <c r="M169" i="2"/>
  <c r="L169" i="2"/>
  <c r="K169" i="2"/>
  <c r="E187" i="2"/>
  <c r="D197" i="2"/>
  <c r="H188" i="2"/>
  <c r="G188" i="2"/>
  <c r="F188" i="2"/>
  <c r="M188" i="2"/>
  <c r="L188" i="2"/>
  <c r="K188" i="2"/>
  <c r="J188" i="2"/>
  <c r="I188" i="2"/>
  <c r="M173" i="2"/>
  <c r="L173" i="2"/>
  <c r="K173" i="2"/>
  <c r="J173" i="2"/>
  <c r="I173" i="2"/>
  <c r="H173" i="2"/>
  <c r="G173" i="2"/>
  <c r="F173" i="2"/>
  <c r="D194" i="2"/>
  <c r="E184" i="2"/>
  <c r="D189" i="2"/>
  <c r="E179" i="2"/>
  <c r="E198" i="2"/>
  <c r="D208" i="2"/>
  <c r="J174" i="2"/>
  <c r="I174" i="2"/>
  <c r="H174" i="2"/>
  <c r="G174" i="2"/>
  <c r="F174" i="2"/>
  <c r="M174" i="2"/>
  <c r="L174" i="2"/>
  <c r="K174" i="2"/>
  <c r="F171" i="2"/>
  <c r="M171" i="2"/>
  <c r="L171" i="2"/>
  <c r="K171" i="2"/>
  <c r="J171" i="2"/>
  <c r="I171" i="2"/>
  <c r="H171" i="2"/>
  <c r="G171" i="2"/>
  <c r="E183" i="2"/>
  <c r="D193" i="2"/>
  <c r="M190" i="2"/>
  <c r="L190" i="2"/>
  <c r="K190" i="2"/>
  <c r="J190" i="2"/>
  <c r="I190" i="2"/>
  <c r="H190" i="2"/>
  <c r="G190" i="2"/>
  <c r="F190" i="2"/>
  <c r="E192" i="2"/>
  <c r="D202" i="2"/>
  <c r="E196" i="2"/>
  <c r="M177" i="2"/>
  <c r="L177" i="2"/>
  <c r="K177" i="2"/>
  <c r="J177" i="2"/>
  <c r="H177" i="2"/>
  <c r="G177" i="2"/>
  <c r="F177" i="2"/>
  <c r="I177" i="2"/>
  <c r="E181" i="2"/>
  <c r="D191" i="2"/>
  <c r="E200" i="2"/>
  <c r="D210" i="2"/>
  <c r="M182" i="2"/>
  <c r="L182" i="2"/>
  <c r="K182" i="2"/>
  <c r="J182" i="2"/>
  <c r="H182" i="2"/>
  <c r="G182" i="2"/>
  <c r="F182" i="2"/>
  <c r="I182" i="2"/>
  <c r="O187" i="2"/>
  <c r="O184" i="2"/>
  <c r="O198" i="2"/>
  <c r="O181" i="2"/>
  <c r="O200" i="2"/>
  <c r="O183" i="2"/>
  <c r="O192" i="2"/>
  <c r="O179" i="2"/>
  <c r="E193" i="2" l="1"/>
  <c r="D203" i="2"/>
  <c r="M179" i="2"/>
  <c r="L179" i="2"/>
  <c r="K179" i="2"/>
  <c r="J179" i="2"/>
  <c r="I179" i="2"/>
  <c r="H179" i="2"/>
  <c r="G179" i="2"/>
  <c r="F179" i="2"/>
  <c r="D207" i="2"/>
  <c r="E197" i="2"/>
  <c r="M192" i="2"/>
  <c r="K192" i="2"/>
  <c r="J192" i="2"/>
  <c r="I192" i="2"/>
  <c r="H192" i="2"/>
  <c r="G192" i="2"/>
  <c r="F192" i="2"/>
  <c r="L192" i="2"/>
  <c r="M183" i="2"/>
  <c r="L183" i="2"/>
  <c r="K183" i="2"/>
  <c r="J183" i="2"/>
  <c r="I183" i="2"/>
  <c r="H183" i="2"/>
  <c r="G183" i="2"/>
  <c r="F183" i="2"/>
  <c r="E189" i="2"/>
  <c r="D199" i="2"/>
  <c r="E206" i="2"/>
  <c r="M187" i="2"/>
  <c r="K187" i="2"/>
  <c r="J187" i="2"/>
  <c r="I187" i="2"/>
  <c r="H187" i="2"/>
  <c r="G187" i="2"/>
  <c r="F187" i="2"/>
  <c r="L187" i="2"/>
  <c r="M184" i="2"/>
  <c r="L184" i="2"/>
  <c r="K184" i="2"/>
  <c r="J184" i="2"/>
  <c r="I184" i="2"/>
  <c r="H184" i="2"/>
  <c r="G184" i="2"/>
  <c r="F184" i="2"/>
  <c r="E208" i="2"/>
  <c r="D218" i="2"/>
  <c r="I181" i="2"/>
  <c r="H181" i="2"/>
  <c r="G181" i="2"/>
  <c r="F181" i="2"/>
  <c r="M181" i="2"/>
  <c r="L181" i="2"/>
  <c r="K181" i="2"/>
  <c r="J181" i="2"/>
  <c r="E194" i="2"/>
  <c r="D204" i="2"/>
  <c r="E191" i="2"/>
  <c r="D201" i="2"/>
  <c r="K198" i="2"/>
  <c r="J198" i="2"/>
  <c r="I198" i="2"/>
  <c r="H198" i="2"/>
  <c r="G198" i="2"/>
  <c r="F198" i="2"/>
  <c r="M198" i="2"/>
  <c r="L198" i="2"/>
  <c r="G200" i="2"/>
  <c r="F200" i="2"/>
  <c r="M200" i="2"/>
  <c r="L200" i="2"/>
  <c r="K200" i="2"/>
  <c r="J200" i="2"/>
  <c r="I200" i="2"/>
  <c r="H200" i="2"/>
  <c r="E210" i="2"/>
  <c r="D220" i="2"/>
  <c r="D212" i="2"/>
  <c r="E202" i="2"/>
  <c r="O210" i="2"/>
  <c r="O191" i="2"/>
  <c r="O189" i="2"/>
  <c r="O197" i="2"/>
  <c r="O194" i="2"/>
  <c r="O202" i="2"/>
  <c r="O193" i="2"/>
  <c r="O208" i="2"/>
  <c r="E212" i="2" l="1"/>
  <c r="D222" i="2"/>
  <c r="M189" i="2"/>
  <c r="L189" i="2"/>
  <c r="K189" i="2"/>
  <c r="J189" i="2"/>
  <c r="I189" i="2"/>
  <c r="G189" i="2"/>
  <c r="F189" i="2"/>
  <c r="H189" i="2"/>
  <c r="E218" i="2"/>
  <c r="D228" i="2"/>
  <c r="L191" i="2"/>
  <c r="K191" i="2"/>
  <c r="J191" i="2"/>
  <c r="I191" i="2"/>
  <c r="H191" i="2"/>
  <c r="G191" i="2"/>
  <c r="F191" i="2"/>
  <c r="M191" i="2"/>
  <c r="E204" i="2"/>
  <c r="D214" i="2"/>
  <c r="M194" i="2"/>
  <c r="L194" i="2"/>
  <c r="K194" i="2"/>
  <c r="J194" i="2"/>
  <c r="I194" i="2"/>
  <c r="G194" i="2"/>
  <c r="F194" i="2"/>
  <c r="H194" i="2"/>
  <c r="E207" i="2"/>
  <c r="D217" i="2"/>
  <c r="E203" i="2"/>
  <c r="D213" i="2"/>
  <c r="D230" i="2"/>
  <c r="E220" i="2"/>
  <c r="J210" i="2"/>
  <c r="I210" i="2"/>
  <c r="H210" i="2"/>
  <c r="G210" i="2"/>
  <c r="F210" i="2"/>
  <c r="M210" i="2"/>
  <c r="L210" i="2"/>
  <c r="K210" i="2"/>
  <c r="E216" i="2"/>
  <c r="M197" i="2"/>
  <c r="L197" i="2"/>
  <c r="K197" i="2"/>
  <c r="J197" i="2"/>
  <c r="I197" i="2"/>
  <c r="H197" i="2"/>
  <c r="G197" i="2"/>
  <c r="F197" i="2"/>
  <c r="E199" i="2"/>
  <c r="D209" i="2"/>
  <c r="M208" i="2"/>
  <c r="L208" i="2"/>
  <c r="K208" i="2"/>
  <c r="J208" i="2"/>
  <c r="I208" i="2"/>
  <c r="H208" i="2"/>
  <c r="G208" i="2"/>
  <c r="F208" i="2"/>
  <c r="M202" i="2"/>
  <c r="L202" i="2"/>
  <c r="K202" i="2"/>
  <c r="J202" i="2"/>
  <c r="I202" i="2"/>
  <c r="H202" i="2"/>
  <c r="G202" i="2"/>
  <c r="F202" i="2"/>
  <c r="E201" i="2"/>
  <c r="D211" i="2"/>
  <c r="H193" i="2"/>
  <c r="G193" i="2"/>
  <c r="F193" i="2"/>
  <c r="M193" i="2"/>
  <c r="L193" i="2"/>
  <c r="K193" i="2"/>
  <c r="J193" i="2"/>
  <c r="I193" i="2"/>
  <c r="O212" i="2"/>
  <c r="O220" i="2"/>
  <c r="O203" i="2"/>
  <c r="O207" i="2"/>
  <c r="O199" i="2"/>
  <c r="O218" i="2"/>
  <c r="O204" i="2"/>
  <c r="O201" i="2"/>
  <c r="E211" i="2" l="1"/>
  <c r="D221" i="2"/>
  <c r="E209" i="2"/>
  <c r="D219" i="2"/>
  <c r="E213" i="2"/>
  <c r="D223" i="2"/>
  <c r="E217" i="2"/>
  <c r="D227" i="2"/>
  <c r="M220" i="2"/>
  <c r="L220" i="2"/>
  <c r="K220" i="2"/>
  <c r="J220" i="2"/>
  <c r="I220" i="2"/>
  <c r="H220" i="2"/>
  <c r="G220" i="2"/>
  <c r="F220" i="2"/>
  <c r="M199" i="2"/>
  <c r="L199" i="2"/>
  <c r="J199" i="2"/>
  <c r="I199" i="2"/>
  <c r="H199" i="2"/>
  <c r="G199" i="2"/>
  <c r="F199" i="2"/>
  <c r="K199" i="2"/>
  <c r="D238" i="2"/>
  <c r="E228" i="2"/>
  <c r="M218" i="2"/>
  <c r="L218" i="2"/>
  <c r="K218" i="2"/>
  <c r="J218" i="2"/>
  <c r="H218" i="2"/>
  <c r="G218" i="2"/>
  <c r="F218" i="2"/>
  <c r="I218" i="2"/>
  <c r="M201" i="2"/>
  <c r="L201" i="2"/>
  <c r="K201" i="2"/>
  <c r="J201" i="2"/>
  <c r="I201" i="2"/>
  <c r="H201" i="2"/>
  <c r="F201" i="2"/>
  <c r="G201" i="2"/>
  <c r="D240" i="2"/>
  <c r="E230" i="2"/>
  <c r="K203" i="2"/>
  <c r="J203" i="2"/>
  <c r="I203" i="2"/>
  <c r="H203" i="2"/>
  <c r="G203" i="2"/>
  <c r="F203" i="2"/>
  <c r="M203" i="2"/>
  <c r="L203" i="2"/>
  <c r="F207" i="2"/>
  <c r="E226" i="2"/>
  <c r="M207" i="2"/>
  <c r="L207" i="2"/>
  <c r="K207" i="2"/>
  <c r="J207" i="2"/>
  <c r="I207" i="2"/>
  <c r="H207" i="2"/>
  <c r="G207" i="2"/>
  <c r="E214" i="2"/>
  <c r="D224" i="2"/>
  <c r="E222" i="2"/>
  <c r="D232" i="2"/>
  <c r="M204" i="2"/>
  <c r="L204" i="2"/>
  <c r="J204" i="2"/>
  <c r="I204" i="2"/>
  <c r="H204" i="2"/>
  <c r="G204" i="2"/>
  <c r="F204" i="2"/>
  <c r="K204" i="2"/>
  <c r="F212" i="2"/>
  <c r="M212" i="2"/>
  <c r="L212" i="2"/>
  <c r="K212" i="2"/>
  <c r="J212" i="2"/>
  <c r="I212" i="2"/>
  <c r="H212" i="2"/>
  <c r="G212" i="2"/>
  <c r="O222" i="2"/>
  <c r="O214" i="2"/>
  <c r="O209" i="2"/>
  <c r="O213" i="2"/>
  <c r="O228" i="2"/>
  <c r="O211" i="2"/>
  <c r="O217" i="2"/>
  <c r="O230" i="2"/>
  <c r="E223" i="2" l="1"/>
  <c r="D233" i="2"/>
  <c r="D237" i="2"/>
  <c r="E227" i="2"/>
  <c r="E238" i="2"/>
  <c r="D248" i="2"/>
  <c r="M213" i="2"/>
  <c r="L213" i="2"/>
  <c r="K213" i="2"/>
  <c r="J213" i="2"/>
  <c r="I213" i="2"/>
  <c r="H213" i="2"/>
  <c r="G213" i="2"/>
  <c r="F213" i="2"/>
  <c r="E236" i="2"/>
  <c r="I217" i="2"/>
  <c r="H217" i="2"/>
  <c r="G217" i="2"/>
  <c r="F217" i="2"/>
  <c r="M217" i="2"/>
  <c r="L217" i="2"/>
  <c r="K217" i="2"/>
  <c r="J217" i="2"/>
  <c r="H230" i="2"/>
  <c r="G230" i="2"/>
  <c r="F230" i="2"/>
  <c r="K230" i="2"/>
  <c r="J230" i="2"/>
  <c r="I230" i="2"/>
  <c r="M230" i="2"/>
  <c r="L230" i="2"/>
  <c r="E219" i="2"/>
  <c r="D229" i="2"/>
  <c r="L228" i="2"/>
  <c r="K228" i="2"/>
  <c r="J228" i="2"/>
  <c r="H228" i="2"/>
  <c r="G228" i="2"/>
  <c r="M228" i="2"/>
  <c r="I228" i="2"/>
  <c r="F228" i="2"/>
  <c r="E224" i="2"/>
  <c r="D234" i="2"/>
  <c r="E240" i="2"/>
  <c r="D250" i="2"/>
  <c r="M209" i="2"/>
  <c r="L209" i="2"/>
  <c r="K209" i="2"/>
  <c r="J209" i="2"/>
  <c r="I209" i="2"/>
  <c r="H209" i="2"/>
  <c r="G209" i="2"/>
  <c r="F209" i="2"/>
  <c r="M214" i="2"/>
  <c r="L214" i="2"/>
  <c r="K214" i="2"/>
  <c r="J214" i="2"/>
  <c r="I214" i="2"/>
  <c r="H214" i="2"/>
  <c r="G214" i="2"/>
  <c r="F214" i="2"/>
  <c r="E221" i="2"/>
  <c r="D231" i="2"/>
  <c r="D242" i="2"/>
  <c r="E232" i="2"/>
  <c r="I222" i="2"/>
  <c r="H222" i="2"/>
  <c r="G222" i="2"/>
  <c r="F222" i="2"/>
  <c r="M222" i="2"/>
  <c r="L222" i="2"/>
  <c r="K222" i="2"/>
  <c r="J222" i="2"/>
  <c r="M211" i="2"/>
  <c r="L211" i="2"/>
  <c r="K211" i="2"/>
  <c r="I211" i="2"/>
  <c r="H211" i="2"/>
  <c r="G211" i="2"/>
  <c r="F211" i="2"/>
  <c r="J211" i="2"/>
  <c r="O224" i="2"/>
  <c r="O240" i="2"/>
  <c r="O227" i="2"/>
  <c r="O238" i="2"/>
  <c r="O221" i="2"/>
  <c r="O219" i="2"/>
  <c r="O232" i="2"/>
  <c r="O223" i="2"/>
  <c r="E248" i="2" l="1"/>
  <c r="D258" i="2"/>
  <c r="E229" i="2"/>
  <c r="D239" i="2"/>
  <c r="M232" i="2"/>
  <c r="L232" i="2"/>
  <c r="K232" i="2"/>
  <c r="J232" i="2"/>
  <c r="I232" i="2"/>
  <c r="H232" i="2"/>
  <c r="G232" i="2"/>
  <c r="F232" i="2"/>
  <c r="E250" i="2"/>
  <c r="D260" i="2"/>
  <c r="M238" i="2"/>
  <c r="L238" i="2"/>
  <c r="K238" i="2"/>
  <c r="J238" i="2"/>
  <c r="I238" i="2"/>
  <c r="F238" i="2"/>
  <c r="H238" i="2"/>
  <c r="G238" i="2"/>
  <c r="E242" i="2"/>
  <c r="D252" i="2"/>
  <c r="K240" i="2"/>
  <c r="J240" i="2"/>
  <c r="I240" i="2"/>
  <c r="H240" i="2"/>
  <c r="G240" i="2"/>
  <c r="F240" i="2"/>
  <c r="M240" i="2"/>
  <c r="L240" i="2"/>
  <c r="E246" i="2"/>
  <c r="M227" i="2"/>
  <c r="L227" i="2"/>
  <c r="K227" i="2"/>
  <c r="J227" i="2"/>
  <c r="I227" i="2"/>
  <c r="H227" i="2"/>
  <c r="F227" i="2"/>
  <c r="G227" i="2"/>
  <c r="E231" i="2"/>
  <c r="D241" i="2"/>
  <c r="E234" i="2"/>
  <c r="D244" i="2"/>
  <c r="E237" i="2"/>
  <c r="D247" i="2"/>
  <c r="M219" i="2"/>
  <c r="L219" i="2"/>
  <c r="K219" i="2"/>
  <c r="J219" i="2"/>
  <c r="I219" i="2"/>
  <c r="H219" i="2"/>
  <c r="G219" i="2"/>
  <c r="F219" i="2"/>
  <c r="L221" i="2"/>
  <c r="K221" i="2"/>
  <c r="J221" i="2"/>
  <c r="I221" i="2"/>
  <c r="H221" i="2"/>
  <c r="G221" i="2"/>
  <c r="F221" i="2"/>
  <c r="M221" i="2"/>
  <c r="M224" i="2"/>
  <c r="L224" i="2"/>
  <c r="K224" i="2"/>
  <c r="J224" i="2"/>
  <c r="I224" i="2"/>
  <c r="H224" i="2"/>
  <c r="G224" i="2"/>
  <c r="F224" i="2"/>
  <c r="D243" i="2"/>
  <c r="E233" i="2"/>
  <c r="M223" i="2"/>
  <c r="L223" i="2"/>
  <c r="K223" i="2"/>
  <c r="J223" i="2"/>
  <c r="H223" i="2"/>
  <c r="G223" i="2"/>
  <c r="F223" i="2"/>
  <c r="I223" i="2"/>
  <c r="O233" i="2"/>
  <c r="O234" i="2"/>
  <c r="O229" i="2"/>
  <c r="O237" i="2"/>
  <c r="O248" i="2"/>
  <c r="O250" i="2"/>
  <c r="O242" i="2"/>
  <c r="O231" i="2"/>
  <c r="M250" i="2" l="1"/>
  <c r="L250" i="2"/>
  <c r="K250" i="2"/>
  <c r="J250" i="2"/>
  <c r="I250" i="2"/>
  <c r="H250" i="2"/>
  <c r="G250" i="2"/>
  <c r="F250" i="2"/>
  <c r="E247" i="2"/>
  <c r="D257" i="2"/>
  <c r="L233" i="2"/>
  <c r="K233" i="2"/>
  <c r="J233" i="2"/>
  <c r="I233" i="2"/>
  <c r="H233" i="2"/>
  <c r="G233" i="2"/>
  <c r="F233" i="2"/>
  <c r="M233" i="2"/>
  <c r="G237" i="2"/>
  <c r="F237" i="2"/>
  <c r="L237" i="2"/>
  <c r="K237" i="2"/>
  <c r="J237" i="2"/>
  <c r="I237" i="2"/>
  <c r="H237" i="2"/>
  <c r="E256" i="2"/>
  <c r="M237" i="2"/>
  <c r="K234" i="2"/>
  <c r="M234" i="2"/>
  <c r="L234" i="2"/>
  <c r="I234" i="2"/>
  <c r="H234" i="2"/>
  <c r="G234" i="2"/>
  <c r="F234" i="2"/>
  <c r="J234" i="2"/>
  <c r="E252" i="2"/>
  <c r="D262" i="2"/>
  <c r="D249" i="2"/>
  <c r="E239" i="2"/>
  <c r="G242" i="2"/>
  <c r="F242" i="2"/>
  <c r="M242" i="2"/>
  <c r="L242" i="2"/>
  <c r="K242" i="2"/>
  <c r="J242" i="2"/>
  <c r="I242" i="2"/>
  <c r="H242" i="2"/>
  <c r="E260" i="2"/>
  <c r="D270" i="2"/>
  <c r="E243" i="2"/>
  <c r="D253" i="2"/>
  <c r="D254" i="2"/>
  <c r="E244" i="2"/>
  <c r="K229" i="2"/>
  <c r="M229" i="2"/>
  <c r="L229" i="2"/>
  <c r="J229" i="2"/>
  <c r="H229" i="2"/>
  <c r="G229" i="2"/>
  <c r="F229" i="2"/>
  <c r="I229" i="2"/>
  <c r="M231" i="2"/>
  <c r="L231" i="2"/>
  <c r="K231" i="2"/>
  <c r="J231" i="2"/>
  <c r="G231" i="2"/>
  <c r="I231" i="2"/>
  <c r="H231" i="2"/>
  <c r="F231" i="2"/>
  <c r="E258" i="2"/>
  <c r="D268" i="2"/>
  <c r="E241" i="2"/>
  <c r="D251" i="2"/>
  <c r="M248" i="2"/>
  <c r="L248" i="2"/>
  <c r="K248" i="2"/>
  <c r="I248" i="2"/>
  <c r="J248" i="2"/>
  <c r="H248" i="2"/>
  <c r="G248" i="2"/>
  <c r="F248" i="2"/>
  <c r="O239" i="2"/>
  <c r="O243" i="2"/>
  <c r="O247" i="2"/>
  <c r="O252" i="2"/>
  <c r="O244" i="2"/>
  <c r="O260" i="2"/>
  <c r="O241" i="2"/>
  <c r="O258" i="2"/>
  <c r="M239" i="2" l="1"/>
  <c r="L239" i="2"/>
  <c r="K239" i="2"/>
  <c r="J239" i="2"/>
  <c r="I239" i="2"/>
  <c r="H239" i="2"/>
  <c r="F239" i="2"/>
  <c r="G239" i="2"/>
  <c r="E249" i="2"/>
  <c r="D259" i="2"/>
  <c r="E262" i="2"/>
  <c r="D272" i="2"/>
  <c r="J252" i="2"/>
  <c r="I252" i="2"/>
  <c r="H252" i="2"/>
  <c r="G252" i="2"/>
  <c r="F252" i="2"/>
  <c r="M252" i="2"/>
  <c r="L252" i="2"/>
  <c r="K252" i="2"/>
  <c r="M241" i="2"/>
  <c r="J241" i="2"/>
  <c r="L241" i="2"/>
  <c r="I241" i="2"/>
  <c r="H241" i="2"/>
  <c r="G241" i="2"/>
  <c r="F241" i="2"/>
  <c r="K241" i="2"/>
  <c r="E254" i="2"/>
  <c r="D264" i="2"/>
  <c r="D278" i="2"/>
  <c r="E268" i="2"/>
  <c r="E253" i="2"/>
  <c r="D263" i="2"/>
  <c r="M244" i="2"/>
  <c r="L244" i="2"/>
  <c r="K244" i="2"/>
  <c r="J244" i="2"/>
  <c r="H244" i="2"/>
  <c r="G244" i="2"/>
  <c r="F244" i="2"/>
  <c r="I244" i="2"/>
  <c r="M258" i="2"/>
  <c r="L258" i="2"/>
  <c r="K258" i="2"/>
  <c r="J258" i="2"/>
  <c r="I258" i="2"/>
  <c r="H258" i="2"/>
  <c r="G258" i="2"/>
  <c r="F258" i="2"/>
  <c r="M243" i="2"/>
  <c r="L243" i="2"/>
  <c r="K243" i="2"/>
  <c r="J243" i="2"/>
  <c r="I243" i="2"/>
  <c r="H243" i="2"/>
  <c r="F243" i="2"/>
  <c r="G243" i="2"/>
  <c r="E257" i="2"/>
  <c r="D267" i="2"/>
  <c r="E270" i="2"/>
  <c r="D280" i="2"/>
  <c r="J247" i="2"/>
  <c r="I247" i="2"/>
  <c r="H247" i="2"/>
  <c r="G247" i="2"/>
  <c r="F247" i="2"/>
  <c r="L247" i="2"/>
  <c r="K247" i="2"/>
  <c r="E266" i="2"/>
  <c r="M247" i="2"/>
  <c r="E251" i="2"/>
  <c r="D261" i="2"/>
  <c r="M260" i="2"/>
  <c r="L260" i="2"/>
  <c r="K260" i="2"/>
  <c r="J260" i="2"/>
  <c r="I260" i="2"/>
  <c r="H260" i="2"/>
  <c r="G260" i="2"/>
  <c r="F260" i="2"/>
  <c r="O268" i="2"/>
  <c r="O249" i="2"/>
  <c r="O251" i="2"/>
  <c r="O253" i="2"/>
  <c r="O262" i="2"/>
  <c r="O270" i="2"/>
  <c r="O254" i="2"/>
  <c r="O257" i="2"/>
  <c r="M257" i="2" l="1"/>
  <c r="L257" i="2"/>
  <c r="K257" i="2"/>
  <c r="J257" i="2"/>
  <c r="I257" i="2"/>
  <c r="H257" i="2"/>
  <c r="G257" i="2"/>
  <c r="F257" i="2"/>
  <c r="E276" i="2"/>
  <c r="E263" i="2"/>
  <c r="D273" i="2"/>
  <c r="E261" i="2"/>
  <c r="D271" i="2"/>
  <c r="M253" i="2"/>
  <c r="L253" i="2"/>
  <c r="K253" i="2"/>
  <c r="J253" i="2"/>
  <c r="I253" i="2"/>
  <c r="H253" i="2"/>
  <c r="F253" i="2"/>
  <c r="G253" i="2"/>
  <c r="M251" i="2"/>
  <c r="L251" i="2"/>
  <c r="K251" i="2"/>
  <c r="J251" i="2"/>
  <c r="I251" i="2"/>
  <c r="H251" i="2"/>
  <c r="G251" i="2"/>
  <c r="F251" i="2"/>
  <c r="M268" i="2"/>
  <c r="L268" i="2"/>
  <c r="K268" i="2"/>
  <c r="J268" i="2"/>
  <c r="I268" i="2"/>
  <c r="H268" i="2"/>
  <c r="G268" i="2"/>
  <c r="F268" i="2"/>
  <c r="E272" i="2"/>
  <c r="D282" i="2"/>
  <c r="E278" i="2"/>
  <c r="D288" i="2"/>
  <c r="M262" i="2"/>
  <c r="L262" i="2"/>
  <c r="K262" i="2"/>
  <c r="J262" i="2"/>
  <c r="I262" i="2"/>
  <c r="H262" i="2"/>
  <c r="G262" i="2"/>
  <c r="F262" i="2"/>
  <c r="E264" i="2"/>
  <c r="D274" i="2"/>
  <c r="E259" i="2"/>
  <c r="D269" i="2"/>
  <c r="F254" i="2"/>
  <c r="M254" i="2"/>
  <c r="L254" i="2"/>
  <c r="K254" i="2"/>
  <c r="J254" i="2"/>
  <c r="I254" i="2"/>
  <c r="H254" i="2"/>
  <c r="G254" i="2"/>
  <c r="F249" i="2"/>
  <c r="M249" i="2"/>
  <c r="L249" i="2"/>
  <c r="K249" i="2"/>
  <c r="J249" i="2"/>
  <c r="I249" i="2"/>
  <c r="G249" i="2"/>
  <c r="H249" i="2"/>
  <c r="E267" i="2"/>
  <c r="D277" i="2"/>
  <c r="D290" i="2"/>
  <c r="E280" i="2"/>
  <c r="M270" i="2"/>
  <c r="L270" i="2"/>
  <c r="K270" i="2"/>
  <c r="J270" i="2"/>
  <c r="I270" i="2"/>
  <c r="H270" i="2"/>
  <c r="G270" i="2"/>
  <c r="F270" i="2"/>
  <c r="O261" i="2"/>
  <c r="O259" i="2"/>
  <c r="O278" i="2"/>
  <c r="O264" i="2"/>
  <c r="O263" i="2"/>
  <c r="O280" i="2"/>
  <c r="O272" i="2"/>
  <c r="O267" i="2"/>
  <c r="E282" i="2" l="1"/>
  <c r="D292" i="2"/>
  <c r="M272" i="2"/>
  <c r="L272" i="2"/>
  <c r="K272" i="2"/>
  <c r="J272" i="2"/>
  <c r="I272" i="2"/>
  <c r="H272" i="2"/>
  <c r="G272" i="2"/>
  <c r="F272" i="2"/>
  <c r="G278" i="2"/>
  <c r="F278" i="2"/>
  <c r="I278" i="2"/>
  <c r="M278" i="2"/>
  <c r="L278" i="2"/>
  <c r="K278" i="2"/>
  <c r="J278" i="2"/>
  <c r="H278" i="2"/>
  <c r="M280" i="2"/>
  <c r="L280" i="2"/>
  <c r="K280" i="2"/>
  <c r="J280" i="2"/>
  <c r="I280" i="2"/>
  <c r="H280" i="2"/>
  <c r="G280" i="2"/>
  <c r="F280" i="2"/>
  <c r="E269" i="2"/>
  <c r="D279" i="2"/>
  <c r="E271" i="2"/>
  <c r="D281" i="2"/>
  <c r="E290" i="2"/>
  <c r="D300" i="2"/>
  <c r="I259" i="2"/>
  <c r="H259" i="2"/>
  <c r="G259" i="2"/>
  <c r="F259" i="2"/>
  <c r="M259" i="2"/>
  <c r="L259" i="2"/>
  <c r="K259" i="2"/>
  <c r="J259" i="2"/>
  <c r="M261" i="2"/>
  <c r="L261" i="2"/>
  <c r="K261" i="2"/>
  <c r="J261" i="2"/>
  <c r="I261" i="2"/>
  <c r="H261" i="2"/>
  <c r="G261" i="2"/>
  <c r="F261" i="2"/>
  <c r="E277" i="2"/>
  <c r="D287" i="2"/>
  <c r="E274" i="2"/>
  <c r="D284" i="2"/>
  <c r="D283" i="2"/>
  <c r="E273" i="2"/>
  <c r="E286" i="2"/>
  <c r="M267" i="2"/>
  <c r="L267" i="2"/>
  <c r="K267" i="2"/>
  <c r="J267" i="2"/>
  <c r="I267" i="2"/>
  <c r="H267" i="2"/>
  <c r="G267" i="2"/>
  <c r="F267" i="2"/>
  <c r="I264" i="2"/>
  <c r="H264" i="2"/>
  <c r="G264" i="2"/>
  <c r="F264" i="2"/>
  <c r="M264" i="2"/>
  <c r="L264" i="2"/>
  <c r="K264" i="2"/>
  <c r="J264" i="2"/>
  <c r="M263" i="2"/>
  <c r="L263" i="2"/>
  <c r="K263" i="2"/>
  <c r="J263" i="2"/>
  <c r="I263" i="2"/>
  <c r="H263" i="2"/>
  <c r="G263" i="2"/>
  <c r="F263" i="2"/>
  <c r="E288" i="2"/>
  <c r="D298" i="2"/>
  <c r="O269" i="2"/>
  <c r="O290" i="2"/>
  <c r="O271" i="2"/>
  <c r="O274" i="2"/>
  <c r="O273" i="2"/>
  <c r="O277" i="2"/>
  <c r="O288" i="2"/>
  <c r="O282" i="2"/>
  <c r="M273" i="2" l="1"/>
  <c r="L273" i="2"/>
  <c r="K273" i="2"/>
  <c r="J273" i="2"/>
  <c r="I273" i="2"/>
  <c r="H273" i="2"/>
  <c r="G273" i="2"/>
  <c r="F273" i="2"/>
  <c r="E283" i="2"/>
  <c r="D293" i="2"/>
  <c r="E284" i="2"/>
  <c r="D294" i="2"/>
  <c r="E300" i="2"/>
  <c r="D310" i="2"/>
  <c r="L274" i="2"/>
  <c r="K274" i="2"/>
  <c r="J274" i="2"/>
  <c r="I274" i="2"/>
  <c r="H274" i="2"/>
  <c r="G274" i="2"/>
  <c r="F274" i="2"/>
  <c r="M274" i="2"/>
  <c r="F290" i="2"/>
  <c r="L290" i="2"/>
  <c r="H290" i="2"/>
  <c r="K290" i="2"/>
  <c r="J290" i="2"/>
  <c r="I290" i="2"/>
  <c r="G290" i="2"/>
  <c r="M290" i="2"/>
  <c r="E287" i="2"/>
  <c r="D297" i="2"/>
  <c r="E281" i="2"/>
  <c r="D291" i="2"/>
  <c r="E296" i="2"/>
  <c r="M277" i="2"/>
  <c r="L277" i="2"/>
  <c r="K277" i="2"/>
  <c r="J277" i="2"/>
  <c r="I277" i="2"/>
  <c r="H277" i="2"/>
  <c r="G277" i="2"/>
  <c r="F277" i="2"/>
  <c r="H271" i="2"/>
  <c r="G271" i="2"/>
  <c r="F271" i="2"/>
  <c r="M271" i="2"/>
  <c r="L271" i="2"/>
  <c r="K271" i="2"/>
  <c r="J271" i="2"/>
  <c r="I271" i="2"/>
  <c r="E279" i="2"/>
  <c r="D289" i="2"/>
  <c r="L269" i="2"/>
  <c r="K269" i="2"/>
  <c r="J269" i="2"/>
  <c r="I269" i="2"/>
  <c r="H269" i="2"/>
  <c r="G269" i="2"/>
  <c r="F269" i="2"/>
  <c r="M269" i="2"/>
  <c r="J288" i="2"/>
  <c r="I288" i="2"/>
  <c r="H288" i="2"/>
  <c r="G288" i="2"/>
  <c r="F288" i="2"/>
  <c r="L288" i="2"/>
  <c r="M288" i="2"/>
  <c r="K288" i="2"/>
  <c r="E292" i="2"/>
  <c r="D302" i="2"/>
  <c r="E298" i="2"/>
  <c r="D308" i="2"/>
  <c r="M282" i="2"/>
  <c r="L282" i="2"/>
  <c r="K282" i="2"/>
  <c r="J282" i="2"/>
  <c r="I282" i="2"/>
  <c r="G282" i="2"/>
  <c r="H282" i="2"/>
  <c r="F282" i="2"/>
  <c r="O284" i="2"/>
  <c r="O300" i="2"/>
  <c r="O281" i="2"/>
  <c r="O298" i="2"/>
  <c r="O279" i="2"/>
  <c r="O292" i="2"/>
  <c r="O283" i="2"/>
  <c r="O287" i="2"/>
  <c r="E291" i="2" l="1"/>
  <c r="D301" i="2"/>
  <c r="E310" i="2"/>
  <c r="D320" i="2"/>
  <c r="E308" i="2"/>
  <c r="D318" i="2"/>
  <c r="E289" i="2"/>
  <c r="D299" i="2"/>
  <c r="K281" i="2"/>
  <c r="J281" i="2"/>
  <c r="I281" i="2"/>
  <c r="H281" i="2"/>
  <c r="G281" i="2"/>
  <c r="F281" i="2"/>
  <c r="M281" i="2"/>
  <c r="L281" i="2"/>
  <c r="I300" i="2"/>
  <c r="H300" i="2"/>
  <c r="G300" i="2"/>
  <c r="F300" i="2"/>
  <c r="K300" i="2"/>
  <c r="M300" i="2"/>
  <c r="L300" i="2"/>
  <c r="J300" i="2"/>
  <c r="M298" i="2"/>
  <c r="L298" i="2"/>
  <c r="K298" i="2"/>
  <c r="J298" i="2"/>
  <c r="I298" i="2"/>
  <c r="H298" i="2"/>
  <c r="G298" i="2"/>
  <c r="F298" i="2"/>
  <c r="M279" i="2"/>
  <c r="L279" i="2"/>
  <c r="K279" i="2"/>
  <c r="J279" i="2"/>
  <c r="I279" i="2"/>
  <c r="H279" i="2"/>
  <c r="G279" i="2"/>
  <c r="F279" i="2"/>
  <c r="E297" i="2"/>
  <c r="D307" i="2"/>
  <c r="E294" i="2"/>
  <c r="D304" i="2"/>
  <c r="E302" i="2"/>
  <c r="D312" i="2"/>
  <c r="E306" i="2"/>
  <c r="M287" i="2"/>
  <c r="L287" i="2"/>
  <c r="J287" i="2"/>
  <c r="H287" i="2"/>
  <c r="K287" i="2"/>
  <c r="I287" i="2"/>
  <c r="G287" i="2"/>
  <c r="F287" i="2"/>
  <c r="M284" i="2"/>
  <c r="L284" i="2"/>
  <c r="K284" i="2"/>
  <c r="J284" i="2"/>
  <c r="I284" i="2"/>
  <c r="H284" i="2"/>
  <c r="G284" i="2"/>
  <c r="F284" i="2"/>
  <c r="M292" i="2"/>
  <c r="L292" i="2"/>
  <c r="K292" i="2"/>
  <c r="J292" i="2"/>
  <c r="H292" i="2"/>
  <c r="I292" i="2"/>
  <c r="G292" i="2"/>
  <c r="F292" i="2"/>
  <c r="E293" i="2"/>
  <c r="D303" i="2"/>
  <c r="G283" i="2"/>
  <c r="F283" i="2"/>
  <c r="M283" i="2"/>
  <c r="I283" i="2"/>
  <c r="L283" i="2"/>
  <c r="K283" i="2"/>
  <c r="J283" i="2"/>
  <c r="H283" i="2"/>
  <c r="O294" i="2"/>
  <c r="O302" i="2"/>
  <c r="O297" i="2"/>
  <c r="O293" i="2"/>
  <c r="O291" i="2"/>
  <c r="O310" i="2"/>
  <c r="O308" i="2"/>
  <c r="O289" i="2"/>
  <c r="E303" i="2" l="1"/>
  <c r="D313" i="2"/>
  <c r="J293" i="2"/>
  <c r="I293" i="2"/>
  <c r="H293" i="2"/>
  <c r="G293" i="2"/>
  <c r="F293" i="2"/>
  <c r="L293" i="2"/>
  <c r="M293" i="2"/>
  <c r="K293" i="2"/>
  <c r="D309" i="2"/>
  <c r="E299" i="2"/>
  <c r="M289" i="2"/>
  <c r="L289" i="2"/>
  <c r="K289" i="2"/>
  <c r="J289" i="2"/>
  <c r="I289" i="2"/>
  <c r="H289" i="2"/>
  <c r="F289" i="2"/>
  <c r="G289" i="2"/>
  <c r="E312" i="2"/>
  <c r="D322" i="2"/>
  <c r="E318" i="2"/>
  <c r="D328" i="2"/>
  <c r="M302" i="2"/>
  <c r="L302" i="2"/>
  <c r="K302" i="2"/>
  <c r="J302" i="2"/>
  <c r="G302" i="2"/>
  <c r="I302" i="2"/>
  <c r="H302" i="2"/>
  <c r="F302" i="2"/>
  <c r="M308" i="2"/>
  <c r="L308" i="2"/>
  <c r="K308" i="2"/>
  <c r="J308" i="2"/>
  <c r="I308" i="2"/>
  <c r="H308" i="2"/>
  <c r="G308" i="2"/>
  <c r="F308" i="2"/>
  <c r="D314" i="2"/>
  <c r="E304" i="2"/>
  <c r="E320" i="2"/>
  <c r="D330" i="2"/>
  <c r="M294" i="2"/>
  <c r="L294" i="2"/>
  <c r="K294" i="2"/>
  <c r="J294" i="2"/>
  <c r="I294" i="2"/>
  <c r="H294" i="2"/>
  <c r="G294" i="2"/>
  <c r="F294" i="2"/>
  <c r="L310" i="2"/>
  <c r="K310" i="2"/>
  <c r="J310" i="2"/>
  <c r="I310" i="2"/>
  <c r="H310" i="2"/>
  <c r="G310" i="2"/>
  <c r="F310" i="2"/>
  <c r="M310" i="2"/>
  <c r="E307" i="2"/>
  <c r="D317" i="2"/>
  <c r="E301" i="2"/>
  <c r="D311" i="2"/>
  <c r="E316" i="2"/>
  <c r="M297" i="2"/>
  <c r="L297" i="2"/>
  <c r="K297" i="2"/>
  <c r="G297" i="2"/>
  <c r="J297" i="2"/>
  <c r="I297" i="2"/>
  <c r="H297" i="2"/>
  <c r="F297" i="2"/>
  <c r="M291" i="2"/>
  <c r="L291" i="2"/>
  <c r="K291" i="2"/>
  <c r="J291" i="2"/>
  <c r="I291" i="2"/>
  <c r="H291" i="2"/>
  <c r="G291" i="2"/>
  <c r="F291" i="2"/>
  <c r="O312" i="2"/>
  <c r="O303" i="2"/>
  <c r="O307" i="2"/>
  <c r="O301" i="2"/>
  <c r="O318" i="2"/>
  <c r="O304" i="2"/>
  <c r="O320" i="2"/>
  <c r="O299" i="2"/>
  <c r="M299" i="2" l="1"/>
  <c r="L299" i="2"/>
  <c r="K299" i="2"/>
  <c r="J299" i="2"/>
  <c r="I299" i="2"/>
  <c r="H299" i="2"/>
  <c r="G299" i="2"/>
  <c r="F299" i="2"/>
  <c r="D319" i="2"/>
  <c r="E309" i="2"/>
  <c r="E311" i="2"/>
  <c r="D321" i="2"/>
  <c r="E330" i="2"/>
  <c r="D340" i="2"/>
  <c r="E328" i="2"/>
  <c r="D338" i="2"/>
  <c r="M301" i="2"/>
  <c r="L301" i="2"/>
  <c r="K301" i="2"/>
  <c r="J301" i="2"/>
  <c r="I301" i="2"/>
  <c r="H301" i="2"/>
  <c r="G301" i="2"/>
  <c r="F301" i="2"/>
  <c r="M320" i="2"/>
  <c r="L320" i="2"/>
  <c r="K320" i="2"/>
  <c r="J320" i="2"/>
  <c r="I320" i="2"/>
  <c r="H320" i="2"/>
  <c r="G320" i="2"/>
  <c r="F320" i="2"/>
  <c r="M318" i="2"/>
  <c r="L318" i="2"/>
  <c r="K318" i="2"/>
  <c r="J318" i="2"/>
  <c r="I318" i="2"/>
  <c r="H318" i="2"/>
  <c r="G318" i="2"/>
  <c r="F318" i="2"/>
  <c r="E317" i="2"/>
  <c r="D327" i="2"/>
  <c r="M304" i="2"/>
  <c r="L304" i="2"/>
  <c r="K304" i="2"/>
  <c r="J304" i="2"/>
  <c r="I304" i="2"/>
  <c r="H304" i="2"/>
  <c r="G304" i="2"/>
  <c r="F304" i="2"/>
  <c r="E322" i="2"/>
  <c r="D332" i="2"/>
  <c r="E313" i="2"/>
  <c r="D323" i="2"/>
  <c r="H307" i="2"/>
  <c r="G307" i="2"/>
  <c r="F307" i="2"/>
  <c r="E326" i="2"/>
  <c r="M307" i="2"/>
  <c r="L307" i="2"/>
  <c r="J307" i="2"/>
  <c r="K307" i="2"/>
  <c r="I307" i="2"/>
  <c r="D324" i="2"/>
  <c r="E314" i="2"/>
  <c r="H312" i="2"/>
  <c r="G312" i="2"/>
  <c r="F312" i="2"/>
  <c r="M312" i="2"/>
  <c r="L312" i="2"/>
  <c r="J312" i="2"/>
  <c r="K312" i="2"/>
  <c r="I312" i="2"/>
  <c r="M303" i="2"/>
  <c r="L303" i="2"/>
  <c r="K303" i="2"/>
  <c r="J303" i="2"/>
  <c r="I303" i="2"/>
  <c r="H303" i="2"/>
  <c r="G303" i="2"/>
  <c r="F303" i="2"/>
  <c r="O322" i="2"/>
  <c r="O317" i="2"/>
  <c r="O328" i="2"/>
  <c r="O313" i="2"/>
  <c r="O309" i="2"/>
  <c r="O311" i="2"/>
  <c r="O330" i="2"/>
  <c r="O314" i="2"/>
  <c r="D348" i="2" l="1"/>
  <c r="E338" i="2"/>
  <c r="M328" i="2"/>
  <c r="L328" i="2"/>
  <c r="K328" i="2"/>
  <c r="J328" i="2"/>
  <c r="I328" i="2"/>
  <c r="H328" i="2"/>
  <c r="G328" i="2"/>
  <c r="F328" i="2"/>
  <c r="E323" i="2"/>
  <c r="D333" i="2"/>
  <c r="E340" i="2"/>
  <c r="D350" i="2"/>
  <c r="M313" i="2"/>
  <c r="L313" i="2"/>
  <c r="K313" i="2"/>
  <c r="J313" i="2"/>
  <c r="I313" i="2"/>
  <c r="H313" i="2"/>
  <c r="G313" i="2"/>
  <c r="F313" i="2"/>
  <c r="M330" i="2"/>
  <c r="L330" i="2"/>
  <c r="K330" i="2"/>
  <c r="J330" i="2"/>
  <c r="I330" i="2"/>
  <c r="H330" i="2"/>
  <c r="G330" i="2"/>
  <c r="F330" i="2"/>
  <c r="E332" i="2"/>
  <c r="D342" i="2"/>
  <c r="D331" i="2"/>
  <c r="E321" i="2"/>
  <c r="K322" i="2"/>
  <c r="J322" i="2"/>
  <c r="I322" i="2"/>
  <c r="H322" i="2"/>
  <c r="G322" i="2"/>
  <c r="F322" i="2"/>
  <c r="M322" i="2"/>
  <c r="L322" i="2"/>
  <c r="M311" i="2"/>
  <c r="L311" i="2"/>
  <c r="K311" i="2"/>
  <c r="J311" i="2"/>
  <c r="I311" i="2"/>
  <c r="H311" i="2"/>
  <c r="G311" i="2"/>
  <c r="F311" i="2"/>
  <c r="M309" i="2"/>
  <c r="L309" i="2"/>
  <c r="K309" i="2"/>
  <c r="J309" i="2"/>
  <c r="I309" i="2"/>
  <c r="H309" i="2"/>
  <c r="F309" i="2"/>
  <c r="G309" i="2"/>
  <c r="E319" i="2"/>
  <c r="D329" i="2"/>
  <c r="M314" i="2"/>
  <c r="L314" i="2"/>
  <c r="K314" i="2"/>
  <c r="J314" i="2"/>
  <c r="I314" i="2"/>
  <c r="H314" i="2"/>
  <c r="F314" i="2"/>
  <c r="G314" i="2"/>
  <c r="E324" i="2"/>
  <c r="D334" i="2"/>
  <c r="E327" i="2"/>
  <c r="D337" i="2"/>
  <c r="K317" i="2"/>
  <c r="J317" i="2"/>
  <c r="I317" i="2"/>
  <c r="H317" i="2"/>
  <c r="G317" i="2"/>
  <c r="F317" i="2"/>
  <c r="E336" i="2"/>
  <c r="M317" i="2"/>
  <c r="L317" i="2"/>
  <c r="O324" i="2"/>
  <c r="O319" i="2"/>
  <c r="O327" i="2"/>
  <c r="O340" i="2"/>
  <c r="O323" i="2"/>
  <c r="O338" i="2"/>
  <c r="O332" i="2"/>
  <c r="O321" i="2"/>
  <c r="G319" i="2" l="1"/>
  <c r="F319" i="2"/>
  <c r="M319" i="2"/>
  <c r="L319" i="2"/>
  <c r="K319" i="2"/>
  <c r="I319" i="2"/>
  <c r="H319" i="2"/>
  <c r="J319" i="2"/>
  <c r="E329" i="2"/>
  <c r="D339" i="2"/>
  <c r="M321" i="2"/>
  <c r="L321" i="2"/>
  <c r="K321" i="2"/>
  <c r="J321" i="2"/>
  <c r="I321" i="2"/>
  <c r="H321" i="2"/>
  <c r="G321" i="2"/>
  <c r="F321" i="2"/>
  <c r="E350" i="2"/>
  <c r="D360" i="2"/>
  <c r="E331" i="2"/>
  <c r="D341" i="2"/>
  <c r="M340" i="2"/>
  <c r="L340" i="2"/>
  <c r="K340" i="2"/>
  <c r="J340" i="2"/>
  <c r="I340" i="2"/>
  <c r="H340" i="2"/>
  <c r="G340" i="2"/>
  <c r="F340" i="2"/>
  <c r="E337" i="2"/>
  <c r="D347" i="2"/>
  <c r="E342" i="2"/>
  <c r="D352" i="2"/>
  <c r="E333" i="2"/>
  <c r="D343" i="2"/>
  <c r="M327" i="2"/>
  <c r="L327" i="2"/>
  <c r="K327" i="2"/>
  <c r="J327" i="2"/>
  <c r="I327" i="2"/>
  <c r="H327" i="2"/>
  <c r="G327" i="2"/>
  <c r="F327" i="2"/>
  <c r="E346" i="2"/>
  <c r="M332" i="2"/>
  <c r="L332" i="2"/>
  <c r="K332" i="2"/>
  <c r="J332" i="2"/>
  <c r="I332" i="2"/>
  <c r="H332" i="2"/>
  <c r="G332" i="2"/>
  <c r="F332" i="2"/>
  <c r="M323" i="2"/>
  <c r="L323" i="2"/>
  <c r="K323" i="2"/>
  <c r="J323" i="2"/>
  <c r="I323" i="2"/>
  <c r="H323" i="2"/>
  <c r="G323" i="2"/>
  <c r="F323" i="2"/>
  <c r="E334" i="2"/>
  <c r="D344" i="2"/>
  <c r="G324" i="2"/>
  <c r="F324" i="2"/>
  <c r="M324" i="2"/>
  <c r="L324" i="2"/>
  <c r="K324" i="2"/>
  <c r="J324" i="2"/>
  <c r="I324" i="2"/>
  <c r="H324" i="2"/>
  <c r="M338" i="2"/>
  <c r="L338" i="2"/>
  <c r="K338" i="2"/>
  <c r="J338" i="2"/>
  <c r="I338" i="2"/>
  <c r="H338" i="2"/>
  <c r="G338" i="2"/>
  <c r="F338" i="2"/>
  <c r="E348" i="2"/>
  <c r="D358" i="2"/>
  <c r="O331" i="2"/>
  <c r="O333" i="2"/>
  <c r="O337" i="2"/>
  <c r="O342" i="2"/>
  <c r="O348" i="2"/>
  <c r="O329" i="2"/>
  <c r="O350" i="2"/>
  <c r="O334" i="2"/>
  <c r="M350" i="2" l="1"/>
  <c r="L350" i="2"/>
  <c r="K350" i="2"/>
  <c r="J350" i="2"/>
  <c r="I350" i="2"/>
  <c r="H350" i="2"/>
  <c r="G350" i="2"/>
  <c r="F350" i="2"/>
  <c r="D353" i="2"/>
  <c r="E343" i="2"/>
  <c r="M333" i="2"/>
  <c r="L333" i="2"/>
  <c r="K333" i="2"/>
  <c r="J333" i="2"/>
  <c r="I333" i="2"/>
  <c r="H333" i="2"/>
  <c r="G333" i="2"/>
  <c r="F333" i="2"/>
  <c r="E352" i="2"/>
  <c r="D362" i="2"/>
  <c r="M342" i="2"/>
  <c r="L342" i="2"/>
  <c r="K342" i="2"/>
  <c r="J342" i="2"/>
  <c r="I342" i="2"/>
  <c r="H342" i="2"/>
  <c r="G342" i="2"/>
  <c r="F342" i="2"/>
  <c r="E347" i="2"/>
  <c r="D357" i="2"/>
  <c r="M337" i="2"/>
  <c r="L337" i="2"/>
  <c r="K337" i="2"/>
  <c r="J337" i="2"/>
  <c r="I337" i="2"/>
  <c r="H337" i="2"/>
  <c r="G337" i="2"/>
  <c r="F337" i="2"/>
  <c r="E356" i="2"/>
  <c r="E339" i="2"/>
  <c r="D349" i="2"/>
  <c r="I329" i="2"/>
  <c r="H329" i="2"/>
  <c r="G329" i="2"/>
  <c r="F329" i="2"/>
  <c r="M329" i="2"/>
  <c r="L329" i="2"/>
  <c r="K329" i="2"/>
  <c r="J329" i="2"/>
  <c r="M348" i="2"/>
  <c r="L348" i="2"/>
  <c r="K348" i="2"/>
  <c r="J348" i="2"/>
  <c r="I348" i="2"/>
  <c r="H348" i="2"/>
  <c r="G348" i="2"/>
  <c r="F348" i="2"/>
  <c r="E344" i="2"/>
  <c r="D354" i="2"/>
  <c r="I334" i="2"/>
  <c r="H334" i="2"/>
  <c r="G334" i="2"/>
  <c r="F334" i="2"/>
  <c r="M334" i="2"/>
  <c r="L334" i="2"/>
  <c r="K334" i="2"/>
  <c r="J334" i="2"/>
  <c r="E341" i="2"/>
  <c r="D351" i="2"/>
  <c r="D370" i="2"/>
  <c r="E360" i="2"/>
  <c r="E358" i="2"/>
  <c r="D368" i="2"/>
  <c r="M331" i="2"/>
  <c r="L331" i="2"/>
  <c r="K331" i="2"/>
  <c r="J331" i="2"/>
  <c r="I331" i="2"/>
  <c r="H331" i="2"/>
  <c r="G331" i="2"/>
  <c r="F331" i="2"/>
  <c r="O360" i="2"/>
  <c r="O341" i="2"/>
  <c r="O358" i="2"/>
  <c r="O352" i="2"/>
  <c r="O347" i="2"/>
  <c r="O344" i="2"/>
  <c r="O339" i="2"/>
  <c r="O343" i="2"/>
  <c r="K339" i="2" l="1"/>
  <c r="J339" i="2"/>
  <c r="I339" i="2"/>
  <c r="H339" i="2"/>
  <c r="G339" i="2"/>
  <c r="F339" i="2"/>
  <c r="M339" i="2"/>
  <c r="L339" i="2"/>
  <c r="E354" i="2"/>
  <c r="D364" i="2"/>
  <c r="M352" i="2"/>
  <c r="L352" i="2"/>
  <c r="K352" i="2"/>
  <c r="J352" i="2"/>
  <c r="I352" i="2"/>
  <c r="H352" i="2"/>
  <c r="G352" i="2"/>
  <c r="F352" i="2"/>
  <c r="K344" i="2"/>
  <c r="J344" i="2"/>
  <c r="I344" i="2"/>
  <c r="H344" i="2"/>
  <c r="G344" i="2"/>
  <c r="F344" i="2"/>
  <c r="M344" i="2"/>
  <c r="L344" i="2"/>
  <c r="E362" i="2"/>
  <c r="D372" i="2"/>
  <c r="E368" i="2"/>
  <c r="D378" i="2"/>
  <c r="G358" i="2"/>
  <c r="F358" i="2"/>
  <c r="M358" i="2"/>
  <c r="L358" i="2"/>
  <c r="K358" i="2"/>
  <c r="J358" i="2"/>
  <c r="I358" i="2"/>
  <c r="H358" i="2"/>
  <c r="M360" i="2"/>
  <c r="L360" i="2"/>
  <c r="K360" i="2"/>
  <c r="J360" i="2"/>
  <c r="I360" i="2"/>
  <c r="H360" i="2"/>
  <c r="G360" i="2"/>
  <c r="F360" i="2"/>
  <c r="E370" i="2"/>
  <c r="D380" i="2"/>
  <c r="E357" i="2"/>
  <c r="D367" i="2"/>
  <c r="M343" i="2"/>
  <c r="L343" i="2"/>
  <c r="K343" i="2"/>
  <c r="J343" i="2"/>
  <c r="I343" i="2"/>
  <c r="H343" i="2"/>
  <c r="G343" i="2"/>
  <c r="F343" i="2"/>
  <c r="E351" i="2"/>
  <c r="D361" i="2"/>
  <c r="M347" i="2"/>
  <c r="L347" i="2"/>
  <c r="K347" i="2"/>
  <c r="J347" i="2"/>
  <c r="I347" i="2"/>
  <c r="H347" i="2"/>
  <c r="G347" i="2"/>
  <c r="F347" i="2"/>
  <c r="E366" i="2"/>
  <c r="E353" i="2"/>
  <c r="D363" i="2"/>
  <c r="G341" i="2"/>
  <c r="F341" i="2"/>
  <c r="M341" i="2"/>
  <c r="L341" i="2"/>
  <c r="K341" i="2"/>
  <c r="J341" i="2"/>
  <c r="I341" i="2"/>
  <c r="H341" i="2"/>
  <c r="E349" i="2"/>
  <c r="D359" i="2"/>
  <c r="O357" i="2"/>
  <c r="O370" i="2"/>
  <c r="O362" i="2"/>
  <c r="O349" i="2"/>
  <c r="O353" i="2"/>
  <c r="O368" i="2"/>
  <c r="O354" i="2"/>
  <c r="O351" i="2"/>
  <c r="I351" i="2" l="1"/>
  <c r="H351" i="2"/>
  <c r="G351" i="2"/>
  <c r="F351" i="2"/>
  <c r="M351" i="2"/>
  <c r="L351" i="2"/>
  <c r="K351" i="2"/>
  <c r="J351" i="2"/>
  <c r="E361" i="2"/>
  <c r="D371" i="2"/>
  <c r="E363" i="2"/>
  <c r="D373" i="2"/>
  <c r="M349" i="2"/>
  <c r="L349" i="2"/>
  <c r="K349" i="2"/>
  <c r="J349" i="2"/>
  <c r="I349" i="2"/>
  <c r="H349" i="2"/>
  <c r="G349" i="2"/>
  <c r="F349" i="2"/>
  <c r="M353" i="2"/>
  <c r="L353" i="2"/>
  <c r="K353" i="2"/>
  <c r="J353" i="2"/>
  <c r="I353" i="2"/>
  <c r="H353" i="2"/>
  <c r="G353" i="2"/>
  <c r="F353" i="2"/>
  <c r="D377" i="2"/>
  <c r="E367" i="2"/>
  <c r="E378" i="2"/>
  <c r="D388" i="2"/>
  <c r="E364" i="2"/>
  <c r="D374" i="2"/>
  <c r="E376" i="2"/>
  <c r="M357" i="2"/>
  <c r="L357" i="2"/>
  <c r="K357" i="2"/>
  <c r="J357" i="2"/>
  <c r="I357" i="2"/>
  <c r="H357" i="2"/>
  <c r="G357" i="2"/>
  <c r="F357" i="2"/>
  <c r="K368" i="2"/>
  <c r="I368" i="2"/>
  <c r="H368" i="2"/>
  <c r="G368" i="2"/>
  <c r="J368" i="2"/>
  <c r="F368" i="2"/>
  <c r="M368" i="2"/>
  <c r="L368" i="2"/>
  <c r="M354" i="2"/>
  <c r="L354" i="2"/>
  <c r="K354" i="2"/>
  <c r="J354" i="2"/>
  <c r="I354" i="2"/>
  <c r="H354" i="2"/>
  <c r="G354" i="2"/>
  <c r="F354" i="2"/>
  <c r="E380" i="2"/>
  <c r="D390" i="2"/>
  <c r="D382" i="2"/>
  <c r="E372" i="2"/>
  <c r="G370" i="2"/>
  <c r="M370" i="2"/>
  <c r="L370" i="2"/>
  <c r="K370" i="2"/>
  <c r="J370" i="2"/>
  <c r="I370" i="2"/>
  <c r="H370" i="2"/>
  <c r="F370" i="2"/>
  <c r="M362" i="2"/>
  <c r="L362" i="2"/>
  <c r="K362" i="2"/>
  <c r="J362" i="2"/>
  <c r="I362" i="2"/>
  <c r="H362" i="2"/>
  <c r="G362" i="2"/>
  <c r="F362" i="2"/>
  <c r="E359" i="2"/>
  <c r="D369" i="2"/>
  <c r="O363" i="2"/>
  <c r="O364" i="2"/>
  <c r="O378" i="2"/>
  <c r="O372" i="2"/>
  <c r="O380" i="2"/>
  <c r="O367" i="2"/>
  <c r="O361" i="2"/>
  <c r="O359" i="2"/>
  <c r="E374" i="2" l="1"/>
  <c r="D384" i="2"/>
  <c r="M364" i="2"/>
  <c r="K364" i="2"/>
  <c r="I364" i="2"/>
  <c r="F364" i="2"/>
  <c r="L364" i="2"/>
  <c r="J364" i="2"/>
  <c r="H364" i="2"/>
  <c r="G364" i="2"/>
  <c r="E388" i="2"/>
  <c r="D398" i="2"/>
  <c r="E373" i="2"/>
  <c r="D383" i="2"/>
  <c r="M378" i="2"/>
  <c r="K378" i="2"/>
  <c r="J378" i="2"/>
  <c r="I378" i="2"/>
  <c r="G378" i="2"/>
  <c r="L378" i="2"/>
  <c r="H378" i="2"/>
  <c r="F378" i="2"/>
  <c r="I363" i="2"/>
  <c r="G363" i="2"/>
  <c r="M363" i="2"/>
  <c r="L363" i="2"/>
  <c r="K363" i="2"/>
  <c r="J363" i="2"/>
  <c r="H363" i="2"/>
  <c r="F363" i="2"/>
  <c r="M367" i="2"/>
  <c r="L367" i="2"/>
  <c r="K367" i="2"/>
  <c r="J367" i="2"/>
  <c r="I367" i="2"/>
  <c r="H367" i="2"/>
  <c r="G367" i="2"/>
  <c r="F367" i="2"/>
  <c r="E386" i="2"/>
  <c r="E371" i="2"/>
  <c r="D381" i="2"/>
  <c r="M359" i="2"/>
  <c r="L359" i="2"/>
  <c r="K359" i="2"/>
  <c r="J359" i="2"/>
  <c r="I359" i="2"/>
  <c r="H359" i="2"/>
  <c r="G359" i="2"/>
  <c r="F359" i="2"/>
  <c r="E377" i="2"/>
  <c r="D387" i="2"/>
  <c r="M361" i="2"/>
  <c r="K361" i="2"/>
  <c r="I361" i="2"/>
  <c r="G361" i="2"/>
  <c r="L361" i="2"/>
  <c r="J361" i="2"/>
  <c r="H361" i="2"/>
  <c r="F361" i="2"/>
  <c r="J380" i="2"/>
  <c r="I380" i="2"/>
  <c r="H380" i="2"/>
  <c r="G380" i="2"/>
  <c r="F380" i="2"/>
  <c r="M380" i="2"/>
  <c r="L380" i="2"/>
  <c r="K380" i="2"/>
  <c r="M372" i="2"/>
  <c r="L372" i="2"/>
  <c r="K372" i="2"/>
  <c r="J372" i="2"/>
  <c r="I372" i="2"/>
  <c r="H372" i="2"/>
  <c r="G372" i="2"/>
  <c r="F372" i="2"/>
  <c r="E382" i="2"/>
  <c r="D392" i="2"/>
  <c r="E369" i="2"/>
  <c r="D379" i="2"/>
  <c r="E390" i="2"/>
  <c r="D400" i="2"/>
  <c r="O377" i="2"/>
  <c r="O382" i="2"/>
  <c r="O371" i="2"/>
  <c r="O373" i="2"/>
  <c r="O369" i="2"/>
  <c r="O374" i="2"/>
  <c r="O390" i="2"/>
  <c r="O388" i="2"/>
  <c r="E379" i="2" l="1"/>
  <c r="D389" i="2"/>
  <c r="M369" i="2"/>
  <c r="K369" i="2"/>
  <c r="L369" i="2"/>
  <c r="J369" i="2"/>
  <c r="I369" i="2"/>
  <c r="H369" i="2"/>
  <c r="G369" i="2"/>
  <c r="F369" i="2"/>
  <c r="E392" i="2"/>
  <c r="D402" i="2"/>
  <c r="F382" i="2"/>
  <c r="J382" i="2"/>
  <c r="I382" i="2"/>
  <c r="H382" i="2"/>
  <c r="G382" i="2"/>
  <c r="M382" i="2"/>
  <c r="L382" i="2"/>
  <c r="K382" i="2"/>
  <c r="E383" i="2"/>
  <c r="D393" i="2"/>
  <c r="K373" i="2"/>
  <c r="I373" i="2"/>
  <c r="H373" i="2"/>
  <c r="G373" i="2"/>
  <c r="M373" i="2"/>
  <c r="L373" i="2"/>
  <c r="J373" i="2"/>
  <c r="F373" i="2"/>
  <c r="E398" i="2"/>
  <c r="D408" i="2"/>
  <c r="E387" i="2"/>
  <c r="D397" i="2"/>
  <c r="M388" i="2"/>
  <c r="L388" i="2"/>
  <c r="K388" i="2"/>
  <c r="I388" i="2"/>
  <c r="G388" i="2"/>
  <c r="J388" i="2"/>
  <c r="H388" i="2"/>
  <c r="F388" i="2"/>
  <c r="I377" i="2"/>
  <c r="H377" i="2"/>
  <c r="G377" i="2"/>
  <c r="F377" i="2"/>
  <c r="M377" i="2"/>
  <c r="L377" i="2"/>
  <c r="E396" i="2"/>
  <c r="K377" i="2"/>
  <c r="J377" i="2"/>
  <c r="M371" i="2"/>
  <c r="L371" i="2"/>
  <c r="K371" i="2"/>
  <c r="I371" i="2"/>
  <c r="G371" i="2"/>
  <c r="J371" i="2"/>
  <c r="H371" i="2"/>
  <c r="F371" i="2"/>
  <c r="L390" i="2"/>
  <c r="K390" i="2"/>
  <c r="J390" i="2"/>
  <c r="I390" i="2"/>
  <c r="H390" i="2"/>
  <c r="G390" i="2"/>
  <c r="M390" i="2"/>
  <c r="F390" i="2"/>
  <c r="E384" i="2"/>
  <c r="D394" i="2"/>
  <c r="E400" i="2"/>
  <c r="D410" i="2"/>
  <c r="E381" i="2"/>
  <c r="D391" i="2"/>
  <c r="M374" i="2"/>
  <c r="K374" i="2"/>
  <c r="L374" i="2"/>
  <c r="J374" i="2"/>
  <c r="I374" i="2"/>
  <c r="H374" i="2"/>
  <c r="G374" i="2"/>
  <c r="F374" i="2"/>
  <c r="O381" i="2"/>
  <c r="O384" i="2"/>
  <c r="O398" i="2"/>
  <c r="O383" i="2"/>
  <c r="O387" i="2"/>
  <c r="O392" i="2"/>
  <c r="O400" i="2"/>
  <c r="O379" i="2"/>
  <c r="E397" i="2" l="1"/>
  <c r="D407" i="2"/>
  <c r="E391" i="2"/>
  <c r="D401" i="2"/>
  <c r="H387" i="2"/>
  <c r="G387" i="2"/>
  <c r="F387" i="2"/>
  <c r="E406" i="2"/>
  <c r="M387" i="2"/>
  <c r="L387" i="2"/>
  <c r="K387" i="2"/>
  <c r="J387" i="2"/>
  <c r="I387" i="2"/>
  <c r="M381" i="2"/>
  <c r="K381" i="2"/>
  <c r="I381" i="2"/>
  <c r="L381" i="2"/>
  <c r="J381" i="2"/>
  <c r="H381" i="2"/>
  <c r="G381" i="2"/>
  <c r="F381" i="2"/>
  <c r="E408" i="2"/>
  <c r="D418" i="2"/>
  <c r="E402" i="2"/>
  <c r="D412" i="2"/>
  <c r="E410" i="2"/>
  <c r="D420" i="2"/>
  <c r="M398" i="2"/>
  <c r="K398" i="2"/>
  <c r="I398" i="2"/>
  <c r="H398" i="2"/>
  <c r="L398" i="2"/>
  <c r="J398" i="2"/>
  <c r="G398" i="2"/>
  <c r="F398" i="2"/>
  <c r="H392" i="2"/>
  <c r="G392" i="2"/>
  <c r="F392" i="2"/>
  <c r="J392" i="2"/>
  <c r="I392" i="2"/>
  <c r="M392" i="2"/>
  <c r="L392" i="2"/>
  <c r="K392" i="2"/>
  <c r="M400" i="2"/>
  <c r="L400" i="2"/>
  <c r="K400" i="2"/>
  <c r="J400" i="2"/>
  <c r="I400" i="2"/>
  <c r="G400" i="2"/>
  <c r="H400" i="2"/>
  <c r="F400" i="2"/>
  <c r="D404" i="2"/>
  <c r="E394" i="2"/>
  <c r="M384" i="2"/>
  <c r="L384" i="2"/>
  <c r="K384" i="2"/>
  <c r="J384" i="2"/>
  <c r="I384" i="2"/>
  <c r="H384" i="2"/>
  <c r="G384" i="2"/>
  <c r="F384" i="2"/>
  <c r="E393" i="2"/>
  <c r="D403" i="2"/>
  <c r="D399" i="2"/>
  <c r="E389" i="2"/>
  <c r="M383" i="2"/>
  <c r="L383" i="2"/>
  <c r="K383" i="2"/>
  <c r="J383" i="2"/>
  <c r="I383" i="2"/>
  <c r="G383" i="2"/>
  <c r="H383" i="2"/>
  <c r="F383" i="2"/>
  <c r="M379" i="2"/>
  <c r="K379" i="2"/>
  <c r="J379" i="2"/>
  <c r="I379" i="2"/>
  <c r="H379" i="2"/>
  <c r="G379" i="2"/>
  <c r="F379" i="2"/>
  <c r="L379" i="2"/>
  <c r="O410" i="2"/>
  <c r="O402" i="2"/>
  <c r="O394" i="2"/>
  <c r="O408" i="2"/>
  <c r="O391" i="2"/>
  <c r="O393" i="2"/>
  <c r="O397" i="2"/>
  <c r="O389" i="2"/>
  <c r="M394" i="2" l="1"/>
  <c r="L394" i="2"/>
  <c r="K394" i="2"/>
  <c r="J394" i="2"/>
  <c r="I394" i="2"/>
  <c r="H394" i="2"/>
  <c r="G394" i="2"/>
  <c r="F394" i="2"/>
  <c r="E404" i="2"/>
  <c r="D414" i="2"/>
  <c r="E420" i="2"/>
  <c r="D430" i="2"/>
  <c r="M410" i="2"/>
  <c r="L410" i="2"/>
  <c r="K410" i="2"/>
  <c r="J410" i="2"/>
  <c r="I410" i="2"/>
  <c r="G410" i="2"/>
  <c r="F410" i="2"/>
  <c r="H410" i="2"/>
  <c r="J389" i="2"/>
  <c r="I389" i="2"/>
  <c r="H389" i="2"/>
  <c r="G389" i="2"/>
  <c r="F389" i="2"/>
  <c r="M389" i="2"/>
  <c r="L389" i="2"/>
  <c r="K389" i="2"/>
  <c r="E412" i="2"/>
  <c r="D422" i="2"/>
  <c r="E399" i="2"/>
  <c r="D409" i="2"/>
  <c r="J402" i="2"/>
  <c r="I402" i="2"/>
  <c r="H402" i="2"/>
  <c r="G402" i="2"/>
  <c r="F402" i="2"/>
  <c r="M402" i="2"/>
  <c r="L402" i="2"/>
  <c r="K402" i="2"/>
  <c r="E401" i="2"/>
  <c r="D411" i="2"/>
  <c r="E403" i="2"/>
  <c r="D413" i="2"/>
  <c r="E418" i="2"/>
  <c r="D428" i="2"/>
  <c r="M391" i="2"/>
  <c r="K391" i="2"/>
  <c r="L391" i="2"/>
  <c r="J391" i="2"/>
  <c r="I391" i="2"/>
  <c r="H391" i="2"/>
  <c r="G391" i="2"/>
  <c r="F391" i="2"/>
  <c r="M393" i="2"/>
  <c r="L393" i="2"/>
  <c r="K393" i="2"/>
  <c r="I393" i="2"/>
  <c r="G393" i="2"/>
  <c r="J393" i="2"/>
  <c r="H393" i="2"/>
  <c r="F393" i="2"/>
  <c r="M408" i="2"/>
  <c r="K408" i="2"/>
  <c r="J408" i="2"/>
  <c r="L408" i="2"/>
  <c r="I408" i="2"/>
  <c r="H408" i="2"/>
  <c r="G408" i="2"/>
  <c r="F408" i="2"/>
  <c r="E407" i="2"/>
  <c r="D417" i="2"/>
  <c r="J397" i="2"/>
  <c r="I397" i="2"/>
  <c r="H397" i="2"/>
  <c r="G397" i="2"/>
  <c r="F397" i="2"/>
  <c r="E416" i="2"/>
  <c r="M397" i="2"/>
  <c r="L397" i="2"/>
  <c r="K397" i="2"/>
  <c r="O407" i="2"/>
  <c r="O401" i="2"/>
  <c r="O403" i="2"/>
  <c r="O404" i="2"/>
  <c r="O412" i="2"/>
  <c r="O418" i="2"/>
  <c r="O420" i="2"/>
  <c r="O399" i="2"/>
  <c r="E417" i="2" l="1"/>
  <c r="D427" i="2"/>
  <c r="E409" i="2"/>
  <c r="D419" i="2"/>
  <c r="E430" i="2"/>
  <c r="D440" i="2"/>
  <c r="L407" i="2"/>
  <c r="K407" i="2"/>
  <c r="J407" i="2"/>
  <c r="I407" i="2"/>
  <c r="H407" i="2"/>
  <c r="G407" i="2"/>
  <c r="F407" i="2"/>
  <c r="M407" i="2"/>
  <c r="E426" i="2"/>
  <c r="F399" i="2"/>
  <c r="K399" i="2"/>
  <c r="J399" i="2"/>
  <c r="I399" i="2"/>
  <c r="H399" i="2"/>
  <c r="G399" i="2"/>
  <c r="M399" i="2"/>
  <c r="L399" i="2"/>
  <c r="M420" i="2"/>
  <c r="L420" i="2"/>
  <c r="K420" i="2"/>
  <c r="J420" i="2"/>
  <c r="I420" i="2"/>
  <c r="H420" i="2"/>
  <c r="G420" i="2"/>
  <c r="F420" i="2"/>
  <c r="E422" i="2"/>
  <c r="D432" i="2"/>
  <c r="E414" i="2"/>
  <c r="D424" i="2"/>
  <c r="L412" i="2"/>
  <c r="K412" i="2"/>
  <c r="J412" i="2"/>
  <c r="I412" i="2"/>
  <c r="H412" i="2"/>
  <c r="G412" i="2"/>
  <c r="F412" i="2"/>
  <c r="M412" i="2"/>
  <c r="F404" i="2"/>
  <c r="M404" i="2"/>
  <c r="L404" i="2"/>
  <c r="K404" i="2"/>
  <c r="J404" i="2"/>
  <c r="I404" i="2"/>
  <c r="H404" i="2"/>
  <c r="G404" i="2"/>
  <c r="D438" i="2"/>
  <c r="E428" i="2"/>
  <c r="M418" i="2"/>
  <c r="L418" i="2"/>
  <c r="K418" i="2"/>
  <c r="J418" i="2"/>
  <c r="I418" i="2"/>
  <c r="H418" i="2"/>
  <c r="G418" i="2"/>
  <c r="F418" i="2"/>
  <c r="E413" i="2"/>
  <c r="D423" i="2"/>
  <c r="M403" i="2"/>
  <c r="L403" i="2"/>
  <c r="K403" i="2"/>
  <c r="I403" i="2"/>
  <c r="H403" i="2"/>
  <c r="J403" i="2"/>
  <c r="G403" i="2"/>
  <c r="F403" i="2"/>
  <c r="D421" i="2"/>
  <c r="E411" i="2"/>
  <c r="M401" i="2"/>
  <c r="L401" i="2"/>
  <c r="K401" i="2"/>
  <c r="J401" i="2"/>
  <c r="I401" i="2"/>
  <c r="H401" i="2"/>
  <c r="G401" i="2"/>
  <c r="F401" i="2"/>
  <c r="O428" i="2"/>
  <c r="O411" i="2"/>
  <c r="O430" i="2"/>
  <c r="O413" i="2"/>
  <c r="O422" i="2"/>
  <c r="O409" i="2"/>
  <c r="O414" i="2"/>
  <c r="O417" i="2"/>
  <c r="E424" i="2" l="1"/>
  <c r="D434" i="2"/>
  <c r="H414" i="2"/>
  <c r="G414" i="2"/>
  <c r="F414" i="2"/>
  <c r="M414" i="2"/>
  <c r="L414" i="2"/>
  <c r="K414" i="2"/>
  <c r="J414" i="2"/>
  <c r="I414" i="2"/>
  <c r="M411" i="2"/>
  <c r="L411" i="2"/>
  <c r="K411" i="2"/>
  <c r="J411" i="2"/>
  <c r="I411" i="2"/>
  <c r="H411" i="2"/>
  <c r="G411" i="2"/>
  <c r="F411" i="2"/>
  <c r="M428" i="2"/>
  <c r="L428" i="2"/>
  <c r="K428" i="2"/>
  <c r="J428" i="2"/>
  <c r="I428" i="2"/>
  <c r="H428" i="2"/>
  <c r="G428" i="2"/>
  <c r="F428" i="2"/>
  <c r="E432" i="2"/>
  <c r="D442" i="2"/>
  <c r="E438" i="2"/>
  <c r="D448" i="2"/>
  <c r="M422" i="2"/>
  <c r="L422" i="2"/>
  <c r="K422" i="2"/>
  <c r="J422" i="2"/>
  <c r="I422" i="2"/>
  <c r="H422" i="2"/>
  <c r="G422" i="2"/>
  <c r="F422" i="2"/>
  <c r="E421" i="2"/>
  <c r="D431" i="2"/>
  <c r="E440" i="2"/>
  <c r="D450" i="2"/>
  <c r="M430" i="2"/>
  <c r="L430" i="2"/>
  <c r="K430" i="2"/>
  <c r="J430" i="2"/>
  <c r="I430" i="2"/>
  <c r="H430" i="2"/>
  <c r="G430" i="2"/>
  <c r="F430" i="2"/>
  <c r="E419" i="2"/>
  <c r="D429" i="2"/>
  <c r="E423" i="2"/>
  <c r="D433" i="2"/>
  <c r="H409" i="2"/>
  <c r="G409" i="2"/>
  <c r="F409" i="2"/>
  <c r="M409" i="2"/>
  <c r="L409" i="2"/>
  <c r="K409" i="2"/>
  <c r="J409" i="2"/>
  <c r="I409" i="2"/>
  <c r="M413" i="2"/>
  <c r="L413" i="2"/>
  <c r="K413" i="2"/>
  <c r="J413" i="2"/>
  <c r="I413" i="2"/>
  <c r="H413" i="2"/>
  <c r="G413" i="2"/>
  <c r="F413" i="2"/>
  <c r="E427" i="2"/>
  <c r="D437" i="2"/>
  <c r="M417" i="2"/>
  <c r="L417" i="2"/>
  <c r="K417" i="2"/>
  <c r="J417" i="2"/>
  <c r="I417" i="2"/>
  <c r="H417" i="2"/>
  <c r="G417" i="2"/>
  <c r="F417" i="2"/>
  <c r="E436" i="2"/>
  <c r="O423" i="2"/>
  <c r="O421" i="2"/>
  <c r="O440" i="2"/>
  <c r="O424" i="2"/>
  <c r="O438" i="2"/>
  <c r="O427" i="2"/>
  <c r="O419" i="2"/>
  <c r="O432" i="2"/>
  <c r="F421" i="2" l="1"/>
  <c r="M421" i="2"/>
  <c r="L421" i="2"/>
  <c r="K421" i="2"/>
  <c r="J421" i="2"/>
  <c r="I421" i="2"/>
  <c r="H421" i="2"/>
  <c r="G421" i="2"/>
  <c r="E431" i="2"/>
  <c r="D441" i="2"/>
  <c r="D443" i="2"/>
  <c r="E433" i="2"/>
  <c r="M423" i="2"/>
  <c r="L423" i="2"/>
  <c r="K423" i="2"/>
  <c r="J423" i="2"/>
  <c r="I423" i="2"/>
  <c r="H423" i="2"/>
  <c r="G423" i="2"/>
  <c r="F423" i="2"/>
  <c r="E429" i="2"/>
  <c r="D439" i="2"/>
  <c r="M427" i="2"/>
  <c r="L427" i="2"/>
  <c r="K427" i="2"/>
  <c r="J427" i="2"/>
  <c r="I427" i="2"/>
  <c r="H427" i="2"/>
  <c r="G427" i="2"/>
  <c r="F427" i="2"/>
  <c r="E446" i="2"/>
  <c r="J419" i="2"/>
  <c r="I419" i="2"/>
  <c r="H419" i="2"/>
  <c r="G419" i="2"/>
  <c r="F419" i="2"/>
  <c r="M419" i="2"/>
  <c r="L419" i="2"/>
  <c r="K419" i="2"/>
  <c r="E437" i="2"/>
  <c r="D447" i="2"/>
  <c r="E448" i="2"/>
  <c r="D458" i="2"/>
  <c r="F438" i="2"/>
  <c r="J438" i="2"/>
  <c r="M438" i="2"/>
  <c r="L438" i="2"/>
  <c r="K438" i="2"/>
  <c r="I438" i="2"/>
  <c r="H438" i="2"/>
  <c r="G438" i="2"/>
  <c r="E442" i="2"/>
  <c r="D452" i="2"/>
  <c r="M432" i="2"/>
  <c r="L432" i="2"/>
  <c r="K432" i="2"/>
  <c r="J432" i="2"/>
  <c r="I432" i="2"/>
  <c r="H432" i="2"/>
  <c r="G432" i="2"/>
  <c r="F432" i="2"/>
  <c r="D460" i="2"/>
  <c r="E450" i="2"/>
  <c r="E434" i="2"/>
  <c r="D444" i="2"/>
  <c r="M440" i="2"/>
  <c r="L440" i="2"/>
  <c r="K440" i="2"/>
  <c r="F440" i="2"/>
  <c r="J440" i="2"/>
  <c r="I440" i="2"/>
  <c r="H440" i="2"/>
  <c r="G440" i="2"/>
  <c r="J424" i="2"/>
  <c r="I424" i="2"/>
  <c r="H424" i="2"/>
  <c r="G424" i="2"/>
  <c r="F424" i="2"/>
  <c r="M424" i="2"/>
  <c r="L424" i="2"/>
  <c r="K424" i="2"/>
  <c r="O429" i="2"/>
  <c r="O448" i="2"/>
  <c r="O442" i="2"/>
  <c r="O437" i="2"/>
  <c r="O434" i="2"/>
  <c r="O433" i="2"/>
  <c r="O450" i="2"/>
  <c r="O431" i="2"/>
  <c r="E456" i="2" l="1"/>
  <c r="M437" i="2"/>
  <c r="L437" i="2"/>
  <c r="K437" i="2"/>
  <c r="J437" i="2"/>
  <c r="I437" i="2"/>
  <c r="H437" i="2"/>
  <c r="G437" i="2"/>
  <c r="F437" i="2"/>
  <c r="E452" i="2"/>
  <c r="D462" i="2"/>
  <c r="M442" i="2"/>
  <c r="L442" i="2"/>
  <c r="K442" i="2"/>
  <c r="J442" i="2"/>
  <c r="I442" i="2"/>
  <c r="H442" i="2"/>
  <c r="G442" i="2"/>
  <c r="F442" i="2"/>
  <c r="M433" i="2"/>
  <c r="H433" i="2"/>
  <c r="L433" i="2"/>
  <c r="K433" i="2"/>
  <c r="J433" i="2"/>
  <c r="I433" i="2"/>
  <c r="G433" i="2"/>
  <c r="F433" i="2"/>
  <c r="E443" i="2"/>
  <c r="D453" i="2"/>
  <c r="E441" i="2"/>
  <c r="D451" i="2"/>
  <c r="H431" i="2"/>
  <c r="G431" i="2"/>
  <c r="F431" i="2"/>
  <c r="M431" i="2"/>
  <c r="L431" i="2"/>
  <c r="K431" i="2"/>
  <c r="J431" i="2"/>
  <c r="I431" i="2"/>
  <c r="E444" i="2"/>
  <c r="D454" i="2"/>
  <c r="L434" i="2"/>
  <c r="K434" i="2"/>
  <c r="J434" i="2"/>
  <c r="I434" i="2"/>
  <c r="H434" i="2"/>
  <c r="G434" i="2"/>
  <c r="F434" i="2"/>
  <c r="M434" i="2"/>
  <c r="M450" i="2"/>
  <c r="L450" i="2"/>
  <c r="K450" i="2"/>
  <c r="I450" i="2"/>
  <c r="H450" i="2"/>
  <c r="J450" i="2"/>
  <c r="G450" i="2"/>
  <c r="F450" i="2"/>
  <c r="E458" i="2"/>
  <c r="D468" i="2"/>
  <c r="E460" i="2"/>
  <c r="D470" i="2"/>
  <c r="H448" i="2"/>
  <c r="G448" i="2"/>
  <c r="F448" i="2"/>
  <c r="M448" i="2"/>
  <c r="L448" i="2"/>
  <c r="K448" i="2"/>
  <c r="J448" i="2"/>
  <c r="I448" i="2"/>
  <c r="E439" i="2"/>
  <c r="D449" i="2"/>
  <c r="E447" i="2"/>
  <c r="D457" i="2"/>
  <c r="L429" i="2"/>
  <c r="K429" i="2"/>
  <c r="J429" i="2"/>
  <c r="I429" i="2"/>
  <c r="H429" i="2"/>
  <c r="G429" i="2"/>
  <c r="F429" i="2"/>
  <c r="M429" i="2"/>
  <c r="O439" i="2"/>
  <c r="O460" i="2"/>
  <c r="O447" i="2"/>
  <c r="O458" i="2"/>
  <c r="O443" i="2"/>
  <c r="O452" i="2"/>
  <c r="O441" i="2"/>
  <c r="O444" i="2"/>
  <c r="E468" i="2" l="1"/>
  <c r="D478" i="2"/>
  <c r="J458" i="2"/>
  <c r="I458" i="2"/>
  <c r="H458" i="2"/>
  <c r="G458" i="2"/>
  <c r="F458" i="2"/>
  <c r="M458" i="2"/>
  <c r="L458" i="2"/>
  <c r="K458" i="2"/>
  <c r="F460" i="2"/>
  <c r="M460" i="2"/>
  <c r="L460" i="2"/>
  <c r="K460" i="2"/>
  <c r="J460" i="2"/>
  <c r="I460" i="2"/>
  <c r="H460" i="2"/>
  <c r="G460" i="2"/>
  <c r="E457" i="2"/>
  <c r="D467" i="2"/>
  <c r="E466" i="2"/>
  <c r="M447" i="2"/>
  <c r="L447" i="2"/>
  <c r="K447" i="2"/>
  <c r="J447" i="2"/>
  <c r="I447" i="2"/>
  <c r="H447" i="2"/>
  <c r="G447" i="2"/>
  <c r="F447" i="2"/>
  <c r="E449" i="2"/>
  <c r="D459" i="2"/>
  <c r="E451" i="2"/>
  <c r="D461" i="2"/>
  <c r="D472" i="2"/>
  <c r="E462" i="2"/>
  <c r="M439" i="2"/>
  <c r="L439" i="2"/>
  <c r="K439" i="2"/>
  <c r="J439" i="2"/>
  <c r="I439" i="2"/>
  <c r="H439" i="2"/>
  <c r="G439" i="2"/>
  <c r="F439" i="2"/>
  <c r="J441" i="2"/>
  <c r="I441" i="2"/>
  <c r="H441" i="2"/>
  <c r="G441" i="2"/>
  <c r="F441" i="2"/>
  <c r="M441" i="2"/>
  <c r="L441" i="2"/>
  <c r="K441" i="2"/>
  <c r="M452" i="2"/>
  <c r="L452" i="2"/>
  <c r="K452" i="2"/>
  <c r="J452" i="2"/>
  <c r="I452" i="2"/>
  <c r="H452" i="2"/>
  <c r="G452" i="2"/>
  <c r="F452" i="2"/>
  <c r="M444" i="2"/>
  <c r="L444" i="2"/>
  <c r="K444" i="2"/>
  <c r="J444" i="2"/>
  <c r="I444" i="2"/>
  <c r="H444" i="2"/>
  <c r="G444" i="2"/>
  <c r="F444" i="2"/>
  <c r="E453" i="2"/>
  <c r="D463" i="2"/>
  <c r="F443" i="2"/>
  <c r="J443" i="2"/>
  <c r="M443" i="2"/>
  <c r="L443" i="2"/>
  <c r="K443" i="2"/>
  <c r="I443" i="2"/>
  <c r="H443" i="2"/>
  <c r="G443" i="2"/>
  <c r="E470" i="2"/>
  <c r="D480" i="2"/>
  <c r="E454" i="2"/>
  <c r="D464" i="2"/>
  <c r="O454" i="2"/>
  <c r="O457" i="2"/>
  <c r="O453" i="2"/>
  <c r="O470" i="2"/>
  <c r="O449" i="2"/>
  <c r="O462" i="2"/>
  <c r="O468" i="2"/>
  <c r="O451" i="2"/>
  <c r="D490" i="2" l="1"/>
  <c r="E480" i="2"/>
  <c r="M457" i="2"/>
  <c r="E476" i="2"/>
  <c r="L457" i="2"/>
  <c r="K457" i="2"/>
  <c r="J457" i="2"/>
  <c r="I457" i="2"/>
  <c r="H457" i="2"/>
  <c r="G457" i="2"/>
  <c r="F457" i="2"/>
  <c r="H470" i="2"/>
  <c r="G470" i="2"/>
  <c r="F470" i="2"/>
  <c r="M470" i="2"/>
  <c r="L470" i="2"/>
  <c r="K470" i="2"/>
  <c r="J470" i="2"/>
  <c r="I470" i="2"/>
  <c r="M454" i="2"/>
  <c r="L454" i="2"/>
  <c r="K454" i="2"/>
  <c r="J454" i="2"/>
  <c r="I454" i="2"/>
  <c r="H454" i="2"/>
  <c r="G454" i="2"/>
  <c r="F454" i="2"/>
  <c r="M462" i="2"/>
  <c r="L462" i="2"/>
  <c r="K462" i="2"/>
  <c r="J462" i="2"/>
  <c r="I462" i="2"/>
  <c r="H462" i="2"/>
  <c r="G462" i="2"/>
  <c r="F462" i="2"/>
  <c r="E472" i="2"/>
  <c r="D482" i="2"/>
  <c r="E461" i="2"/>
  <c r="D471" i="2"/>
  <c r="D477" i="2"/>
  <c r="E467" i="2"/>
  <c r="L451" i="2"/>
  <c r="K451" i="2"/>
  <c r="J451" i="2"/>
  <c r="I451" i="2"/>
  <c r="H451" i="2"/>
  <c r="G451" i="2"/>
  <c r="F451" i="2"/>
  <c r="M451" i="2"/>
  <c r="E459" i="2"/>
  <c r="D469" i="2"/>
  <c r="M449" i="2"/>
  <c r="L449" i="2"/>
  <c r="K449" i="2"/>
  <c r="J449" i="2"/>
  <c r="I449" i="2"/>
  <c r="H449" i="2"/>
  <c r="G449" i="2"/>
  <c r="F449" i="2"/>
  <c r="E463" i="2"/>
  <c r="D473" i="2"/>
  <c r="H453" i="2"/>
  <c r="G453" i="2"/>
  <c r="F453" i="2"/>
  <c r="M453" i="2"/>
  <c r="L453" i="2"/>
  <c r="K453" i="2"/>
  <c r="J453" i="2"/>
  <c r="I453" i="2"/>
  <c r="D488" i="2"/>
  <c r="E478" i="2"/>
  <c r="E464" i="2"/>
  <c r="D474" i="2"/>
  <c r="L468" i="2"/>
  <c r="K468" i="2"/>
  <c r="J468" i="2"/>
  <c r="I468" i="2"/>
  <c r="H468" i="2"/>
  <c r="G468" i="2"/>
  <c r="F468" i="2"/>
  <c r="M468" i="2"/>
  <c r="O478" i="2"/>
  <c r="O480" i="2"/>
  <c r="O459" i="2"/>
  <c r="O467" i="2"/>
  <c r="O463" i="2"/>
  <c r="O472" i="2"/>
  <c r="O461" i="2"/>
  <c r="O464" i="2"/>
  <c r="E471" i="2" l="1"/>
  <c r="D481" i="2"/>
  <c r="M461" i="2"/>
  <c r="L461" i="2"/>
  <c r="K461" i="2"/>
  <c r="J461" i="2"/>
  <c r="I461" i="2"/>
  <c r="H461" i="2"/>
  <c r="G461" i="2"/>
  <c r="F461" i="2"/>
  <c r="E482" i="2"/>
  <c r="D492" i="2"/>
  <c r="F472" i="2"/>
  <c r="M472" i="2"/>
  <c r="L472" i="2"/>
  <c r="K472" i="2"/>
  <c r="J472" i="2"/>
  <c r="I472" i="2"/>
  <c r="H472" i="2"/>
  <c r="G472" i="2"/>
  <c r="J463" i="2"/>
  <c r="I463" i="2"/>
  <c r="H463" i="2"/>
  <c r="G463" i="2"/>
  <c r="F463" i="2"/>
  <c r="M463" i="2"/>
  <c r="L463" i="2"/>
  <c r="K463" i="2"/>
  <c r="E474" i="2"/>
  <c r="D484" i="2"/>
  <c r="M464" i="2"/>
  <c r="L464" i="2"/>
  <c r="K464" i="2"/>
  <c r="J464" i="2"/>
  <c r="I464" i="2"/>
  <c r="H464" i="2"/>
  <c r="G464" i="2"/>
  <c r="F464" i="2"/>
  <c r="M478" i="2"/>
  <c r="K478" i="2"/>
  <c r="H478" i="2"/>
  <c r="L478" i="2"/>
  <c r="J478" i="2"/>
  <c r="I478" i="2"/>
  <c r="G478" i="2"/>
  <c r="F478" i="2"/>
  <c r="E469" i="2"/>
  <c r="D479" i="2"/>
  <c r="E477" i="2"/>
  <c r="D487" i="2"/>
  <c r="E488" i="2"/>
  <c r="D498" i="2"/>
  <c r="M459" i="2"/>
  <c r="L459" i="2"/>
  <c r="K459" i="2"/>
  <c r="J459" i="2"/>
  <c r="I459" i="2"/>
  <c r="H459" i="2"/>
  <c r="G459" i="2"/>
  <c r="F459" i="2"/>
  <c r="K480" i="2"/>
  <c r="I480" i="2"/>
  <c r="G480" i="2"/>
  <c r="M480" i="2"/>
  <c r="L480" i="2"/>
  <c r="J480" i="2"/>
  <c r="H480" i="2"/>
  <c r="F480" i="2"/>
  <c r="E473" i="2"/>
  <c r="D483" i="2"/>
  <c r="E486" i="2"/>
  <c r="M467" i="2"/>
  <c r="L467" i="2"/>
  <c r="K467" i="2"/>
  <c r="J467" i="2"/>
  <c r="I467" i="2"/>
  <c r="H467" i="2"/>
  <c r="G467" i="2"/>
  <c r="F467" i="2"/>
  <c r="E490" i="2"/>
  <c r="D500" i="2"/>
  <c r="O488" i="2"/>
  <c r="O490" i="2"/>
  <c r="O474" i="2"/>
  <c r="O469" i="2"/>
  <c r="O471" i="2"/>
  <c r="O482" i="2"/>
  <c r="O477" i="2"/>
  <c r="O473" i="2"/>
  <c r="E498" i="2" l="1"/>
  <c r="D508" i="2"/>
  <c r="E492" i="2"/>
  <c r="D502" i="2"/>
  <c r="M488" i="2"/>
  <c r="J488" i="2"/>
  <c r="F488" i="2"/>
  <c r="L488" i="2"/>
  <c r="K488" i="2"/>
  <c r="I488" i="2"/>
  <c r="H488" i="2"/>
  <c r="G488" i="2"/>
  <c r="G482" i="2"/>
  <c r="F482" i="2"/>
  <c r="M482" i="2"/>
  <c r="L482" i="2"/>
  <c r="K482" i="2"/>
  <c r="J482" i="2"/>
  <c r="H482" i="2"/>
  <c r="I482" i="2"/>
  <c r="M490" i="2"/>
  <c r="L490" i="2"/>
  <c r="K490" i="2"/>
  <c r="J490" i="2"/>
  <c r="I490" i="2"/>
  <c r="F490" i="2"/>
  <c r="H490" i="2"/>
  <c r="G490" i="2"/>
  <c r="E483" i="2"/>
  <c r="D493" i="2"/>
  <c r="E487" i="2"/>
  <c r="D497" i="2"/>
  <c r="D494" i="2"/>
  <c r="E484" i="2"/>
  <c r="M473" i="2"/>
  <c r="K473" i="2"/>
  <c r="I473" i="2"/>
  <c r="F473" i="2"/>
  <c r="L473" i="2"/>
  <c r="J473" i="2"/>
  <c r="H473" i="2"/>
  <c r="G473" i="2"/>
  <c r="G477" i="2"/>
  <c r="M477" i="2"/>
  <c r="L477" i="2"/>
  <c r="K477" i="2"/>
  <c r="J477" i="2"/>
  <c r="I477" i="2"/>
  <c r="H477" i="2"/>
  <c r="F477" i="2"/>
  <c r="E496" i="2"/>
  <c r="F474" i="2"/>
  <c r="M474" i="2"/>
  <c r="L474" i="2"/>
  <c r="K474" i="2"/>
  <c r="J474" i="2"/>
  <c r="I474" i="2"/>
  <c r="H474" i="2"/>
  <c r="G474" i="2"/>
  <c r="D489" i="2"/>
  <c r="E479" i="2"/>
  <c r="M469" i="2"/>
  <c r="L469" i="2"/>
  <c r="K469" i="2"/>
  <c r="J469" i="2"/>
  <c r="I469" i="2"/>
  <c r="H469" i="2"/>
  <c r="G469" i="2"/>
  <c r="F469" i="2"/>
  <c r="E481" i="2"/>
  <c r="D491" i="2"/>
  <c r="E500" i="2"/>
  <c r="D510" i="2"/>
  <c r="M471" i="2"/>
  <c r="L471" i="2"/>
  <c r="K471" i="2"/>
  <c r="J471" i="2"/>
  <c r="I471" i="2"/>
  <c r="H471" i="2"/>
  <c r="G471" i="2"/>
  <c r="F471" i="2"/>
  <c r="O479" i="2"/>
  <c r="O481" i="2"/>
  <c r="O483" i="2"/>
  <c r="O492" i="2"/>
  <c r="O484" i="2"/>
  <c r="O498" i="2"/>
  <c r="O487" i="2"/>
  <c r="O500" i="2"/>
  <c r="G484" i="2" l="1"/>
  <c r="F484" i="2"/>
  <c r="M484" i="2"/>
  <c r="L484" i="2"/>
  <c r="K484" i="2"/>
  <c r="J484" i="2"/>
  <c r="I484" i="2"/>
  <c r="H484" i="2"/>
  <c r="E510" i="2"/>
  <c r="D520" i="2"/>
  <c r="E494" i="2"/>
  <c r="D504" i="2"/>
  <c r="M500" i="2"/>
  <c r="L500" i="2"/>
  <c r="K500" i="2"/>
  <c r="J500" i="2"/>
  <c r="I500" i="2"/>
  <c r="H500" i="2"/>
  <c r="G500" i="2"/>
  <c r="F500" i="2"/>
  <c r="E497" i="2"/>
  <c r="D507" i="2"/>
  <c r="E489" i="2"/>
  <c r="D499" i="2"/>
  <c r="E491" i="2"/>
  <c r="D501" i="2"/>
  <c r="I487" i="2"/>
  <c r="H487" i="2"/>
  <c r="G487" i="2"/>
  <c r="E506" i="2"/>
  <c r="M487" i="2"/>
  <c r="L487" i="2"/>
  <c r="K487" i="2"/>
  <c r="J487" i="2"/>
  <c r="F487" i="2"/>
  <c r="L481" i="2"/>
  <c r="M481" i="2"/>
  <c r="K481" i="2"/>
  <c r="J481" i="2"/>
  <c r="I481" i="2"/>
  <c r="H481" i="2"/>
  <c r="G481" i="2"/>
  <c r="F481" i="2"/>
  <c r="E493" i="2"/>
  <c r="D503" i="2"/>
  <c r="M483" i="2"/>
  <c r="K483" i="2"/>
  <c r="H483" i="2"/>
  <c r="L483" i="2"/>
  <c r="J483" i="2"/>
  <c r="I483" i="2"/>
  <c r="G483" i="2"/>
  <c r="F483" i="2"/>
  <c r="E502" i="2"/>
  <c r="D512" i="2"/>
  <c r="I492" i="2"/>
  <c r="H492" i="2"/>
  <c r="G492" i="2"/>
  <c r="F492" i="2"/>
  <c r="M492" i="2"/>
  <c r="L492" i="2"/>
  <c r="K492" i="2"/>
  <c r="J492" i="2"/>
  <c r="D518" i="2"/>
  <c r="E508" i="2"/>
  <c r="M479" i="2"/>
  <c r="L479" i="2"/>
  <c r="K479" i="2"/>
  <c r="J479" i="2"/>
  <c r="I479" i="2"/>
  <c r="H479" i="2"/>
  <c r="G479" i="2"/>
  <c r="F479" i="2"/>
  <c r="M498" i="2"/>
  <c r="L498" i="2"/>
  <c r="K498" i="2"/>
  <c r="J498" i="2"/>
  <c r="I498" i="2"/>
  <c r="H498" i="2"/>
  <c r="G498" i="2"/>
  <c r="F498" i="2"/>
  <c r="O489" i="2"/>
  <c r="O491" i="2"/>
  <c r="O508" i="2"/>
  <c r="O494" i="2"/>
  <c r="O493" i="2"/>
  <c r="O510" i="2"/>
  <c r="O497" i="2"/>
  <c r="O502" i="2"/>
  <c r="E512" i="2" l="1"/>
  <c r="D522" i="2"/>
  <c r="K502" i="2"/>
  <c r="J502" i="2"/>
  <c r="I502" i="2"/>
  <c r="H502" i="2"/>
  <c r="G502" i="2"/>
  <c r="F502" i="2"/>
  <c r="M502" i="2"/>
  <c r="L502" i="2"/>
  <c r="E504" i="2"/>
  <c r="D514" i="2"/>
  <c r="M494" i="2"/>
  <c r="L494" i="2"/>
  <c r="K494" i="2"/>
  <c r="J494" i="2"/>
  <c r="I494" i="2"/>
  <c r="H494" i="2"/>
  <c r="G494" i="2"/>
  <c r="F494" i="2"/>
  <c r="D530" i="2"/>
  <c r="E520" i="2"/>
  <c r="M510" i="2"/>
  <c r="L510" i="2"/>
  <c r="K510" i="2"/>
  <c r="J510" i="2"/>
  <c r="I510" i="2"/>
  <c r="H510" i="2"/>
  <c r="G510" i="2"/>
  <c r="F510" i="2"/>
  <c r="D511" i="2"/>
  <c r="E501" i="2"/>
  <c r="M508" i="2"/>
  <c r="L508" i="2"/>
  <c r="K508" i="2"/>
  <c r="J508" i="2"/>
  <c r="I508" i="2"/>
  <c r="H508" i="2"/>
  <c r="G508" i="2"/>
  <c r="F508" i="2"/>
  <c r="E503" i="2"/>
  <c r="D513" i="2"/>
  <c r="M491" i="2"/>
  <c r="L491" i="2"/>
  <c r="K491" i="2"/>
  <c r="J491" i="2"/>
  <c r="I491" i="2"/>
  <c r="H491" i="2"/>
  <c r="G491" i="2"/>
  <c r="F491" i="2"/>
  <c r="D528" i="2"/>
  <c r="E518" i="2"/>
  <c r="M493" i="2"/>
  <c r="J493" i="2"/>
  <c r="L493" i="2"/>
  <c r="K493" i="2"/>
  <c r="I493" i="2"/>
  <c r="H493" i="2"/>
  <c r="G493" i="2"/>
  <c r="F493" i="2"/>
  <c r="E499" i="2"/>
  <c r="D509" i="2"/>
  <c r="M489" i="2"/>
  <c r="L489" i="2"/>
  <c r="K489" i="2"/>
  <c r="J489" i="2"/>
  <c r="I489" i="2"/>
  <c r="H489" i="2"/>
  <c r="G489" i="2"/>
  <c r="F489" i="2"/>
  <c r="E507" i="2"/>
  <c r="D517" i="2"/>
  <c r="K497" i="2"/>
  <c r="J497" i="2"/>
  <c r="I497" i="2"/>
  <c r="H497" i="2"/>
  <c r="G497" i="2"/>
  <c r="M497" i="2"/>
  <c r="L497" i="2"/>
  <c r="E516" i="2"/>
  <c r="F497" i="2"/>
  <c r="O507" i="2"/>
  <c r="O499" i="2"/>
  <c r="O512" i="2"/>
  <c r="O518" i="2"/>
  <c r="O501" i="2"/>
  <c r="O520" i="2"/>
  <c r="O503" i="2"/>
  <c r="O504" i="2"/>
  <c r="M518" i="2" l="1"/>
  <c r="L518" i="2"/>
  <c r="K518" i="2"/>
  <c r="J518" i="2"/>
  <c r="I518" i="2"/>
  <c r="H518" i="2"/>
  <c r="G518" i="2"/>
  <c r="F518" i="2"/>
  <c r="M501" i="2"/>
  <c r="L501" i="2"/>
  <c r="K501" i="2"/>
  <c r="J501" i="2"/>
  <c r="I501" i="2"/>
  <c r="H501" i="2"/>
  <c r="G501" i="2"/>
  <c r="F501" i="2"/>
  <c r="E514" i="2"/>
  <c r="D524" i="2"/>
  <c r="M507" i="2"/>
  <c r="L507" i="2"/>
  <c r="K507" i="2"/>
  <c r="J507" i="2"/>
  <c r="I507" i="2"/>
  <c r="H507" i="2"/>
  <c r="G507" i="2"/>
  <c r="F507" i="2"/>
  <c r="E526" i="2"/>
  <c r="E528" i="2"/>
  <c r="D538" i="2"/>
  <c r="E511" i="2"/>
  <c r="D521" i="2"/>
  <c r="G504" i="2"/>
  <c r="F504" i="2"/>
  <c r="M504" i="2"/>
  <c r="L504" i="2"/>
  <c r="K504" i="2"/>
  <c r="J504" i="2"/>
  <c r="I504" i="2"/>
  <c r="H504" i="2"/>
  <c r="E517" i="2"/>
  <c r="D527" i="2"/>
  <c r="E509" i="2"/>
  <c r="D519" i="2"/>
  <c r="E513" i="2"/>
  <c r="D523" i="2"/>
  <c r="M520" i="2"/>
  <c r="L520" i="2"/>
  <c r="K520" i="2"/>
  <c r="J520" i="2"/>
  <c r="I520" i="2"/>
  <c r="H520" i="2"/>
  <c r="G520" i="2"/>
  <c r="F520" i="2"/>
  <c r="E522" i="2"/>
  <c r="D532" i="2"/>
  <c r="G499" i="2"/>
  <c r="F499" i="2"/>
  <c r="K499" i="2"/>
  <c r="J499" i="2"/>
  <c r="I499" i="2"/>
  <c r="H499" i="2"/>
  <c r="M499" i="2"/>
  <c r="L499" i="2"/>
  <c r="M503" i="2"/>
  <c r="L503" i="2"/>
  <c r="K503" i="2"/>
  <c r="I503" i="2"/>
  <c r="J503" i="2"/>
  <c r="H503" i="2"/>
  <c r="G503" i="2"/>
  <c r="F503" i="2"/>
  <c r="E530" i="2"/>
  <c r="D540" i="2"/>
  <c r="M512" i="2"/>
  <c r="L512" i="2"/>
  <c r="K512" i="2"/>
  <c r="J512" i="2"/>
  <c r="I512" i="2"/>
  <c r="H512" i="2"/>
  <c r="G512" i="2"/>
  <c r="F512" i="2"/>
  <c r="O528" i="2"/>
  <c r="O511" i="2"/>
  <c r="O509" i="2"/>
  <c r="O513" i="2"/>
  <c r="O530" i="2"/>
  <c r="O517" i="2"/>
  <c r="O522" i="2"/>
  <c r="O514" i="2"/>
  <c r="E524" i="2" l="1"/>
  <c r="D534" i="2"/>
  <c r="I514" i="2"/>
  <c r="H514" i="2"/>
  <c r="G514" i="2"/>
  <c r="F514" i="2"/>
  <c r="M514" i="2"/>
  <c r="L514" i="2"/>
  <c r="K514" i="2"/>
  <c r="J514" i="2"/>
  <c r="E532" i="2"/>
  <c r="D542" i="2"/>
  <c r="M522" i="2"/>
  <c r="L522" i="2"/>
  <c r="K522" i="2"/>
  <c r="J522" i="2"/>
  <c r="I522" i="2"/>
  <c r="H522" i="2"/>
  <c r="G522" i="2"/>
  <c r="F522" i="2"/>
  <c r="D550" i="2"/>
  <c r="E540" i="2"/>
  <c r="M517" i="2"/>
  <c r="L517" i="2"/>
  <c r="K517" i="2"/>
  <c r="J517" i="2"/>
  <c r="I517" i="2"/>
  <c r="H517" i="2"/>
  <c r="G517" i="2"/>
  <c r="F517" i="2"/>
  <c r="E536" i="2"/>
  <c r="M530" i="2"/>
  <c r="L530" i="2"/>
  <c r="K530" i="2"/>
  <c r="J530" i="2"/>
  <c r="I530" i="2"/>
  <c r="H530" i="2"/>
  <c r="G530" i="2"/>
  <c r="F530" i="2"/>
  <c r="E521" i="2"/>
  <c r="D531" i="2"/>
  <c r="H511" i="2"/>
  <c r="G511" i="2"/>
  <c r="F511" i="2"/>
  <c r="M511" i="2"/>
  <c r="L511" i="2"/>
  <c r="K511" i="2"/>
  <c r="I511" i="2"/>
  <c r="J511" i="2"/>
  <c r="E538" i="2"/>
  <c r="D548" i="2"/>
  <c r="I528" i="2"/>
  <c r="H528" i="2"/>
  <c r="G528" i="2"/>
  <c r="F528" i="2"/>
  <c r="M528" i="2"/>
  <c r="L528" i="2"/>
  <c r="J528" i="2"/>
  <c r="K528" i="2"/>
  <c r="D533" i="2"/>
  <c r="E523" i="2"/>
  <c r="M513" i="2"/>
  <c r="L513" i="2"/>
  <c r="K513" i="2"/>
  <c r="J513" i="2"/>
  <c r="I513" i="2"/>
  <c r="H513" i="2"/>
  <c r="G513" i="2"/>
  <c r="F513" i="2"/>
  <c r="E519" i="2"/>
  <c r="D529" i="2"/>
  <c r="I509" i="2"/>
  <c r="H509" i="2"/>
  <c r="G509" i="2"/>
  <c r="F509" i="2"/>
  <c r="M509" i="2"/>
  <c r="L509" i="2"/>
  <c r="K509" i="2"/>
  <c r="J509" i="2"/>
  <c r="E527" i="2"/>
  <c r="D537" i="2"/>
  <c r="O521" i="2"/>
  <c r="O527" i="2"/>
  <c r="O519" i="2"/>
  <c r="O524" i="2"/>
  <c r="O538" i="2"/>
  <c r="O540" i="2"/>
  <c r="O523" i="2"/>
  <c r="O532" i="2"/>
  <c r="E542" i="2" l="1"/>
  <c r="D552" i="2"/>
  <c r="E529" i="2"/>
  <c r="D539" i="2"/>
  <c r="E548" i="2"/>
  <c r="D558" i="2"/>
  <c r="M532" i="2"/>
  <c r="L532" i="2"/>
  <c r="K532" i="2"/>
  <c r="J532" i="2"/>
  <c r="I532" i="2"/>
  <c r="H532" i="2"/>
  <c r="G532" i="2"/>
  <c r="F532" i="2"/>
  <c r="K519" i="2"/>
  <c r="J519" i="2"/>
  <c r="I519" i="2"/>
  <c r="H519" i="2"/>
  <c r="G519" i="2"/>
  <c r="F519" i="2"/>
  <c r="M519" i="2"/>
  <c r="L519" i="2"/>
  <c r="G538" i="2"/>
  <c r="F538" i="2"/>
  <c r="M538" i="2"/>
  <c r="L538" i="2"/>
  <c r="K538" i="2"/>
  <c r="J538" i="2"/>
  <c r="I538" i="2"/>
  <c r="H538" i="2"/>
  <c r="M527" i="2"/>
  <c r="L527" i="2"/>
  <c r="K527" i="2"/>
  <c r="J527" i="2"/>
  <c r="I527" i="2"/>
  <c r="H527" i="2"/>
  <c r="G527" i="2"/>
  <c r="F527" i="2"/>
  <c r="E546" i="2"/>
  <c r="E533" i="2"/>
  <c r="D543" i="2"/>
  <c r="M540" i="2"/>
  <c r="I540" i="2"/>
  <c r="H540" i="2"/>
  <c r="G540" i="2"/>
  <c r="F540" i="2"/>
  <c r="L540" i="2"/>
  <c r="K540" i="2"/>
  <c r="J540" i="2"/>
  <c r="E534" i="2"/>
  <c r="D544" i="2"/>
  <c r="G521" i="2"/>
  <c r="F521" i="2"/>
  <c r="M521" i="2"/>
  <c r="L521" i="2"/>
  <c r="K521" i="2"/>
  <c r="J521" i="2"/>
  <c r="I521" i="2"/>
  <c r="H521" i="2"/>
  <c r="E537" i="2"/>
  <c r="D547" i="2"/>
  <c r="M523" i="2"/>
  <c r="G523" i="2"/>
  <c r="F523" i="2"/>
  <c r="L523" i="2"/>
  <c r="K523" i="2"/>
  <c r="J523" i="2"/>
  <c r="I523" i="2"/>
  <c r="H523" i="2"/>
  <c r="E531" i="2"/>
  <c r="D541" i="2"/>
  <c r="E550" i="2"/>
  <c r="D560" i="2"/>
  <c r="K524" i="2"/>
  <c r="J524" i="2"/>
  <c r="I524" i="2"/>
  <c r="H524" i="2"/>
  <c r="G524" i="2"/>
  <c r="F524" i="2"/>
  <c r="M524" i="2"/>
  <c r="L524" i="2"/>
  <c r="O548" i="2"/>
  <c r="O542" i="2"/>
  <c r="O550" i="2"/>
  <c r="O534" i="2"/>
  <c r="O533" i="2"/>
  <c r="O537" i="2"/>
  <c r="O531" i="2"/>
  <c r="O529" i="2"/>
  <c r="M533" i="2" l="1"/>
  <c r="L533" i="2"/>
  <c r="K533" i="2"/>
  <c r="J533" i="2"/>
  <c r="I533" i="2"/>
  <c r="H533" i="2"/>
  <c r="G533" i="2"/>
  <c r="F533" i="2"/>
  <c r="E560" i="2"/>
  <c r="D570" i="2"/>
  <c r="M550" i="2"/>
  <c r="L550" i="2"/>
  <c r="K550" i="2"/>
  <c r="J550" i="2"/>
  <c r="I550" i="2"/>
  <c r="H550" i="2"/>
  <c r="G550" i="2"/>
  <c r="F550" i="2"/>
  <c r="E556" i="2"/>
  <c r="M537" i="2"/>
  <c r="L537" i="2"/>
  <c r="K537" i="2"/>
  <c r="J537" i="2"/>
  <c r="I537" i="2"/>
  <c r="H537" i="2"/>
  <c r="G537" i="2"/>
  <c r="F537" i="2"/>
  <c r="E541" i="2"/>
  <c r="D551" i="2"/>
  <c r="E544" i="2"/>
  <c r="D554" i="2"/>
  <c r="I531" i="2"/>
  <c r="H531" i="2"/>
  <c r="G531" i="2"/>
  <c r="F531" i="2"/>
  <c r="M531" i="2"/>
  <c r="L531" i="2"/>
  <c r="K531" i="2"/>
  <c r="J531" i="2"/>
  <c r="M534" i="2"/>
  <c r="L534" i="2"/>
  <c r="K534" i="2"/>
  <c r="J534" i="2"/>
  <c r="I534" i="2"/>
  <c r="H534" i="2"/>
  <c r="G534" i="2"/>
  <c r="F534" i="2"/>
  <c r="E558" i="2"/>
  <c r="D568" i="2"/>
  <c r="I548" i="2"/>
  <c r="H548" i="2"/>
  <c r="G548" i="2"/>
  <c r="F548" i="2"/>
  <c r="M548" i="2"/>
  <c r="L548" i="2"/>
  <c r="K548" i="2"/>
  <c r="J548" i="2"/>
  <c r="E539" i="2"/>
  <c r="D549" i="2"/>
  <c r="M529" i="2"/>
  <c r="L529" i="2"/>
  <c r="K529" i="2"/>
  <c r="J529" i="2"/>
  <c r="I529" i="2"/>
  <c r="H529" i="2"/>
  <c r="G529" i="2"/>
  <c r="F529" i="2"/>
  <c r="E552" i="2"/>
  <c r="D562" i="2"/>
  <c r="E547" i="2"/>
  <c r="D557" i="2"/>
  <c r="E543" i="2"/>
  <c r="D553" i="2"/>
  <c r="M542" i="2"/>
  <c r="L542" i="2"/>
  <c r="K542" i="2"/>
  <c r="J542" i="2"/>
  <c r="I542" i="2"/>
  <c r="H542" i="2"/>
  <c r="G542" i="2"/>
  <c r="F542" i="2"/>
  <c r="O558" i="2"/>
  <c r="O539" i="2"/>
  <c r="O552" i="2"/>
  <c r="O544" i="2"/>
  <c r="O541" i="2"/>
  <c r="O560" i="2"/>
  <c r="O547" i="2"/>
  <c r="O543" i="2"/>
  <c r="D559" i="2" l="1"/>
  <c r="E549" i="2"/>
  <c r="M539" i="2"/>
  <c r="L539" i="2"/>
  <c r="K539" i="2"/>
  <c r="J539" i="2"/>
  <c r="I539" i="2"/>
  <c r="H539" i="2"/>
  <c r="G539" i="2"/>
  <c r="F539" i="2"/>
  <c r="E553" i="2"/>
  <c r="D563" i="2"/>
  <c r="G543" i="2"/>
  <c r="F543" i="2"/>
  <c r="M543" i="2"/>
  <c r="L543" i="2"/>
  <c r="K543" i="2"/>
  <c r="J543" i="2"/>
  <c r="I543" i="2"/>
  <c r="H543" i="2"/>
  <c r="D567" i="2"/>
  <c r="E557" i="2"/>
  <c r="E554" i="2"/>
  <c r="D564" i="2"/>
  <c r="E566" i="2"/>
  <c r="M547" i="2"/>
  <c r="L547" i="2"/>
  <c r="K547" i="2"/>
  <c r="J547" i="2"/>
  <c r="I547" i="2"/>
  <c r="H547" i="2"/>
  <c r="G547" i="2"/>
  <c r="F547" i="2"/>
  <c r="M544" i="2"/>
  <c r="L544" i="2"/>
  <c r="K544" i="2"/>
  <c r="J544" i="2"/>
  <c r="I544" i="2"/>
  <c r="H544" i="2"/>
  <c r="G544" i="2"/>
  <c r="F544" i="2"/>
  <c r="E570" i="2"/>
  <c r="D580" i="2"/>
  <c r="D572" i="2"/>
  <c r="E562" i="2"/>
  <c r="E568" i="2"/>
  <c r="D578" i="2"/>
  <c r="E551" i="2"/>
  <c r="D561" i="2"/>
  <c r="G560" i="2"/>
  <c r="F560" i="2"/>
  <c r="M560" i="2"/>
  <c r="K560" i="2"/>
  <c r="L560" i="2"/>
  <c r="J560" i="2"/>
  <c r="I560" i="2"/>
  <c r="H560" i="2"/>
  <c r="M552" i="2"/>
  <c r="L552" i="2"/>
  <c r="K552" i="2"/>
  <c r="J552" i="2"/>
  <c r="H552" i="2"/>
  <c r="G552" i="2"/>
  <c r="F552" i="2"/>
  <c r="I552" i="2"/>
  <c r="K558" i="2"/>
  <c r="J558" i="2"/>
  <c r="I558" i="2"/>
  <c r="H558" i="2"/>
  <c r="G558" i="2"/>
  <c r="F558" i="2"/>
  <c r="M558" i="2"/>
  <c r="L558" i="2"/>
  <c r="K541" i="2"/>
  <c r="J541" i="2"/>
  <c r="I541" i="2"/>
  <c r="H541" i="2"/>
  <c r="G541" i="2"/>
  <c r="F541" i="2"/>
  <c r="M541" i="2"/>
  <c r="L541" i="2"/>
  <c r="O557" i="2"/>
  <c r="O551" i="2"/>
  <c r="O562" i="2"/>
  <c r="O553" i="2"/>
  <c r="O568" i="2"/>
  <c r="O554" i="2"/>
  <c r="O570" i="2"/>
  <c r="O549" i="2"/>
  <c r="E563" i="2" l="1"/>
  <c r="D573" i="2"/>
  <c r="I553" i="2"/>
  <c r="H553" i="2"/>
  <c r="G553" i="2"/>
  <c r="F553" i="2"/>
  <c r="M553" i="2"/>
  <c r="L553" i="2"/>
  <c r="K553" i="2"/>
  <c r="J553" i="2"/>
  <c r="E561" i="2"/>
  <c r="D571" i="2"/>
  <c r="M551" i="2"/>
  <c r="L551" i="2"/>
  <c r="K551" i="2"/>
  <c r="J551" i="2"/>
  <c r="I551" i="2"/>
  <c r="H551" i="2"/>
  <c r="G551" i="2"/>
  <c r="F551" i="2"/>
  <c r="E578" i="2"/>
  <c r="D588" i="2"/>
  <c r="M568" i="2"/>
  <c r="L568" i="2"/>
  <c r="K568" i="2"/>
  <c r="J568" i="2"/>
  <c r="I568" i="2"/>
  <c r="H568" i="2"/>
  <c r="G568" i="2"/>
  <c r="F568" i="2"/>
  <c r="M562" i="2"/>
  <c r="L562" i="2"/>
  <c r="I562" i="2"/>
  <c r="G562" i="2"/>
  <c r="K562" i="2"/>
  <c r="J562" i="2"/>
  <c r="H562" i="2"/>
  <c r="F562" i="2"/>
  <c r="E572" i="2"/>
  <c r="D582" i="2"/>
  <c r="E564" i="2"/>
  <c r="D574" i="2"/>
  <c r="E580" i="2"/>
  <c r="D590" i="2"/>
  <c r="M554" i="2"/>
  <c r="L554" i="2"/>
  <c r="K554" i="2"/>
  <c r="J554" i="2"/>
  <c r="I554" i="2"/>
  <c r="H554" i="2"/>
  <c r="G554" i="2"/>
  <c r="F554" i="2"/>
  <c r="I570" i="2"/>
  <c r="H570" i="2"/>
  <c r="G570" i="2"/>
  <c r="F570" i="2"/>
  <c r="M570" i="2"/>
  <c r="L570" i="2"/>
  <c r="K570" i="2"/>
  <c r="J570" i="2"/>
  <c r="E576" i="2"/>
  <c r="M557" i="2"/>
  <c r="L557" i="2"/>
  <c r="K557" i="2"/>
  <c r="J557" i="2"/>
  <c r="I557" i="2"/>
  <c r="H557" i="2"/>
  <c r="G557" i="2"/>
  <c r="F557" i="2"/>
  <c r="M549" i="2"/>
  <c r="L549" i="2"/>
  <c r="K549" i="2"/>
  <c r="J549" i="2"/>
  <c r="I549" i="2"/>
  <c r="H549" i="2"/>
  <c r="G549" i="2"/>
  <c r="F549" i="2"/>
  <c r="E567" i="2"/>
  <c r="D577" i="2"/>
  <c r="E559" i="2"/>
  <c r="D569" i="2"/>
  <c r="O559" i="2"/>
  <c r="O561" i="2"/>
  <c r="O564" i="2"/>
  <c r="O578" i="2"/>
  <c r="O580" i="2"/>
  <c r="O563" i="2"/>
  <c r="O567" i="2"/>
  <c r="O572" i="2"/>
  <c r="E577" i="2" l="1"/>
  <c r="D587" i="2"/>
  <c r="L572" i="2"/>
  <c r="K572" i="2"/>
  <c r="I572" i="2"/>
  <c r="M572" i="2"/>
  <c r="J572" i="2"/>
  <c r="H572" i="2"/>
  <c r="G572" i="2"/>
  <c r="F572" i="2"/>
  <c r="E586" i="2"/>
  <c r="K567" i="2"/>
  <c r="I567" i="2"/>
  <c r="M567" i="2"/>
  <c r="L567" i="2"/>
  <c r="J567" i="2"/>
  <c r="H567" i="2"/>
  <c r="G567" i="2"/>
  <c r="F567" i="2"/>
  <c r="E582" i="2"/>
  <c r="D592" i="2"/>
  <c r="D581" i="2"/>
  <c r="E571" i="2"/>
  <c r="M561" i="2"/>
  <c r="L561" i="2"/>
  <c r="K561" i="2"/>
  <c r="J561" i="2"/>
  <c r="I561" i="2"/>
  <c r="H561" i="2"/>
  <c r="G561" i="2"/>
  <c r="F561" i="2"/>
  <c r="E590" i="2"/>
  <c r="D600" i="2"/>
  <c r="K580" i="2"/>
  <c r="J580" i="2"/>
  <c r="I580" i="2"/>
  <c r="H580" i="2"/>
  <c r="G580" i="2"/>
  <c r="F580" i="2"/>
  <c r="M580" i="2"/>
  <c r="L580" i="2"/>
  <c r="E574" i="2"/>
  <c r="D584" i="2"/>
  <c r="E588" i="2"/>
  <c r="D598" i="2"/>
  <c r="E573" i="2"/>
  <c r="D583" i="2"/>
  <c r="M559" i="2"/>
  <c r="L559" i="2"/>
  <c r="K559" i="2"/>
  <c r="J559" i="2"/>
  <c r="I559" i="2"/>
  <c r="H559" i="2"/>
  <c r="G559" i="2"/>
  <c r="F559" i="2"/>
  <c r="E569" i="2"/>
  <c r="D579" i="2"/>
  <c r="M564" i="2"/>
  <c r="L564" i="2"/>
  <c r="K564" i="2"/>
  <c r="J564" i="2"/>
  <c r="I564" i="2"/>
  <c r="H564" i="2"/>
  <c r="G564" i="2"/>
  <c r="F564" i="2"/>
  <c r="M578" i="2"/>
  <c r="L578" i="2"/>
  <c r="K578" i="2"/>
  <c r="J578" i="2"/>
  <c r="I578" i="2"/>
  <c r="H578" i="2"/>
  <c r="G578" i="2"/>
  <c r="F578" i="2"/>
  <c r="K563" i="2"/>
  <c r="J563" i="2"/>
  <c r="I563" i="2"/>
  <c r="H563" i="2"/>
  <c r="G563" i="2"/>
  <c r="F563" i="2"/>
  <c r="M563" i="2"/>
  <c r="L563" i="2"/>
  <c r="O582" i="2"/>
  <c r="O574" i="2"/>
  <c r="O588" i="2"/>
  <c r="O569" i="2"/>
  <c r="O571" i="2"/>
  <c r="O590" i="2"/>
  <c r="O573" i="2"/>
  <c r="O577" i="2"/>
  <c r="G582" i="2" l="1"/>
  <c r="F582" i="2"/>
  <c r="M582" i="2"/>
  <c r="L582" i="2"/>
  <c r="K582" i="2"/>
  <c r="J582" i="2"/>
  <c r="I582" i="2"/>
  <c r="H582" i="2"/>
  <c r="D589" i="2"/>
  <c r="E579" i="2"/>
  <c r="M569" i="2"/>
  <c r="L569" i="2"/>
  <c r="K569" i="2"/>
  <c r="J569" i="2"/>
  <c r="G569" i="2"/>
  <c r="H569" i="2"/>
  <c r="F569" i="2"/>
  <c r="I569" i="2"/>
  <c r="E600" i="2"/>
  <c r="D610" i="2"/>
  <c r="M590" i="2"/>
  <c r="L590" i="2"/>
  <c r="K590" i="2"/>
  <c r="J590" i="2"/>
  <c r="I590" i="2"/>
  <c r="H590" i="2"/>
  <c r="G590" i="2"/>
  <c r="F590" i="2"/>
  <c r="E583" i="2"/>
  <c r="D593" i="2"/>
  <c r="M573" i="2"/>
  <c r="L573" i="2"/>
  <c r="K573" i="2"/>
  <c r="J573" i="2"/>
  <c r="I573" i="2"/>
  <c r="H573" i="2"/>
  <c r="G573" i="2"/>
  <c r="F573" i="2"/>
  <c r="E598" i="2"/>
  <c r="D608" i="2"/>
  <c r="M588" i="2"/>
  <c r="L588" i="2"/>
  <c r="K588" i="2"/>
  <c r="J588" i="2"/>
  <c r="I588" i="2"/>
  <c r="H588" i="2"/>
  <c r="G588" i="2"/>
  <c r="F588" i="2"/>
  <c r="D594" i="2"/>
  <c r="E584" i="2"/>
  <c r="M571" i="2"/>
  <c r="L571" i="2"/>
  <c r="K571" i="2"/>
  <c r="J571" i="2"/>
  <c r="I571" i="2"/>
  <c r="H571" i="2"/>
  <c r="G571" i="2"/>
  <c r="F571" i="2"/>
  <c r="M574" i="2"/>
  <c r="L574" i="2"/>
  <c r="K574" i="2"/>
  <c r="J574" i="2"/>
  <c r="H574" i="2"/>
  <c r="G574" i="2"/>
  <c r="F574" i="2"/>
  <c r="I574" i="2"/>
  <c r="E581" i="2"/>
  <c r="D591" i="2"/>
  <c r="E587" i="2"/>
  <c r="D597" i="2"/>
  <c r="E592" i="2"/>
  <c r="D602" i="2"/>
  <c r="G577" i="2"/>
  <c r="F577" i="2"/>
  <c r="E596" i="2"/>
  <c r="M577" i="2"/>
  <c r="L577" i="2"/>
  <c r="K577" i="2"/>
  <c r="J577" i="2"/>
  <c r="I577" i="2"/>
  <c r="H577" i="2"/>
  <c r="O587" i="2"/>
  <c r="O581" i="2"/>
  <c r="O592" i="2"/>
  <c r="O600" i="2"/>
  <c r="O579" i="2"/>
  <c r="O583" i="2"/>
  <c r="O598" i="2"/>
  <c r="O584" i="2"/>
  <c r="M598" i="2" l="1"/>
  <c r="L598" i="2"/>
  <c r="K598" i="2"/>
  <c r="J598" i="2"/>
  <c r="I598" i="2"/>
  <c r="H598" i="2"/>
  <c r="G598" i="2"/>
  <c r="F598" i="2"/>
  <c r="I600" i="2"/>
  <c r="G600" i="2"/>
  <c r="M600" i="2"/>
  <c r="L600" i="2"/>
  <c r="K600" i="2"/>
  <c r="J600" i="2"/>
  <c r="H600" i="2"/>
  <c r="F600" i="2"/>
  <c r="E608" i="2"/>
  <c r="D618" i="2"/>
  <c r="E602" i="2"/>
  <c r="D612" i="2"/>
  <c r="I592" i="2"/>
  <c r="H592" i="2"/>
  <c r="G592" i="2"/>
  <c r="F592" i="2"/>
  <c r="M592" i="2"/>
  <c r="L592" i="2"/>
  <c r="K592" i="2"/>
  <c r="J592" i="2"/>
  <c r="E597" i="2"/>
  <c r="D607" i="2"/>
  <c r="M584" i="2"/>
  <c r="L584" i="2"/>
  <c r="J584" i="2"/>
  <c r="I584" i="2"/>
  <c r="H584" i="2"/>
  <c r="G584" i="2"/>
  <c r="K584" i="2"/>
  <c r="F584" i="2"/>
  <c r="E593" i="2"/>
  <c r="D603" i="2"/>
  <c r="M579" i="2"/>
  <c r="L579" i="2"/>
  <c r="J579" i="2"/>
  <c r="I579" i="2"/>
  <c r="H579" i="2"/>
  <c r="G579" i="2"/>
  <c r="K579" i="2"/>
  <c r="F579" i="2"/>
  <c r="E606" i="2"/>
  <c r="I587" i="2"/>
  <c r="H587" i="2"/>
  <c r="G587" i="2"/>
  <c r="F587" i="2"/>
  <c r="M587" i="2"/>
  <c r="L587" i="2"/>
  <c r="K587" i="2"/>
  <c r="J587" i="2"/>
  <c r="E594" i="2"/>
  <c r="D604" i="2"/>
  <c r="M583" i="2"/>
  <c r="L583" i="2"/>
  <c r="K583" i="2"/>
  <c r="J583" i="2"/>
  <c r="I583" i="2"/>
  <c r="H583" i="2"/>
  <c r="G583" i="2"/>
  <c r="F583" i="2"/>
  <c r="E589" i="2"/>
  <c r="D599" i="2"/>
  <c r="E591" i="2"/>
  <c r="D601" i="2"/>
  <c r="M581" i="2"/>
  <c r="L581" i="2"/>
  <c r="K581" i="2"/>
  <c r="J581" i="2"/>
  <c r="I581" i="2"/>
  <c r="H581" i="2"/>
  <c r="F581" i="2"/>
  <c r="G581" i="2"/>
  <c r="E610" i="2"/>
  <c r="D620" i="2"/>
  <c r="O602" i="2"/>
  <c r="O608" i="2"/>
  <c r="O593" i="2"/>
  <c r="O594" i="2"/>
  <c r="O589" i="2"/>
  <c r="O591" i="2"/>
  <c r="O597" i="2"/>
  <c r="O610" i="2"/>
  <c r="D614" i="2" l="1"/>
  <c r="E604" i="2"/>
  <c r="M593" i="2"/>
  <c r="L593" i="2"/>
  <c r="K593" i="2"/>
  <c r="J593" i="2"/>
  <c r="I593" i="2"/>
  <c r="H593" i="2"/>
  <c r="G593" i="2"/>
  <c r="F593" i="2"/>
  <c r="G602" i="2"/>
  <c r="M602" i="2"/>
  <c r="L602" i="2"/>
  <c r="K602" i="2"/>
  <c r="J602" i="2"/>
  <c r="I602" i="2"/>
  <c r="H602" i="2"/>
  <c r="F602" i="2"/>
  <c r="M594" i="2"/>
  <c r="L594" i="2"/>
  <c r="K594" i="2"/>
  <c r="J594" i="2"/>
  <c r="I594" i="2"/>
  <c r="H594" i="2"/>
  <c r="G594" i="2"/>
  <c r="F594" i="2"/>
  <c r="E618" i="2"/>
  <c r="D628" i="2"/>
  <c r="M608" i="2"/>
  <c r="K608" i="2"/>
  <c r="J608" i="2"/>
  <c r="L608" i="2"/>
  <c r="I608" i="2"/>
  <c r="H608" i="2"/>
  <c r="G608" i="2"/>
  <c r="F608" i="2"/>
  <c r="E603" i="2"/>
  <c r="D613" i="2"/>
  <c r="E601" i="2"/>
  <c r="D611" i="2"/>
  <c r="M591" i="2"/>
  <c r="L591" i="2"/>
  <c r="K591" i="2"/>
  <c r="J591" i="2"/>
  <c r="I591" i="2"/>
  <c r="H591" i="2"/>
  <c r="G591" i="2"/>
  <c r="F591" i="2"/>
  <c r="E607" i="2"/>
  <c r="D617" i="2"/>
  <c r="E599" i="2"/>
  <c r="D609" i="2"/>
  <c r="K597" i="2"/>
  <c r="J597" i="2"/>
  <c r="I597" i="2"/>
  <c r="H597" i="2"/>
  <c r="G597" i="2"/>
  <c r="F597" i="2"/>
  <c r="E616" i="2"/>
  <c r="M597" i="2"/>
  <c r="L597" i="2"/>
  <c r="M589" i="2"/>
  <c r="L589" i="2"/>
  <c r="K589" i="2"/>
  <c r="J589" i="2"/>
  <c r="I589" i="2"/>
  <c r="H589" i="2"/>
  <c r="G589" i="2"/>
  <c r="F589" i="2"/>
  <c r="E612" i="2"/>
  <c r="D622" i="2"/>
  <c r="M610" i="2"/>
  <c r="K610" i="2"/>
  <c r="I610" i="2"/>
  <c r="G610" i="2"/>
  <c r="F610" i="2"/>
  <c r="L610" i="2"/>
  <c r="J610" i="2"/>
  <c r="H610" i="2"/>
  <c r="E620" i="2"/>
  <c r="D630" i="2"/>
  <c r="O599" i="2"/>
  <c r="O618" i="2"/>
  <c r="O612" i="2"/>
  <c r="O604" i="2"/>
  <c r="O607" i="2"/>
  <c r="O601" i="2"/>
  <c r="O603" i="2"/>
  <c r="O620" i="2"/>
  <c r="L601" i="2" l="1"/>
  <c r="F601" i="2"/>
  <c r="M601" i="2"/>
  <c r="K601" i="2"/>
  <c r="J601" i="2"/>
  <c r="H601" i="2"/>
  <c r="G601" i="2"/>
  <c r="I601" i="2"/>
  <c r="E613" i="2"/>
  <c r="D623" i="2"/>
  <c r="M603" i="2"/>
  <c r="K603" i="2"/>
  <c r="H603" i="2"/>
  <c r="F603" i="2"/>
  <c r="L603" i="2"/>
  <c r="J603" i="2"/>
  <c r="I603" i="2"/>
  <c r="G603" i="2"/>
  <c r="E611" i="2"/>
  <c r="D621" i="2"/>
  <c r="E609" i="2"/>
  <c r="D619" i="2"/>
  <c r="E622" i="2"/>
  <c r="D632" i="2"/>
  <c r="G599" i="2"/>
  <c r="F599" i="2"/>
  <c r="M599" i="2"/>
  <c r="L599" i="2"/>
  <c r="K599" i="2"/>
  <c r="J599" i="2"/>
  <c r="I599" i="2"/>
  <c r="H599" i="2"/>
  <c r="I612" i="2"/>
  <c r="H612" i="2"/>
  <c r="G612" i="2"/>
  <c r="M612" i="2"/>
  <c r="L612" i="2"/>
  <c r="K612" i="2"/>
  <c r="J612" i="2"/>
  <c r="F612" i="2"/>
  <c r="E617" i="2"/>
  <c r="D627" i="2"/>
  <c r="I607" i="2"/>
  <c r="G607" i="2"/>
  <c r="H607" i="2"/>
  <c r="F607" i="2"/>
  <c r="E626" i="2"/>
  <c r="M607" i="2"/>
  <c r="L607" i="2"/>
  <c r="K607" i="2"/>
  <c r="J607" i="2"/>
  <c r="E628" i="2"/>
  <c r="D638" i="2"/>
  <c r="M620" i="2"/>
  <c r="L620" i="2"/>
  <c r="K620" i="2"/>
  <c r="I620" i="2"/>
  <c r="H620" i="2"/>
  <c r="J620" i="2"/>
  <c r="G620" i="2"/>
  <c r="F620" i="2"/>
  <c r="M618" i="2"/>
  <c r="L618" i="2"/>
  <c r="I618" i="2"/>
  <c r="G618" i="2"/>
  <c r="F618" i="2"/>
  <c r="K618" i="2"/>
  <c r="J618" i="2"/>
  <c r="H618" i="2"/>
  <c r="M604" i="2"/>
  <c r="L604" i="2"/>
  <c r="K604" i="2"/>
  <c r="J604" i="2"/>
  <c r="I604" i="2"/>
  <c r="H604" i="2"/>
  <c r="G604" i="2"/>
  <c r="F604" i="2"/>
  <c r="E630" i="2"/>
  <c r="D640" i="2"/>
  <c r="E614" i="2"/>
  <c r="D624" i="2"/>
  <c r="O617" i="2"/>
  <c r="O609" i="2"/>
  <c r="O611" i="2"/>
  <c r="O630" i="2"/>
  <c r="O628" i="2"/>
  <c r="O614" i="2"/>
  <c r="O613" i="2"/>
  <c r="O622" i="2"/>
  <c r="E640" i="2" l="1"/>
  <c r="D650" i="2"/>
  <c r="K611" i="2"/>
  <c r="J611" i="2"/>
  <c r="I611" i="2"/>
  <c r="H611" i="2"/>
  <c r="G611" i="2"/>
  <c r="F611" i="2"/>
  <c r="M611" i="2"/>
  <c r="L611" i="2"/>
  <c r="M630" i="2"/>
  <c r="L630" i="2"/>
  <c r="K630" i="2"/>
  <c r="J630" i="2"/>
  <c r="I630" i="2"/>
  <c r="G630" i="2"/>
  <c r="H630" i="2"/>
  <c r="F630" i="2"/>
  <c r="F614" i="2"/>
  <c r="M614" i="2"/>
  <c r="L614" i="2"/>
  <c r="K614" i="2"/>
  <c r="J614" i="2"/>
  <c r="I614" i="2"/>
  <c r="H614" i="2"/>
  <c r="G614" i="2"/>
  <c r="D648" i="2"/>
  <c r="E638" i="2"/>
  <c r="M628" i="2"/>
  <c r="K628" i="2"/>
  <c r="L628" i="2"/>
  <c r="J628" i="2"/>
  <c r="I628" i="2"/>
  <c r="H628" i="2"/>
  <c r="G628" i="2"/>
  <c r="F628" i="2"/>
  <c r="E623" i="2"/>
  <c r="D633" i="2"/>
  <c r="M613" i="2"/>
  <c r="K613" i="2"/>
  <c r="J613" i="2"/>
  <c r="L613" i="2"/>
  <c r="I613" i="2"/>
  <c r="H613" i="2"/>
  <c r="G613" i="2"/>
  <c r="F613" i="2"/>
  <c r="E632" i="2"/>
  <c r="D642" i="2"/>
  <c r="K622" i="2"/>
  <c r="J622" i="2"/>
  <c r="I622" i="2"/>
  <c r="H622" i="2"/>
  <c r="G622" i="2"/>
  <c r="M622" i="2"/>
  <c r="L622" i="2"/>
  <c r="F622" i="2"/>
  <c r="D631" i="2"/>
  <c r="E621" i="2"/>
  <c r="E627" i="2"/>
  <c r="D637" i="2"/>
  <c r="E619" i="2"/>
  <c r="D629" i="2"/>
  <c r="E624" i="2"/>
  <c r="D634" i="2"/>
  <c r="K617" i="2"/>
  <c r="J617" i="2"/>
  <c r="I617" i="2"/>
  <c r="H617" i="2"/>
  <c r="G617" i="2"/>
  <c r="E636" i="2"/>
  <c r="M617" i="2"/>
  <c r="L617" i="2"/>
  <c r="F617" i="2"/>
  <c r="J609" i="2"/>
  <c r="I609" i="2"/>
  <c r="H609" i="2"/>
  <c r="G609" i="2"/>
  <c r="F609" i="2"/>
  <c r="M609" i="2"/>
  <c r="L609" i="2"/>
  <c r="K609" i="2"/>
  <c r="O624" i="2"/>
  <c r="O638" i="2"/>
  <c r="O621" i="2"/>
  <c r="O623" i="2"/>
  <c r="O632" i="2"/>
  <c r="O619" i="2"/>
  <c r="O640" i="2"/>
  <c r="O627" i="2"/>
  <c r="M627" i="2" l="1"/>
  <c r="L627" i="2"/>
  <c r="K627" i="2"/>
  <c r="J627" i="2"/>
  <c r="I627" i="2"/>
  <c r="H627" i="2"/>
  <c r="G627" i="2"/>
  <c r="F627" i="2"/>
  <c r="E646" i="2"/>
  <c r="M621" i="2"/>
  <c r="F621" i="2"/>
  <c r="L621" i="2"/>
  <c r="K621" i="2"/>
  <c r="J621" i="2"/>
  <c r="I621" i="2"/>
  <c r="H621" i="2"/>
  <c r="G621" i="2"/>
  <c r="E633" i="2"/>
  <c r="D643" i="2"/>
  <c r="E631" i="2"/>
  <c r="D641" i="2"/>
  <c r="M623" i="2"/>
  <c r="L623" i="2"/>
  <c r="K623" i="2"/>
  <c r="I623" i="2"/>
  <c r="J623" i="2"/>
  <c r="H623" i="2"/>
  <c r="G623" i="2"/>
  <c r="F623" i="2"/>
  <c r="E637" i="2"/>
  <c r="D647" i="2"/>
  <c r="E642" i="2"/>
  <c r="D652" i="2"/>
  <c r="M638" i="2"/>
  <c r="L638" i="2"/>
  <c r="K638" i="2"/>
  <c r="J638" i="2"/>
  <c r="I638" i="2"/>
  <c r="H638" i="2"/>
  <c r="G638" i="2"/>
  <c r="F638" i="2"/>
  <c r="M632" i="2"/>
  <c r="L632" i="2"/>
  <c r="K632" i="2"/>
  <c r="J632" i="2"/>
  <c r="I632" i="2"/>
  <c r="H632" i="2"/>
  <c r="G632" i="2"/>
  <c r="F632" i="2"/>
  <c r="E648" i="2"/>
  <c r="D658" i="2"/>
  <c r="E634" i="2"/>
  <c r="D644" i="2"/>
  <c r="G624" i="2"/>
  <c r="F624" i="2"/>
  <c r="M624" i="2"/>
  <c r="L624" i="2"/>
  <c r="K624" i="2"/>
  <c r="J624" i="2"/>
  <c r="H624" i="2"/>
  <c r="I624" i="2"/>
  <c r="E629" i="2"/>
  <c r="D639" i="2"/>
  <c r="E650" i="2"/>
  <c r="D660" i="2"/>
  <c r="G619" i="2"/>
  <c r="F619" i="2"/>
  <c r="M619" i="2"/>
  <c r="L619" i="2"/>
  <c r="K619" i="2"/>
  <c r="J619" i="2"/>
  <c r="I619" i="2"/>
  <c r="H619" i="2"/>
  <c r="M640" i="2"/>
  <c r="L640" i="2"/>
  <c r="K640" i="2"/>
  <c r="J640" i="2"/>
  <c r="I640" i="2"/>
  <c r="F640" i="2"/>
  <c r="H640" i="2"/>
  <c r="G640" i="2"/>
  <c r="O633" i="2"/>
  <c r="O650" i="2"/>
  <c r="O648" i="2"/>
  <c r="O629" i="2"/>
  <c r="O631" i="2"/>
  <c r="O634" i="2"/>
  <c r="O637" i="2"/>
  <c r="O642" i="2"/>
  <c r="D653" i="2" l="1"/>
  <c r="E643" i="2"/>
  <c r="M633" i="2"/>
  <c r="K633" i="2"/>
  <c r="L633" i="2"/>
  <c r="J633" i="2"/>
  <c r="I633" i="2"/>
  <c r="H633" i="2"/>
  <c r="G633" i="2"/>
  <c r="F633" i="2"/>
  <c r="E644" i="2"/>
  <c r="D654" i="2"/>
  <c r="E652" i="2"/>
  <c r="D662" i="2"/>
  <c r="M631" i="2"/>
  <c r="L631" i="2"/>
  <c r="K631" i="2"/>
  <c r="J631" i="2"/>
  <c r="I631" i="2"/>
  <c r="H631" i="2"/>
  <c r="G631" i="2"/>
  <c r="F631" i="2"/>
  <c r="I634" i="2"/>
  <c r="H634" i="2"/>
  <c r="G634" i="2"/>
  <c r="F634" i="2"/>
  <c r="M634" i="2"/>
  <c r="L634" i="2"/>
  <c r="K634" i="2"/>
  <c r="J634" i="2"/>
  <c r="M642" i="2"/>
  <c r="L642" i="2"/>
  <c r="K642" i="2"/>
  <c r="J642" i="2"/>
  <c r="I642" i="2"/>
  <c r="H642" i="2"/>
  <c r="G642" i="2"/>
  <c r="F642" i="2"/>
  <c r="E658" i="2"/>
  <c r="D668" i="2"/>
  <c r="E647" i="2"/>
  <c r="D657" i="2"/>
  <c r="L648" i="2"/>
  <c r="K648" i="2"/>
  <c r="J648" i="2"/>
  <c r="I648" i="2"/>
  <c r="H648" i="2"/>
  <c r="G648" i="2"/>
  <c r="F648" i="2"/>
  <c r="M648" i="2"/>
  <c r="M637" i="2"/>
  <c r="L637" i="2"/>
  <c r="K637" i="2"/>
  <c r="J637" i="2"/>
  <c r="I637" i="2"/>
  <c r="H637" i="2"/>
  <c r="G637" i="2"/>
  <c r="F637" i="2"/>
  <c r="E656" i="2"/>
  <c r="D670" i="2"/>
  <c r="E660" i="2"/>
  <c r="M650" i="2"/>
  <c r="L650" i="2"/>
  <c r="K650" i="2"/>
  <c r="J650" i="2"/>
  <c r="I650" i="2"/>
  <c r="H650" i="2"/>
  <c r="G650" i="2"/>
  <c r="F650" i="2"/>
  <c r="E639" i="2"/>
  <c r="D649" i="2"/>
  <c r="I629" i="2"/>
  <c r="H629" i="2"/>
  <c r="G629" i="2"/>
  <c r="F629" i="2"/>
  <c r="M629" i="2"/>
  <c r="L629" i="2"/>
  <c r="K629" i="2"/>
  <c r="J629" i="2"/>
  <c r="E641" i="2"/>
  <c r="D651" i="2"/>
  <c r="O644" i="2"/>
  <c r="O647" i="2"/>
  <c r="O643" i="2"/>
  <c r="O660" i="2"/>
  <c r="O652" i="2"/>
  <c r="O658" i="2"/>
  <c r="O641" i="2"/>
  <c r="O639" i="2"/>
  <c r="G658" i="2" l="1"/>
  <c r="F658" i="2"/>
  <c r="M658" i="2"/>
  <c r="L658" i="2"/>
  <c r="K658" i="2"/>
  <c r="J658" i="2"/>
  <c r="I658" i="2"/>
  <c r="H658" i="2"/>
  <c r="G641" i="2"/>
  <c r="F641" i="2"/>
  <c r="M641" i="2"/>
  <c r="L641" i="2"/>
  <c r="K641" i="2"/>
  <c r="J641" i="2"/>
  <c r="I641" i="2"/>
  <c r="H641" i="2"/>
  <c r="E668" i="2"/>
  <c r="D678" i="2"/>
  <c r="E662" i="2"/>
  <c r="D672" i="2"/>
  <c r="E670" i="2"/>
  <c r="D680" i="2"/>
  <c r="M652" i="2"/>
  <c r="L652" i="2"/>
  <c r="K652" i="2"/>
  <c r="J652" i="2"/>
  <c r="I652" i="2"/>
  <c r="H652" i="2"/>
  <c r="G652" i="2"/>
  <c r="F652" i="2"/>
  <c r="E654" i="2"/>
  <c r="D664" i="2"/>
  <c r="E649" i="2"/>
  <c r="D659" i="2"/>
  <c r="K644" i="2"/>
  <c r="J644" i="2"/>
  <c r="I644" i="2"/>
  <c r="H644" i="2"/>
  <c r="G644" i="2"/>
  <c r="F644" i="2"/>
  <c r="M644" i="2"/>
  <c r="L644" i="2"/>
  <c r="K639" i="2"/>
  <c r="J639" i="2"/>
  <c r="I639" i="2"/>
  <c r="H639" i="2"/>
  <c r="G639" i="2"/>
  <c r="F639" i="2"/>
  <c r="M639" i="2"/>
  <c r="L639" i="2"/>
  <c r="E657" i="2"/>
  <c r="D667" i="2"/>
  <c r="M643" i="2"/>
  <c r="J643" i="2"/>
  <c r="I643" i="2"/>
  <c r="H643" i="2"/>
  <c r="G643" i="2"/>
  <c r="F643" i="2"/>
  <c r="L643" i="2"/>
  <c r="K643" i="2"/>
  <c r="E651" i="2"/>
  <c r="D661" i="2"/>
  <c r="M660" i="2"/>
  <c r="L660" i="2"/>
  <c r="K660" i="2"/>
  <c r="J660" i="2"/>
  <c r="I660" i="2"/>
  <c r="H660" i="2"/>
  <c r="G660" i="2"/>
  <c r="F660" i="2"/>
  <c r="M647" i="2"/>
  <c r="L647" i="2"/>
  <c r="K647" i="2"/>
  <c r="J647" i="2"/>
  <c r="I647" i="2"/>
  <c r="H647" i="2"/>
  <c r="G647" i="2"/>
  <c r="F647" i="2"/>
  <c r="E666" i="2"/>
  <c r="E653" i="2"/>
  <c r="D663" i="2"/>
  <c r="O670" i="2"/>
  <c r="O657" i="2"/>
  <c r="O649" i="2"/>
  <c r="O651" i="2"/>
  <c r="O662" i="2"/>
  <c r="O668" i="2"/>
  <c r="O654" i="2"/>
  <c r="O653" i="2"/>
  <c r="M662" i="2" l="1"/>
  <c r="L662" i="2"/>
  <c r="K662" i="2"/>
  <c r="J662" i="2"/>
  <c r="I662" i="2"/>
  <c r="H662" i="2"/>
  <c r="G662" i="2"/>
  <c r="F662" i="2"/>
  <c r="E678" i="2"/>
  <c r="D688" i="2"/>
  <c r="I668" i="2"/>
  <c r="H668" i="2"/>
  <c r="G668" i="2"/>
  <c r="F668" i="2"/>
  <c r="M668" i="2"/>
  <c r="L668" i="2"/>
  <c r="K668" i="2"/>
  <c r="J668" i="2"/>
  <c r="M653" i="2"/>
  <c r="L653" i="2"/>
  <c r="K653" i="2"/>
  <c r="J653" i="2"/>
  <c r="I653" i="2"/>
  <c r="H653" i="2"/>
  <c r="G653" i="2"/>
  <c r="F653" i="2"/>
  <c r="E659" i="2"/>
  <c r="D669" i="2"/>
  <c r="M649" i="2"/>
  <c r="L649" i="2"/>
  <c r="K649" i="2"/>
  <c r="J649" i="2"/>
  <c r="I649" i="2"/>
  <c r="H649" i="2"/>
  <c r="G649" i="2"/>
  <c r="F649" i="2"/>
  <c r="E667" i="2"/>
  <c r="D677" i="2"/>
  <c r="E664" i="2"/>
  <c r="D674" i="2"/>
  <c r="E676" i="2"/>
  <c r="M657" i="2"/>
  <c r="L657" i="2"/>
  <c r="K657" i="2"/>
  <c r="J657" i="2"/>
  <c r="I657" i="2"/>
  <c r="H657" i="2"/>
  <c r="G657" i="2"/>
  <c r="F657" i="2"/>
  <c r="M654" i="2"/>
  <c r="L654" i="2"/>
  <c r="K654" i="2"/>
  <c r="J654" i="2"/>
  <c r="I654" i="2"/>
  <c r="H654" i="2"/>
  <c r="G654" i="2"/>
  <c r="F654" i="2"/>
  <c r="E672" i="2"/>
  <c r="D682" i="2"/>
  <c r="E661" i="2"/>
  <c r="D671" i="2"/>
  <c r="E680" i="2"/>
  <c r="D690" i="2"/>
  <c r="E663" i="2"/>
  <c r="D673" i="2"/>
  <c r="I651" i="2"/>
  <c r="H651" i="2"/>
  <c r="G651" i="2"/>
  <c r="F651" i="2"/>
  <c r="M651" i="2"/>
  <c r="L651" i="2"/>
  <c r="K651" i="2"/>
  <c r="J651" i="2"/>
  <c r="M670" i="2"/>
  <c r="L670" i="2"/>
  <c r="K670" i="2"/>
  <c r="J670" i="2"/>
  <c r="I670" i="2"/>
  <c r="H670" i="2"/>
  <c r="G670" i="2"/>
  <c r="F670" i="2"/>
  <c r="O667" i="2"/>
  <c r="O661" i="2"/>
  <c r="O663" i="2"/>
  <c r="O680" i="2"/>
  <c r="O659" i="2"/>
  <c r="O678" i="2"/>
  <c r="O672" i="2"/>
  <c r="O664" i="2"/>
  <c r="D692" i="2" l="1"/>
  <c r="E682" i="2"/>
  <c r="M664" i="2"/>
  <c r="L664" i="2"/>
  <c r="K664" i="2"/>
  <c r="J664" i="2"/>
  <c r="I664" i="2"/>
  <c r="H664" i="2"/>
  <c r="G664" i="2"/>
  <c r="F664" i="2"/>
  <c r="M672" i="2"/>
  <c r="L672" i="2"/>
  <c r="K672" i="2"/>
  <c r="I672" i="2"/>
  <c r="H672" i="2"/>
  <c r="J672" i="2"/>
  <c r="G672" i="2"/>
  <c r="F672" i="2"/>
  <c r="D687" i="2"/>
  <c r="E677" i="2"/>
  <c r="E686" i="2"/>
  <c r="M667" i="2"/>
  <c r="L667" i="2"/>
  <c r="K667" i="2"/>
  <c r="J667" i="2"/>
  <c r="I667" i="2"/>
  <c r="H667" i="2"/>
  <c r="G667" i="2"/>
  <c r="F667" i="2"/>
  <c r="K661" i="2"/>
  <c r="J661" i="2"/>
  <c r="I661" i="2"/>
  <c r="H661" i="2"/>
  <c r="G661" i="2"/>
  <c r="F661" i="2"/>
  <c r="M661" i="2"/>
  <c r="L661" i="2"/>
  <c r="E688" i="2"/>
  <c r="D698" i="2"/>
  <c r="K678" i="2"/>
  <c r="J678" i="2"/>
  <c r="I678" i="2"/>
  <c r="H678" i="2"/>
  <c r="G678" i="2"/>
  <c r="F678" i="2"/>
  <c r="M678" i="2"/>
  <c r="L678" i="2"/>
  <c r="E674" i="2"/>
  <c r="D684" i="2"/>
  <c r="E669" i="2"/>
  <c r="D679" i="2"/>
  <c r="M659" i="2"/>
  <c r="L659" i="2"/>
  <c r="K659" i="2"/>
  <c r="J659" i="2"/>
  <c r="I659" i="2"/>
  <c r="H659" i="2"/>
  <c r="G659" i="2"/>
  <c r="F659" i="2"/>
  <c r="E673" i="2"/>
  <c r="D683" i="2"/>
  <c r="G663" i="2"/>
  <c r="F663" i="2"/>
  <c r="M663" i="2"/>
  <c r="L663" i="2"/>
  <c r="K663" i="2"/>
  <c r="J663" i="2"/>
  <c r="I663" i="2"/>
  <c r="H663" i="2"/>
  <c r="E690" i="2"/>
  <c r="D700" i="2"/>
  <c r="G680" i="2"/>
  <c r="F680" i="2"/>
  <c r="M680" i="2"/>
  <c r="H680" i="2"/>
  <c r="L680" i="2"/>
  <c r="K680" i="2"/>
  <c r="J680" i="2"/>
  <c r="I680" i="2"/>
  <c r="E671" i="2"/>
  <c r="D681" i="2"/>
  <c r="O671" i="2"/>
  <c r="O677" i="2"/>
  <c r="O674" i="2"/>
  <c r="O688" i="2"/>
  <c r="O690" i="2"/>
  <c r="O669" i="2"/>
  <c r="O682" i="2"/>
  <c r="O673" i="2"/>
  <c r="E698" i="2" l="1"/>
  <c r="D708" i="2"/>
  <c r="E687" i="2"/>
  <c r="D697" i="2"/>
  <c r="M688" i="2"/>
  <c r="L688" i="2"/>
  <c r="K688" i="2"/>
  <c r="J688" i="2"/>
  <c r="I688" i="2"/>
  <c r="H688" i="2"/>
  <c r="G688" i="2"/>
  <c r="F688" i="2"/>
  <c r="M671" i="2"/>
  <c r="L671" i="2"/>
  <c r="K671" i="2"/>
  <c r="J671" i="2"/>
  <c r="I671" i="2"/>
  <c r="H671" i="2"/>
  <c r="G671" i="2"/>
  <c r="F671" i="2"/>
  <c r="E700" i="2"/>
  <c r="D710" i="2"/>
  <c r="E679" i="2"/>
  <c r="D689" i="2"/>
  <c r="E696" i="2"/>
  <c r="M677" i="2"/>
  <c r="K677" i="2"/>
  <c r="J677" i="2"/>
  <c r="L677" i="2"/>
  <c r="I677" i="2"/>
  <c r="H677" i="2"/>
  <c r="G677" i="2"/>
  <c r="F677" i="2"/>
  <c r="I690" i="2"/>
  <c r="H690" i="2"/>
  <c r="G690" i="2"/>
  <c r="F690" i="2"/>
  <c r="M690" i="2"/>
  <c r="L690" i="2"/>
  <c r="K690" i="2"/>
  <c r="J690" i="2"/>
  <c r="M669" i="2"/>
  <c r="L669" i="2"/>
  <c r="K669" i="2"/>
  <c r="J669" i="2"/>
  <c r="I669" i="2"/>
  <c r="H669" i="2"/>
  <c r="G669" i="2"/>
  <c r="F669" i="2"/>
  <c r="E684" i="2"/>
  <c r="D694" i="2"/>
  <c r="M674" i="2"/>
  <c r="L674" i="2"/>
  <c r="K674" i="2"/>
  <c r="J674" i="2"/>
  <c r="I674" i="2"/>
  <c r="H674" i="2"/>
  <c r="G674" i="2"/>
  <c r="F674" i="2"/>
  <c r="I673" i="2"/>
  <c r="H673" i="2"/>
  <c r="G673" i="2"/>
  <c r="F673" i="2"/>
  <c r="M673" i="2"/>
  <c r="L673" i="2"/>
  <c r="K673" i="2"/>
  <c r="J673" i="2"/>
  <c r="M682" i="2"/>
  <c r="K682" i="2"/>
  <c r="J682" i="2"/>
  <c r="I682" i="2"/>
  <c r="L682" i="2"/>
  <c r="H682" i="2"/>
  <c r="G682" i="2"/>
  <c r="F682" i="2"/>
  <c r="E681" i="2"/>
  <c r="D691" i="2"/>
  <c r="E683" i="2"/>
  <c r="D693" i="2"/>
  <c r="E692" i="2"/>
  <c r="D702" i="2"/>
  <c r="O684" i="2"/>
  <c r="O683" i="2"/>
  <c r="O698" i="2"/>
  <c r="O681" i="2"/>
  <c r="O692" i="2"/>
  <c r="O679" i="2"/>
  <c r="O700" i="2"/>
  <c r="O687" i="2"/>
  <c r="E693" i="2" l="1"/>
  <c r="D703" i="2"/>
  <c r="K683" i="2"/>
  <c r="J683" i="2"/>
  <c r="I683" i="2"/>
  <c r="H683" i="2"/>
  <c r="G683" i="2"/>
  <c r="F683" i="2"/>
  <c r="M683" i="2"/>
  <c r="L683" i="2"/>
  <c r="E691" i="2"/>
  <c r="D701" i="2"/>
  <c r="M681" i="2"/>
  <c r="L681" i="2"/>
  <c r="K681" i="2"/>
  <c r="J681" i="2"/>
  <c r="I681" i="2"/>
  <c r="H681" i="2"/>
  <c r="G681" i="2"/>
  <c r="F681" i="2"/>
  <c r="E694" i="2"/>
  <c r="D704" i="2"/>
  <c r="M684" i="2"/>
  <c r="L684" i="2"/>
  <c r="K684" i="2"/>
  <c r="J684" i="2"/>
  <c r="I684" i="2"/>
  <c r="G684" i="2"/>
  <c r="F684" i="2"/>
  <c r="H684" i="2"/>
  <c r="M692" i="2"/>
  <c r="L692" i="2"/>
  <c r="K692" i="2"/>
  <c r="J692" i="2"/>
  <c r="I692" i="2"/>
  <c r="H692" i="2"/>
  <c r="G692" i="2"/>
  <c r="F692" i="2"/>
  <c r="E689" i="2"/>
  <c r="D699" i="2"/>
  <c r="E697" i="2"/>
  <c r="D707" i="2"/>
  <c r="M679" i="2"/>
  <c r="L679" i="2"/>
  <c r="K679" i="2"/>
  <c r="J679" i="2"/>
  <c r="I679" i="2"/>
  <c r="G679" i="2"/>
  <c r="F679" i="2"/>
  <c r="H679" i="2"/>
  <c r="E706" i="2"/>
  <c r="M687" i="2"/>
  <c r="L687" i="2"/>
  <c r="K687" i="2"/>
  <c r="J687" i="2"/>
  <c r="I687" i="2"/>
  <c r="H687" i="2"/>
  <c r="G687" i="2"/>
  <c r="F687" i="2"/>
  <c r="E710" i="2"/>
  <c r="D720" i="2"/>
  <c r="E708" i="2"/>
  <c r="D718" i="2"/>
  <c r="E702" i="2"/>
  <c r="D712" i="2"/>
  <c r="K700" i="2"/>
  <c r="J700" i="2"/>
  <c r="I700" i="2"/>
  <c r="H700" i="2"/>
  <c r="G700" i="2"/>
  <c r="F700" i="2"/>
  <c r="M700" i="2"/>
  <c r="L700" i="2"/>
  <c r="M698" i="2"/>
  <c r="L698" i="2"/>
  <c r="K698" i="2"/>
  <c r="J698" i="2"/>
  <c r="I698" i="2"/>
  <c r="H698" i="2"/>
  <c r="G698" i="2"/>
  <c r="F698" i="2"/>
  <c r="O702" i="2"/>
  <c r="O693" i="2"/>
  <c r="O710" i="2"/>
  <c r="O689" i="2"/>
  <c r="O708" i="2"/>
  <c r="O697" i="2"/>
  <c r="O694" i="2"/>
  <c r="O691" i="2"/>
  <c r="M689" i="2" l="1"/>
  <c r="L689" i="2"/>
  <c r="K689" i="2"/>
  <c r="I689" i="2"/>
  <c r="H689" i="2"/>
  <c r="G689" i="2"/>
  <c r="J689" i="2"/>
  <c r="F689" i="2"/>
  <c r="E701" i="2"/>
  <c r="D711" i="2"/>
  <c r="M710" i="2"/>
  <c r="L710" i="2"/>
  <c r="K710" i="2"/>
  <c r="J710" i="2"/>
  <c r="I710" i="2"/>
  <c r="H710" i="2"/>
  <c r="G710" i="2"/>
  <c r="F710" i="2"/>
  <c r="M691" i="2"/>
  <c r="L691" i="2"/>
  <c r="K691" i="2"/>
  <c r="J691" i="2"/>
  <c r="I691" i="2"/>
  <c r="H691" i="2"/>
  <c r="G691" i="2"/>
  <c r="F691" i="2"/>
  <c r="D709" i="2"/>
  <c r="E699" i="2"/>
  <c r="E712" i="2"/>
  <c r="D722" i="2"/>
  <c r="G702" i="2"/>
  <c r="F702" i="2"/>
  <c r="M702" i="2"/>
  <c r="L702" i="2"/>
  <c r="J702" i="2"/>
  <c r="K702" i="2"/>
  <c r="I702" i="2"/>
  <c r="H702" i="2"/>
  <c r="E718" i="2"/>
  <c r="D728" i="2"/>
  <c r="M708" i="2"/>
  <c r="L708" i="2"/>
  <c r="K708" i="2"/>
  <c r="J708" i="2"/>
  <c r="I708" i="2"/>
  <c r="H708" i="2"/>
  <c r="G708" i="2"/>
  <c r="F708" i="2"/>
  <c r="E707" i="2"/>
  <c r="D717" i="2"/>
  <c r="D714" i="2"/>
  <c r="E704" i="2"/>
  <c r="E703" i="2"/>
  <c r="D713" i="2"/>
  <c r="E720" i="2"/>
  <c r="D730" i="2"/>
  <c r="G697" i="2"/>
  <c r="F697" i="2"/>
  <c r="E716" i="2"/>
  <c r="M697" i="2"/>
  <c r="L697" i="2"/>
  <c r="K697" i="2"/>
  <c r="J697" i="2"/>
  <c r="I697" i="2"/>
  <c r="H697" i="2"/>
  <c r="M694" i="2"/>
  <c r="L694" i="2"/>
  <c r="K694" i="2"/>
  <c r="J694" i="2"/>
  <c r="I694" i="2"/>
  <c r="H694" i="2"/>
  <c r="G694" i="2"/>
  <c r="F694" i="2"/>
  <c r="M693" i="2"/>
  <c r="L693" i="2"/>
  <c r="K693" i="2"/>
  <c r="J693" i="2"/>
  <c r="I693" i="2"/>
  <c r="H693" i="2"/>
  <c r="G693" i="2"/>
  <c r="F693" i="2"/>
  <c r="O704" i="2"/>
  <c r="O720" i="2"/>
  <c r="O703" i="2"/>
  <c r="O707" i="2"/>
  <c r="O712" i="2"/>
  <c r="O701" i="2"/>
  <c r="O718" i="2"/>
  <c r="O699" i="2"/>
  <c r="M718" i="2" l="1"/>
  <c r="L718" i="2"/>
  <c r="K718" i="2"/>
  <c r="J718" i="2"/>
  <c r="I718" i="2"/>
  <c r="H718" i="2"/>
  <c r="G718" i="2"/>
  <c r="F718" i="2"/>
  <c r="E730" i="2"/>
  <c r="D740" i="2"/>
  <c r="M720" i="2"/>
  <c r="L720" i="2"/>
  <c r="K720" i="2"/>
  <c r="J720" i="2"/>
  <c r="I720" i="2"/>
  <c r="H720" i="2"/>
  <c r="G720" i="2"/>
  <c r="F720" i="2"/>
  <c r="E713" i="2"/>
  <c r="D723" i="2"/>
  <c r="M703" i="2"/>
  <c r="L703" i="2"/>
  <c r="K703" i="2"/>
  <c r="J703" i="2"/>
  <c r="I703" i="2"/>
  <c r="H703" i="2"/>
  <c r="G703" i="2"/>
  <c r="F703" i="2"/>
  <c r="M704" i="2"/>
  <c r="L704" i="2"/>
  <c r="K704" i="2"/>
  <c r="J704" i="2"/>
  <c r="I704" i="2"/>
  <c r="H704" i="2"/>
  <c r="F704" i="2"/>
  <c r="G704" i="2"/>
  <c r="E714" i="2"/>
  <c r="D724" i="2"/>
  <c r="E717" i="2"/>
  <c r="D727" i="2"/>
  <c r="E722" i="2"/>
  <c r="D732" i="2"/>
  <c r="E711" i="2"/>
  <c r="D721" i="2"/>
  <c r="I707" i="2"/>
  <c r="H707" i="2"/>
  <c r="G707" i="2"/>
  <c r="F707" i="2"/>
  <c r="E726" i="2"/>
  <c r="L707" i="2"/>
  <c r="M707" i="2"/>
  <c r="K707" i="2"/>
  <c r="J707" i="2"/>
  <c r="I712" i="2"/>
  <c r="H712" i="2"/>
  <c r="G712" i="2"/>
  <c r="F712" i="2"/>
  <c r="L712" i="2"/>
  <c r="M712" i="2"/>
  <c r="K712" i="2"/>
  <c r="J712" i="2"/>
  <c r="M701" i="2"/>
  <c r="L701" i="2"/>
  <c r="K701" i="2"/>
  <c r="J701" i="2"/>
  <c r="I701" i="2"/>
  <c r="H701" i="2"/>
  <c r="G701" i="2"/>
  <c r="F701" i="2"/>
  <c r="M699" i="2"/>
  <c r="L699" i="2"/>
  <c r="K699" i="2"/>
  <c r="J699" i="2"/>
  <c r="I699" i="2"/>
  <c r="H699" i="2"/>
  <c r="G699" i="2"/>
  <c r="F699" i="2"/>
  <c r="E709" i="2"/>
  <c r="D719" i="2"/>
  <c r="E728" i="2"/>
  <c r="D738" i="2"/>
  <c r="O728" i="2"/>
  <c r="O714" i="2"/>
  <c r="O711" i="2"/>
  <c r="O709" i="2"/>
  <c r="O713" i="2"/>
  <c r="O717" i="2"/>
  <c r="O722" i="2"/>
  <c r="O730" i="2"/>
  <c r="E719" i="2" l="1"/>
  <c r="D729" i="2"/>
  <c r="K717" i="2"/>
  <c r="J717" i="2"/>
  <c r="I717" i="2"/>
  <c r="H717" i="2"/>
  <c r="G717" i="2"/>
  <c r="F717" i="2"/>
  <c r="E736" i="2"/>
  <c r="M717" i="2"/>
  <c r="L717" i="2"/>
  <c r="M713" i="2"/>
  <c r="L713" i="2"/>
  <c r="K713" i="2"/>
  <c r="J713" i="2"/>
  <c r="I713" i="2"/>
  <c r="H713" i="2"/>
  <c r="G713" i="2"/>
  <c r="F713" i="2"/>
  <c r="M709" i="2"/>
  <c r="L709" i="2"/>
  <c r="K709" i="2"/>
  <c r="J709" i="2"/>
  <c r="H709" i="2"/>
  <c r="I709" i="2"/>
  <c r="G709" i="2"/>
  <c r="F709" i="2"/>
  <c r="E724" i="2"/>
  <c r="D734" i="2"/>
  <c r="M714" i="2"/>
  <c r="L714" i="2"/>
  <c r="K714" i="2"/>
  <c r="J714" i="2"/>
  <c r="H714" i="2"/>
  <c r="G714" i="2"/>
  <c r="F714" i="2"/>
  <c r="I714" i="2"/>
  <c r="E727" i="2"/>
  <c r="D737" i="2"/>
  <c r="M728" i="2"/>
  <c r="L728" i="2"/>
  <c r="K728" i="2"/>
  <c r="J728" i="2"/>
  <c r="I728" i="2"/>
  <c r="H728" i="2"/>
  <c r="G728" i="2"/>
  <c r="F728" i="2"/>
  <c r="E740" i="2"/>
  <c r="D750" i="2"/>
  <c r="M730" i="2"/>
  <c r="L730" i="2"/>
  <c r="K730" i="2"/>
  <c r="J730" i="2"/>
  <c r="I730" i="2"/>
  <c r="H730" i="2"/>
  <c r="G730" i="2"/>
  <c r="F730" i="2"/>
  <c r="E723" i="2"/>
  <c r="D733" i="2"/>
  <c r="D731" i="2"/>
  <c r="E721" i="2"/>
  <c r="M711" i="2"/>
  <c r="L711" i="2"/>
  <c r="K711" i="2"/>
  <c r="J711" i="2"/>
  <c r="I711" i="2"/>
  <c r="H711" i="2"/>
  <c r="G711" i="2"/>
  <c r="F711" i="2"/>
  <c r="E732" i="2"/>
  <c r="D742" i="2"/>
  <c r="E738" i="2"/>
  <c r="D748" i="2"/>
  <c r="K722" i="2"/>
  <c r="J722" i="2"/>
  <c r="I722" i="2"/>
  <c r="H722" i="2"/>
  <c r="G722" i="2"/>
  <c r="F722" i="2"/>
  <c r="M722" i="2"/>
  <c r="L722" i="2"/>
  <c r="O719" i="2"/>
  <c r="O732" i="2"/>
  <c r="O727" i="2"/>
  <c r="O740" i="2"/>
  <c r="O724" i="2"/>
  <c r="O721" i="2"/>
  <c r="O723" i="2"/>
  <c r="O738" i="2"/>
  <c r="E733" i="2" l="1"/>
  <c r="D743" i="2"/>
  <c r="E737" i="2"/>
  <c r="D747" i="2"/>
  <c r="M723" i="2"/>
  <c r="L723" i="2"/>
  <c r="K723" i="2"/>
  <c r="J723" i="2"/>
  <c r="I723" i="2"/>
  <c r="H723" i="2"/>
  <c r="G723" i="2"/>
  <c r="F723" i="2"/>
  <c r="M727" i="2"/>
  <c r="L727" i="2"/>
  <c r="K727" i="2"/>
  <c r="J727" i="2"/>
  <c r="I727" i="2"/>
  <c r="E746" i="2"/>
  <c r="H727" i="2"/>
  <c r="G727" i="2"/>
  <c r="F727" i="2"/>
  <c r="E748" i="2"/>
  <c r="D758" i="2"/>
  <c r="E731" i="2"/>
  <c r="D741" i="2"/>
  <c r="M738" i="2"/>
  <c r="L738" i="2"/>
  <c r="K738" i="2"/>
  <c r="I738" i="2"/>
  <c r="J738" i="2"/>
  <c r="H738" i="2"/>
  <c r="G738" i="2"/>
  <c r="F738" i="2"/>
  <c r="E742" i="2"/>
  <c r="D752" i="2"/>
  <c r="M732" i="2"/>
  <c r="L732" i="2"/>
  <c r="K732" i="2"/>
  <c r="J732" i="2"/>
  <c r="I732" i="2"/>
  <c r="H732" i="2"/>
  <c r="G732" i="2"/>
  <c r="F732" i="2"/>
  <c r="D760" i="2"/>
  <c r="E750" i="2"/>
  <c r="E734" i="2"/>
  <c r="D744" i="2"/>
  <c r="K740" i="2"/>
  <c r="I740" i="2"/>
  <c r="H740" i="2"/>
  <c r="G740" i="2"/>
  <c r="M740" i="2"/>
  <c r="L740" i="2"/>
  <c r="J740" i="2"/>
  <c r="F740" i="2"/>
  <c r="G724" i="2"/>
  <c r="F724" i="2"/>
  <c r="M724" i="2"/>
  <c r="L724" i="2"/>
  <c r="K724" i="2"/>
  <c r="J724" i="2"/>
  <c r="H724" i="2"/>
  <c r="I724" i="2"/>
  <c r="E729" i="2"/>
  <c r="D739" i="2"/>
  <c r="M721" i="2"/>
  <c r="L721" i="2"/>
  <c r="K721" i="2"/>
  <c r="J721" i="2"/>
  <c r="I721" i="2"/>
  <c r="H721" i="2"/>
  <c r="G721" i="2"/>
  <c r="F721" i="2"/>
  <c r="G719" i="2"/>
  <c r="F719" i="2"/>
  <c r="M719" i="2"/>
  <c r="L719" i="2"/>
  <c r="J719" i="2"/>
  <c r="K719" i="2"/>
  <c r="I719" i="2"/>
  <c r="H719" i="2"/>
  <c r="O733" i="2"/>
  <c r="O734" i="2"/>
  <c r="O750" i="2"/>
  <c r="O737" i="2"/>
  <c r="O729" i="2"/>
  <c r="O731" i="2"/>
  <c r="O742" i="2"/>
  <c r="O748" i="2"/>
  <c r="E752" i="2" l="1"/>
  <c r="D762" i="2"/>
  <c r="G742" i="2"/>
  <c r="M742" i="2"/>
  <c r="L742" i="2"/>
  <c r="K742" i="2"/>
  <c r="J742" i="2"/>
  <c r="I742" i="2"/>
  <c r="H742" i="2"/>
  <c r="F742" i="2"/>
  <c r="D754" i="2"/>
  <c r="E744" i="2"/>
  <c r="M734" i="2"/>
  <c r="L734" i="2"/>
  <c r="K734" i="2"/>
  <c r="J734" i="2"/>
  <c r="I734" i="2"/>
  <c r="H734" i="2"/>
  <c r="G734" i="2"/>
  <c r="F734" i="2"/>
  <c r="D749" i="2"/>
  <c r="E739" i="2"/>
  <c r="M750" i="2"/>
  <c r="L750" i="2"/>
  <c r="K750" i="2"/>
  <c r="J750" i="2"/>
  <c r="I750" i="2"/>
  <c r="G750" i="2"/>
  <c r="F750" i="2"/>
  <c r="H750" i="2"/>
  <c r="E741" i="2"/>
  <c r="D751" i="2"/>
  <c r="I729" i="2"/>
  <c r="H729" i="2"/>
  <c r="G729" i="2"/>
  <c r="F729" i="2"/>
  <c r="M729" i="2"/>
  <c r="L729" i="2"/>
  <c r="K729" i="2"/>
  <c r="J729" i="2"/>
  <c r="E760" i="2"/>
  <c r="D770" i="2"/>
  <c r="M731" i="2"/>
  <c r="L731" i="2"/>
  <c r="K731" i="2"/>
  <c r="J731" i="2"/>
  <c r="I731" i="2"/>
  <c r="H731" i="2"/>
  <c r="G731" i="2"/>
  <c r="F731" i="2"/>
  <c r="E747" i="2"/>
  <c r="D757" i="2"/>
  <c r="E758" i="2"/>
  <c r="D768" i="2"/>
  <c r="G737" i="2"/>
  <c r="E756" i="2"/>
  <c r="M737" i="2"/>
  <c r="L737" i="2"/>
  <c r="K737" i="2"/>
  <c r="J737" i="2"/>
  <c r="I737" i="2"/>
  <c r="H737" i="2"/>
  <c r="F737" i="2"/>
  <c r="M748" i="2"/>
  <c r="K748" i="2"/>
  <c r="J748" i="2"/>
  <c r="L748" i="2"/>
  <c r="I748" i="2"/>
  <c r="H748" i="2"/>
  <c r="G748" i="2"/>
  <c r="F748" i="2"/>
  <c r="E743" i="2"/>
  <c r="D753" i="2"/>
  <c r="M733" i="2"/>
  <c r="K733" i="2"/>
  <c r="I733" i="2"/>
  <c r="G733" i="2"/>
  <c r="L733" i="2"/>
  <c r="J733" i="2"/>
  <c r="H733" i="2"/>
  <c r="F733" i="2"/>
  <c r="O747" i="2"/>
  <c r="O741" i="2"/>
  <c r="O758" i="2"/>
  <c r="O739" i="2"/>
  <c r="O752" i="2"/>
  <c r="O760" i="2"/>
  <c r="O744" i="2"/>
  <c r="O743" i="2"/>
  <c r="E768" i="2" l="1"/>
  <c r="D778" i="2"/>
  <c r="E753" i="2"/>
  <c r="D763" i="2"/>
  <c r="M758" i="2"/>
  <c r="L758" i="2"/>
  <c r="K758" i="2"/>
  <c r="J758" i="2"/>
  <c r="I758" i="2"/>
  <c r="H758" i="2"/>
  <c r="G758" i="2"/>
  <c r="F758" i="2"/>
  <c r="M743" i="2"/>
  <c r="L743" i="2"/>
  <c r="K743" i="2"/>
  <c r="I743" i="2"/>
  <c r="H743" i="2"/>
  <c r="G743" i="2"/>
  <c r="F743" i="2"/>
  <c r="J743" i="2"/>
  <c r="E757" i="2"/>
  <c r="D767" i="2"/>
  <c r="E751" i="2"/>
  <c r="D761" i="2"/>
  <c r="M744" i="2"/>
  <c r="L744" i="2"/>
  <c r="K744" i="2"/>
  <c r="J744" i="2"/>
  <c r="I744" i="2"/>
  <c r="H744" i="2"/>
  <c r="G744" i="2"/>
  <c r="F744" i="2"/>
  <c r="I747" i="2"/>
  <c r="H747" i="2"/>
  <c r="G747" i="2"/>
  <c r="F747" i="2"/>
  <c r="M747" i="2"/>
  <c r="L747" i="2"/>
  <c r="K747" i="2"/>
  <c r="E766" i="2"/>
  <c r="J747" i="2"/>
  <c r="M741" i="2"/>
  <c r="G741" i="2"/>
  <c r="F741" i="2"/>
  <c r="L741" i="2"/>
  <c r="K741" i="2"/>
  <c r="J741" i="2"/>
  <c r="I741" i="2"/>
  <c r="H741" i="2"/>
  <c r="E754" i="2"/>
  <c r="D764" i="2"/>
  <c r="E770" i="2"/>
  <c r="D780" i="2"/>
  <c r="F739" i="2"/>
  <c r="M739" i="2"/>
  <c r="L739" i="2"/>
  <c r="K739" i="2"/>
  <c r="J739" i="2"/>
  <c r="I739" i="2"/>
  <c r="H739" i="2"/>
  <c r="G739" i="2"/>
  <c r="E762" i="2"/>
  <c r="D772" i="2"/>
  <c r="M760" i="2"/>
  <c r="L760" i="2"/>
  <c r="K760" i="2"/>
  <c r="J760" i="2"/>
  <c r="I760" i="2"/>
  <c r="H760" i="2"/>
  <c r="G760" i="2"/>
  <c r="F760" i="2"/>
  <c r="E749" i="2"/>
  <c r="D759" i="2"/>
  <c r="J752" i="2"/>
  <c r="I752" i="2"/>
  <c r="H752" i="2"/>
  <c r="G752" i="2"/>
  <c r="F752" i="2"/>
  <c r="M752" i="2"/>
  <c r="L752" i="2"/>
  <c r="K752" i="2"/>
  <c r="O757" i="2"/>
  <c r="O754" i="2"/>
  <c r="O768" i="2"/>
  <c r="O753" i="2"/>
  <c r="O751" i="2"/>
  <c r="O762" i="2"/>
  <c r="O749" i="2"/>
  <c r="O770" i="2"/>
  <c r="E759" i="2" l="1"/>
  <c r="D769" i="2"/>
  <c r="E780" i="2"/>
  <c r="D790" i="2"/>
  <c r="M749" i="2"/>
  <c r="L749" i="2"/>
  <c r="K749" i="2"/>
  <c r="J749" i="2"/>
  <c r="I749" i="2"/>
  <c r="H749" i="2"/>
  <c r="G749" i="2"/>
  <c r="F749" i="2"/>
  <c r="M770" i="2"/>
  <c r="L770" i="2"/>
  <c r="K770" i="2"/>
  <c r="J770" i="2"/>
  <c r="H770" i="2"/>
  <c r="F770" i="2"/>
  <c r="I770" i="2"/>
  <c r="G770" i="2"/>
  <c r="E764" i="2"/>
  <c r="D774" i="2"/>
  <c r="F754" i="2"/>
  <c r="M754" i="2"/>
  <c r="L754" i="2"/>
  <c r="K754" i="2"/>
  <c r="J754" i="2"/>
  <c r="I754" i="2"/>
  <c r="H754" i="2"/>
  <c r="G754" i="2"/>
  <c r="D771" i="2"/>
  <c r="E761" i="2"/>
  <c r="D773" i="2"/>
  <c r="E763" i="2"/>
  <c r="E772" i="2"/>
  <c r="D782" i="2"/>
  <c r="M751" i="2"/>
  <c r="L751" i="2"/>
  <c r="K751" i="2"/>
  <c r="J751" i="2"/>
  <c r="I751" i="2"/>
  <c r="H751" i="2"/>
  <c r="G751" i="2"/>
  <c r="F751" i="2"/>
  <c r="M753" i="2"/>
  <c r="K753" i="2"/>
  <c r="J753" i="2"/>
  <c r="L753" i="2"/>
  <c r="I753" i="2"/>
  <c r="H753" i="2"/>
  <c r="G753" i="2"/>
  <c r="F753" i="2"/>
  <c r="L762" i="2"/>
  <c r="K762" i="2"/>
  <c r="J762" i="2"/>
  <c r="I762" i="2"/>
  <c r="H762" i="2"/>
  <c r="G762" i="2"/>
  <c r="F762" i="2"/>
  <c r="M762" i="2"/>
  <c r="E767" i="2"/>
  <c r="D777" i="2"/>
  <c r="D788" i="2"/>
  <c r="E778" i="2"/>
  <c r="L757" i="2"/>
  <c r="K757" i="2"/>
  <c r="J757" i="2"/>
  <c r="I757" i="2"/>
  <c r="H757" i="2"/>
  <c r="G757" i="2"/>
  <c r="E776" i="2"/>
  <c r="M757" i="2"/>
  <c r="F757" i="2"/>
  <c r="L768" i="2"/>
  <c r="M768" i="2"/>
  <c r="K768" i="2"/>
  <c r="J768" i="2"/>
  <c r="I768" i="2"/>
  <c r="H768" i="2"/>
  <c r="G768" i="2"/>
  <c r="F768" i="2"/>
  <c r="O761" i="2"/>
  <c r="O772" i="2"/>
  <c r="O767" i="2"/>
  <c r="O778" i="2"/>
  <c r="O764" i="2"/>
  <c r="O780" i="2"/>
  <c r="O763" i="2"/>
  <c r="O759" i="2"/>
  <c r="E782" i="2" l="1"/>
  <c r="D792" i="2"/>
  <c r="M772" i="2"/>
  <c r="L772" i="2"/>
  <c r="K772" i="2"/>
  <c r="J772" i="2"/>
  <c r="I772" i="2"/>
  <c r="H772" i="2"/>
  <c r="G772" i="2"/>
  <c r="F772" i="2"/>
  <c r="M763" i="2"/>
  <c r="L763" i="2"/>
  <c r="K763" i="2"/>
  <c r="J763" i="2"/>
  <c r="I763" i="2"/>
  <c r="H763" i="2"/>
  <c r="G763" i="2"/>
  <c r="F763" i="2"/>
  <c r="E773" i="2"/>
  <c r="D783" i="2"/>
  <c r="M761" i="2"/>
  <c r="L761" i="2"/>
  <c r="K761" i="2"/>
  <c r="J761" i="2"/>
  <c r="I761" i="2"/>
  <c r="H761" i="2"/>
  <c r="G761" i="2"/>
  <c r="F761" i="2"/>
  <c r="E771" i="2"/>
  <c r="D781" i="2"/>
  <c r="H778" i="2"/>
  <c r="G778" i="2"/>
  <c r="F778" i="2"/>
  <c r="M778" i="2"/>
  <c r="L778" i="2"/>
  <c r="K778" i="2"/>
  <c r="J778" i="2"/>
  <c r="I778" i="2"/>
  <c r="E790" i="2"/>
  <c r="D800" i="2"/>
  <c r="E788" i="2"/>
  <c r="D798" i="2"/>
  <c r="M780" i="2"/>
  <c r="L780" i="2"/>
  <c r="K780" i="2"/>
  <c r="J780" i="2"/>
  <c r="I780" i="2"/>
  <c r="H780" i="2"/>
  <c r="G780" i="2"/>
  <c r="F780" i="2"/>
  <c r="E777" i="2"/>
  <c r="D787" i="2"/>
  <c r="E774" i="2"/>
  <c r="D784" i="2"/>
  <c r="E769" i="2"/>
  <c r="D779" i="2"/>
  <c r="M767" i="2"/>
  <c r="L767" i="2"/>
  <c r="K767" i="2"/>
  <c r="J767" i="2"/>
  <c r="I767" i="2"/>
  <c r="H767" i="2"/>
  <c r="G767" i="2"/>
  <c r="F767" i="2"/>
  <c r="E786" i="2"/>
  <c r="H764" i="2"/>
  <c r="G764" i="2"/>
  <c r="F764" i="2"/>
  <c r="M764" i="2"/>
  <c r="L764" i="2"/>
  <c r="K764" i="2"/>
  <c r="J764" i="2"/>
  <c r="I764" i="2"/>
  <c r="H759" i="2"/>
  <c r="G759" i="2"/>
  <c r="F759" i="2"/>
  <c r="M759" i="2"/>
  <c r="L759" i="2"/>
  <c r="K759" i="2"/>
  <c r="J759" i="2"/>
  <c r="I759" i="2"/>
  <c r="O777" i="2"/>
  <c r="O774" i="2"/>
  <c r="O782" i="2"/>
  <c r="O771" i="2"/>
  <c r="O769" i="2"/>
  <c r="O790" i="2"/>
  <c r="O773" i="2"/>
  <c r="O788" i="2"/>
  <c r="M790" i="2" l="1"/>
  <c r="L790" i="2"/>
  <c r="K790" i="2"/>
  <c r="I790" i="2"/>
  <c r="G790" i="2"/>
  <c r="J790" i="2"/>
  <c r="H790" i="2"/>
  <c r="F790" i="2"/>
  <c r="L773" i="2"/>
  <c r="H773" i="2"/>
  <c r="G773" i="2"/>
  <c r="F773" i="2"/>
  <c r="M773" i="2"/>
  <c r="K773" i="2"/>
  <c r="J773" i="2"/>
  <c r="I773" i="2"/>
  <c r="E779" i="2"/>
  <c r="D789" i="2"/>
  <c r="J769" i="2"/>
  <c r="I769" i="2"/>
  <c r="H769" i="2"/>
  <c r="G769" i="2"/>
  <c r="F769" i="2"/>
  <c r="M769" i="2"/>
  <c r="L769" i="2"/>
  <c r="K769" i="2"/>
  <c r="E784" i="2"/>
  <c r="D794" i="2"/>
  <c r="D793" i="2"/>
  <c r="E783" i="2"/>
  <c r="J774" i="2"/>
  <c r="I774" i="2"/>
  <c r="H774" i="2"/>
  <c r="G774" i="2"/>
  <c r="F774" i="2"/>
  <c r="M774" i="2"/>
  <c r="L774" i="2"/>
  <c r="K774" i="2"/>
  <c r="E787" i="2"/>
  <c r="D797" i="2"/>
  <c r="M777" i="2"/>
  <c r="L777" i="2"/>
  <c r="K777" i="2"/>
  <c r="J777" i="2"/>
  <c r="I777" i="2"/>
  <c r="H777" i="2"/>
  <c r="F777" i="2"/>
  <c r="G777" i="2"/>
  <c r="E796" i="2"/>
  <c r="E781" i="2"/>
  <c r="D791" i="2"/>
  <c r="F771" i="2"/>
  <c r="M771" i="2"/>
  <c r="L771" i="2"/>
  <c r="K771" i="2"/>
  <c r="J771" i="2"/>
  <c r="I771" i="2"/>
  <c r="H771" i="2"/>
  <c r="G771" i="2"/>
  <c r="D810" i="2"/>
  <c r="E800" i="2"/>
  <c r="E798" i="2"/>
  <c r="D808" i="2"/>
  <c r="E792" i="2"/>
  <c r="D802" i="2"/>
  <c r="F788" i="2"/>
  <c r="M788" i="2"/>
  <c r="I788" i="2"/>
  <c r="L788" i="2"/>
  <c r="K788" i="2"/>
  <c r="J788" i="2"/>
  <c r="H788" i="2"/>
  <c r="G788" i="2"/>
  <c r="M782" i="2"/>
  <c r="L782" i="2"/>
  <c r="K782" i="2"/>
  <c r="J782" i="2"/>
  <c r="I782" i="2"/>
  <c r="H782" i="2"/>
  <c r="G782" i="2"/>
  <c r="F782" i="2"/>
  <c r="O784" i="2"/>
  <c r="O787" i="2"/>
  <c r="O792" i="2"/>
  <c r="O800" i="2"/>
  <c r="O783" i="2"/>
  <c r="O779" i="2"/>
  <c r="O798" i="2"/>
  <c r="O781" i="2"/>
  <c r="E806" i="2" l="1"/>
  <c r="M787" i="2"/>
  <c r="L787" i="2"/>
  <c r="K787" i="2"/>
  <c r="J787" i="2"/>
  <c r="I787" i="2"/>
  <c r="H787" i="2"/>
  <c r="G787" i="2"/>
  <c r="F787" i="2"/>
  <c r="E789" i="2"/>
  <c r="D799" i="2"/>
  <c r="L779" i="2"/>
  <c r="K779" i="2"/>
  <c r="J779" i="2"/>
  <c r="I779" i="2"/>
  <c r="H779" i="2"/>
  <c r="G779" i="2"/>
  <c r="F779" i="2"/>
  <c r="M779" i="2"/>
  <c r="E797" i="2"/>
  <c r="D807" i="2"/>
  <c r="E791" i="2"/>
  <c r="D801" i="2"/>
  <c r="H781" i="2"/>
  <c r="G781" i="2"/>
  <c r="F781" i="2"/>
  <c r="M781" i="2"/>
  <c r="L781" i="2"/>
  <c r="K781" i="2"/>
  <c r="J781" i="2"/>
  <c r="I781" i="2"/>
  <c r="M783" i="2"/>
  <c r="K783" i="2"/>
  <c r="L783" i="2"/>
  <c r="J783" i="2"/>
  <c r="I783" i="2"/>
  <c r="H783" i="2"/>
  <c r="G783" i="2"/>
  <c r="F783" i="2"/>
  <c r="E810" i="2"/>
  <c r="D820" i="2"/>
  <c r="E793" i="2"/>
  <c r="D803" i="2"/>
  <c r="E794" i="2"/>
  <c r="D804" i="2"/>
  <c r="L784" i="2"/>
  <c r="K784" i="2"/>
  <c r="J784" i="2"/>
  <c r="I784" i="2"/>
  <c r="H784" i="2"/>
  <c r="G784" i="2"/>
  <c r="F784" i="2"/>
  <c r="M784" i="2"/>
  <c r="E802" i="2"/>
  <c r="D812" i="2"/>
  <c r="M792" i="2"/>
  <c r="L792" i="2"/>
  <c r="K792" i="2"/>
  <c r="J792" i="2"/>
  <c r="I792" i="2"/>
  <c r="H792" i="2"/>
  <c r="G792" i="2"/>
  <c r="F792" i="2"/>
  <c r="E808" i="2"/>
  <c r="D818" i="2"/>
  <c r="H798" i="2"/>
  <c r="G798" i="2"/>
  <c r="F798" i="2"/>
  <c r="M798" i="2"/>
  <c r="K798" i="2"/>
  <c r="L798" i="2"/>
  <c r="J798" i="2"/>
  <c r="I798" i="2"/>
  <c r="M800" i="2"/>
  <c r="L800" i="2"/>
  <c r="K800" i="2"/>
  <c r="I800" i="2"/>
  <c r="G800" i="2"/>
  <c r="J800" i="2"/>
  <c r="H800" i="2"/>
  <c r="F800" i="2"/>
  <c r="O791" i="2"/>
  <c r="O808" i="2"/>
  <c r="O802" i="2"/>
  <c r="O789" i="2"/>
  <c r="O797" i="2"/>
  <c r="O794" i="2"/>
  <c r="O793" i="2"/>
  <c r="O810" i="2"/>
  <c r="E812" i="2" l="1"/>
  <c r="D822" i="2"/>
  <c r="F810" i="2"/>
  <c r="M810" i="2"/>
  <c r="L810" i="2"/>
  <c r="K810" i="2"/>
  <c r="I810" i="2"/>
  <c r="G810" i="2"/>
  <c r="J810" i="2"/>
  <c r="H810" i="2"/>
  <c r="M802" i="2"/>
  <c r="L802" i="2"/>
  <c r="K802" i="2"/>
  <c r="J802" i="2"/>
  <c r="I802" i="2"/>
  <c r="H802" i="2"/>
  <c r="G802" i="2"/>
  <c r="F802" i="2"/>
  <c r="E799" i="2"/>
  <c r="D809" i="2"/>
  <c r="M789" i="2"/>
  <c r="L789" i="2"/>
  <c r="K789" i="2"/>
  <c r="J789" i="2"/>
  <c r="I789" i="2"/>
  <c r="H789" i="2"/>
  <c r="G789" i="2"/>
  <c r="F789" i="2"/>
  <c r="E818" i="2"/>
  <c r="D828" i="2"/>
  <c r="E804" i="2"/>
  <c r="D814" i="2"/>
  <c r="J808" i="2"/>
  <c r="I808" i="2"/>
  <c r="H808" i="2"/>
  <c r="G808" i="2"/>
  <c r="F808" i="2"/>
  <c r="M808" i="2"/>
  <c r="L808" i="2"/>
  <c r="K808" i="2"/>
  <c r="M794" i="2"/>
  <c r="L794" i="2"/>
  <c r="K794" i="2"/>
  <c r="J794" i="2"/>
  <c r="I794" i="2"/>
  <c r="H794" i="2"/>
  <c r="G794" i="2"/>
  <c r="F794" i="2"/>
  <c r="E803" i="2"/>
  <c r="D813" i="2"/>
  <c r="E801" i="2"/>
  <c r="D811" i="2"/>
  <c r="E816" i="2"/>
  <c r="M797" i="2"/>
  <c r="L797" i="2"/>
  <c r="K797" i="2"/>
  <c r="J797" i="2"/>
  <c r="I797" i="2"/>
  <c r="G797" i="2"/>
  <c r="H797" i="2"/>
  <c r="F797" i="2"/>
  <c r="F793" i="2"/>
  <c r="M793" i="2"/>
  <c r="K793" i="2"/>
  <c r="I793" i="2"/>
  <c r="G793" i="2"/>
  <c r="L793" i="2"/>
  <c r="J793" i="2"/>
  <c r="H793" i="2"/>
  <c r="J791" i="2"/>
  <c r="I791" i="2"/>
  <c r="H791" i="2"/>
  <c r="G791" i="2"/>
  <c r="F791" i="2"/>
  <c r="M791" i="2"/>
  <c r="L791" i="2"/>
  <c r="K791" i="2"/>
  <c r="E820" i="2"/>
  <c r="D830" i="2"/>
  <c r="E807" i="2"/>
  <c r="D817" i="2"/>
  <c r="O804" i="2"/>
  <c r="O807" i="2"/>
  <c r="O812" i="2"/>
  <c r="O820" i="2"/>
  <c r="O799" i="2"/>
  <c r="O801" i="2"/>
  <c r="O803" i="2"/>
  <c r="O818" i="2"/>
  <c r="E830" i="2" l="1"/>
  <c r="D840" i="2"/>
  <c r="M799" i="2"/>
  <c r="L799" i="2"/>
  <c r="K799" i="2"/>
  <c r="J799" i="2"/>
  <c r="I799" i="2"/>
  <c r="H799" i="2"/>
  <c r="G799" i="2"/>
  <c r="F799" i="2"/>
  <c r="H820" i="2"/>
  <c r="G820" i="2"/>
  <c r="F820" i="2"/>
  <c r="M820" i="2"/>
  <c r="K820" i="2"/>
  <c r="L820" i="2"/>
  <c r="J820" i="2"/>
  <c r="I820" i="2"/>
  <c r="E811" i="2"/>
  <c r="D821" i="2"/>
  <c r="E814" i="2"/>
  <c r="D824" i="2"/>
  <c r="L801" i="2"/>
  <c r="K801" i="2"/>
  <c r="J801" i="2"/>
  <c r="I801" i="2"/>
  <c r="H801" i="2"/>
  <c r="G801" i="2"/>
  <c r="F801" i="2"/>
  <c r="M801" i="2"/>
  <c r="M804" i="2"/>
  <c r="L804" i="2"/>
  <c r="K804" i="2"/>
  <c r="J804" i="2"/>
  <c r="I804" i="2"/>
  <c r="H804" i="2"/>
  <c r="G804" i="2"/>
  <c r="F804" i="2"/>
  <c r="E813" i="2"/>
  <c r="D823" i="2"/>
  <c r="E828" i="2"/>
  <c r="D838" i="2"/>
  <c r="H803" i="2"/>
  <c r="G803" i="2"/>
  <c r="F803" i="2"/>
  <c r="M803" i="2"/>
  <c r="K803" i="2"/>
  <c r="L803" i="2"/>
  <c r="J803" i="2"/>
  <c r="I803" i="2"/>
  <c r="L818" i="2"/>
  <c r="K818" i="2"/>
  <c r="J818" i="2"/>
  <c r="I818" i="2"/>
  <c r="H818" i="2"/>
  <c r="G818" i="2"/>
  <c r="F818" i="2"/>
  <c r="M818" i="2"/>
  <c r="E809" i="2"/>
  <c r="D819" i="2"/>
  <c r="E826" i="2"/>
  <c r="M807" i="2"/>
  <c r="L807" i="2"/>
  <c r="K807" i="2"/>
  <c r="J807" i="2"/>
  <c r="I807" i="2"/>
  <c r="H807" i="2"/>
  <c r="G807" i="2"/>
  <c r="F807" i="2"/>
  <c r="D832" i="2"/>
  <c r="E822" i="2"/>
  <c r="D827" i="2"/>
  <c r="E817" i="2"/>
  <c r="M812" i="2"/>
  <c r="L812" i="2"/>
  <c r="K812" i="2"/>
  <c r="J812" i="2"/>
  <c r="I812" i="2"/>
  <c r="H812" i="2"/>
  <c r="G812" i="2"/>
  <c r="F812" i="2"/>
  <c r="O811" i="2"/>
  <c r="O813" i="2"/>
  <c r="O814" i="2"/>
  <c r="O828" i="2"/>
  <c r="O822" i="2"/>
  <c r="O809" i="2"/>
  <c r="O817" i="2"/>
  <c r="O830" i="2"/>
  <c r="M809" i="2" l="1"/>
  <c r="L809" i="2"/>
  <c r="K809" i="2"/>
  <c r="J809" i="2"/>
  <c r="I809" i="2"/>
  <c r="H809" i="2"/>
  <c r="G809" i="2"/>
  <c r="F809" i="2"/>
  <c r="J813" i="2"/>
  <c r="I813" i="2"/>
  <c r="H813" i="2"/>
  <c r="G813" i="2"/>
  <c r="F813" i="2"/>
  <c r="M813" i="2"/>
  <c r="L813" i="2"/>
  <c r="K813" i="2"/>
  <c r="M811" i="2"/>
  <c r="L811" i="2"/>
  <c r="K811" i="2"/>
  <c r="J811" i="2"/>
  <c r="I811" i="2"/>
  <c r="H811" i="2"/>
  <c r="G811" i="2"/>
  <c r="F811" i="2"/>
  <c r="E823" i="2"/>
  <c r="D833" i="2"/>
  <c r="E836" i="2"/>
  <c r="M817" i="2"/>
  <c r="L817" i="2"/>
  <c r="K817" i="2"/>
  <c r="J817" i="2"/>
  <c r="I817" i="2"/>
  <c r="G817" i="2"/>
  <c r="H817" i="2"/>
  <c r="F817" i="2"/>
  <c r="E819" i="2"/>
  <c r="D829" i="2"/>
  <c r="E827" i="2"/>
  <c r="D837" i="2"/>
  <c r="M822" i="2"/>
  <c r="L822" i="2"/>
  <c r="K822" i="2"/>
  <c r="J822" i="2"/>
  <c r="I822" i="2"/>
  <c r="G822" i="2"/>
  <c r="H822" i="2"/>
  <c r="F822" i="2"/>
  <c r="E832" i="2"/>
  <c r="D842" i="2"/>
  <c r="E821" i="2"/>
  <c r="D831" i="2"/>
  <c r="E838" i="2"/>
  <c r="D848" i="2"/>
  <c r="E824" i="2"/>
  <c r="D834" i="2"/>
  <c r="E840" i="2"/>
  <c r="D850" i="2"/>
  <c r="M828" i="2"/>
  <c r="L828" i="2"/>
  <c r="K828" i="2"/>
  <c r="J828" i="2"/>
  <c r="I828" i="2"/>
  <c r="H828" i="2"/>
  <c r="G828" i="2"/>
  <c r="F828" i="2"/>
  <c r="M814" i="2"/>
  <c r="L814" i="2"/>
  <c r="K814" i="2"/>
  <c r="J814" i="2"/>
  <c r="I814" i="2"/>
  <c r="H814" i="2"/>
  <c r="G814" i="2"/>
  <c r="F814" i="2"/>
  <c r="J830" i="2"/>
  <c r="I830" i="2"/>
  <c r="H830" i="2"/>
  <c r="G830" i="2"/>
  <c r="F830" i="2"/>
  <c r="M830" i="2"/>
  <c r="L830" i="2"/>
  <c r="K830" i="2"/>
  <c r="O823" i="2"/>
  <c r="O840" i="2"/>
  <c r="O827" i="2"/>
  <c r="O821" i="2"/>
  <c r="O824" i="2"/>
  <c r="O832" i="2"/>
  <c r="O838" i="2"/>
  <c r="O819" i="2"/>
  <c r="E837" i="2" l="1"/>
  <c r="D847" i="2"/>
  <c r="F827" i="2"/>
  <c r="E846" i="2"/>
  <c r="M827" i="2"/>
  <c r="L827" i="2"/>
  <c r="K827" i="2"/>
  <c r="I827" i="2"/>
  <c r="J827" i="2"/>
  <c r="H827" i="2"/>
  <c r="G827" i="2"/>
  <c r="E850" i="2"/>
  <c r="D860" i="2"/>
  <c r="E829" i="2"/>
  <c r="D839" i="2"/>
  <c r="L840" i="2"/>
  <c r="K840" i="2"/>
  <c r="J840" i="2"/>
  <c r="I840" i="2"/>
  <c r="H840" i="2"/>
  <c r="G840" i="2"/>
  <c r="F840" i="2"/>
  <c r="M840" i="2"/>
  <c r="M819" i="2"/>
  <c r="L819" i="2"/>
  <c r="K819" i="2"/>
  <c r="J819" i="2"/>
  <c r="I819" i="2"/>
  <c r="H819" i="2"/>
  <c r="G819" i="2"/>
  <c r="F819" i="2"/>
  <c r="E834" i="2"/>
  <c r="D844" i="2"/>
  <c r="M824" i="2"/>
  <c r="L824" i="2"/>
  <c r="K824" i="2"/>
  <c r="J824" i="2"/>
  <c r="I824" i="2"/>
  <c r="H824" i="2"/>
  <c r="G824" i="2"/>
  <c r="F824" i="2"/>
  <c r="E848" i="2"/>
  <c r="D858" i="2"/>
  <c r="M838" i="2"/>
  <c r="L838" i="2"/>
  <c r="K838" i="2"/>
  <c r="J838" i="2"/>
  <c r="I838" i="2"/>
  <c r="H838" i="2"/>
  <c r="G838" i="2"/>
  <c r="F838" i="2"/>
  <c r="E831" i="2"/>
  <c r="D841" i="2"/>
  <c r="M821" i="2"/>
  <c r="L821" i="2"/>
  <c r="K821" i="2"/>
  <c r="J821" i="2"/>
  <c r="I821" i="2"/>
  <c r="H821" i="2"/>
  <c r="G821" i="2"/>
  <c r="F821" i="2"/>
  <c r="E842" i="2"/>
  <c r="D852" i="2"/>
  <c r="F832" i="2"/>
  <c r="M832" i="2"/>
  <c r="L832" i="2"/>
  <c r="K832" i="2"/>
  <c r="J832" i="2"/>
  <c r="I832" i="2"/>
  <c r="H832" i="2"/>
  <c r="G832" i="2"/>
  <c r="E833" i="2"/>
  <c r="D843" i="2"/>
  <c r="L823" i="2"/>
  <c r="K823" i="2"/>
  <c r="J823" i="2"/>
  <c r="I823" i="2"/>
  <c r="H823" i="2"/>
  <c r="G823" i="2"/>
  <c r="F823" i="2"/>
  <c r="M823" i="2"/>
  <c r="O848" i="2"/>
  <c r="O834" i="2"/>
  <c r="O842" i="2"/>
  <c r="O831" i="2"/>
  <c r="O850" i="2"/>
  <c r="O833" i="2"/>
  <c r="O829" i="2"/>
  <c r="O837" i="2"/>
  <c r="D849" i="2" l="1"/>
  <c r="E839" i="2"/>
  <c r="M829" i="2"/>
  <c r="L829" i="2"/>
  <c r="K829" i="2"/>
  <c r="J829" i="2"/>
  <c r="I829" i="2"/>
  <c r="H829" i="2"/>
  <c r="G829" i="2"/>
  <c r="F829" i="2"/>
  <c r="E843" i="2"/>
  <c r="D853" i="2"/>
  <c r="E841" i="2"/>
  <c r="D851" i="2"/>
  <c r="D854" i="2"/>
  <c r="E844" i="2"/>
  <c r="E860" i="2"/>
  <c r="D870" i="2"/>
  <c r="M833" i="2"/>
  <c r="L833" i="2"/>
  <c r="K833" i="2"/>
  <c r="J833" i="2"/>
  <c r="I833" i="2"/>
  <c r="H833" i="2"/>
  <c r="G833" i="2"/>
  <c r="F833" i="2"/>
  <c r="M831" i="2"/>
  <c r="L831" i="2"/>
  <c r="K831" i="2"/>
  <c r="J831" i="2"/>
  <c r="I831" i="2"/>
  <c r="H831" i="2"/>
  <c r="G831" i="2"/>
  <c r="F831" i="2"/>
  <c r="M834" i="2"/>
  <c r="L834" i="2"/>
  <c r="K834" i="2"/>
  <c r="J834" i="2"/>
  <c r="I834" i="2"/>
  <c r="H834" i="2"/>
  <c r="G834" i="2"/>
  <c r="F834" i="2"/>
  <c r="M850" i="2"/>
  <c r="L850" i="2"/>
  <c r="K850" i="2"/>
  <c r="J850" i="2"/>
  <c r="I850" i="2"/>
  <c r="H850" i="2"/>
  <c r="G850" i="2"/>
  <c r="F850" i="2"/>
  <c r="E852" i="2"/>
  <c r="D862" i="2"/>
  <c r="E858" i="2"/>
  <c r="D868" i="2"/>
  <c r="H842" i="2"/>
  <c r="G842" i="2"/>
  <c r="F842" i="2"/>
  <c r="M842" i="2"/>
  <c r="L842" i="2"/>
  <c r="K842" i="2"/>
  <c r="J842" i="2"/>
  <c r="I842" i="2"/>
  <c r="M848" i="2"/>
  <c r="L848" i="2"/>
  <c r="K848" i="2"/>
  <c r="J848" i="2"/>
  <c r="I848" i="2"/>
  <c r="H848" i="2"/>
  <c r="G848" i="2"/>
  <c r="F848" i="2"/>
  <c r="E847" i="2"/>
  <c r="D857" i="2"/>
  <c r="H837" i="2"/>
  <c r="G837" i="2"/>
  <c r="F837" i="2"/>
  <c r="E856" i="2"/>
  <c r="M837" i="2"/>
  <c r="L837" i="2"/>
  <c r="K837" i="2"/>
  <c r="J837" i="2"/>
  <c r="I837" i="2"/>
  <c r="O843" i="2"/>
  <c r="O852" i="2"/>
  <c r="O860" i="2"/>
  <c r="O844" i="2"/>
  <c r="O841" i="2"/>
  <c r="O847" i="2"/>
  <c r="O858" i="2"/>
  <c r="O839" i="2"/>
  <c r="E870" i="2" l="1"/>
  <c r="D880" i="2"/>
  <c r="I860" i="2"/>
  <c r="G860" i="2"/>
  <c r="M860" i="2"/>
  <c r="L860" i="2"/>
  <c r="K860" i="2"/>
  <c r="J860" i="2"/>
  <c r="H860" i="2"/>
  <c r="F860" i="2"/>
  <c r="M844" i="2"/>
  <c r="L844" i="2"/>
  <c r="K844" i="2"/>
  <c r="J844" i="2"/>
  <c r="I844" i="2"/>
  <c r="H844" i="2"/>
  <c r="G844" i="2"/>
  <c r="F844" i="2"/>
  <c r="E854" i="2"/>
  <c r="D864" i="2"/>
  <c r="D878" i="2"/>
  <c r="E868" i="2"/>
  <c r="E851" i="2"/>
  <c r="D861" i="2"/>
  <c r="M858" i="2"/>
  <c r="I858" i="2"/>
  <c r="L858" i="2"/>
  <c r="K858" i="2"/>
  <c r="J858" i="2"/>
  <c r="H858" i="2"/>
  <c r="G858" i="2"/>
  <c r="F858" i="2"/>
  <c r="M841" i="2"/>
  <c r="L841" i="2"/>
  <c r="K841" i="2"/>
  <c r="J841" i="2"/>
  <c r="I841" i="2"/>
  <c r="H841" i="2"/>
  <c r="G841" i="2"/>
  <c r="F841" i="2"/>
  <c r="E857" i="2"/>
  <c r="D867" i="2"/>
  <c r="E862" i="2"/>
  <c r="D872" i="2"/>
  <c r="E853" i="2"/>
  <c r="D863" i="2"/>
  <c r="J847" i="2"/>
  <c r="I847" i="2"/>
  <c r="H847" i="2"/>
  <c r="G847" i="2"/>
  <c r="F847" i="2"/>
  <c r="E866" i="2"/>
  <c r="M847" i="2"/>
  <c r="L847" i="2"/>
  <c r="K847" i="2"/>
  <c r="J852" i="2"/>
  <c r="I852" i="2"/>
  <c r="H852" i="2"/>
  <c r="G852" i="2"/>
  <c r="F852" i="2"/>
  <c r="M852" i="2"/>
  <c r="L852" i="2"/>
  <c r="K852" i="2"/>
  <c r="M843" i="2"/>
  <c r="L843" i="2"/>
  <c r="K843" i="2"/>
  <c r="J843" i="2"/>
  <c r="I843" i="2"/>
  <c r="H843" i="2"/>
  <c r="G843" i="2"/>
  <c r="F843" i="2"/>
  <c r="M839" i="2"/>
  <c r="L839" i="2"/>
  <c r="K839" i="2"/>
  <c r="J839" i="2"/>
  <c r="I839" i="2"/>
  <c r="H839" i="2"/>
  <c r="G839" i="2"/>
  <c r="F839" i="2"/>
  <c r="E849" i="2"/>
  <c r="D859" i="2"/>
  <c r="O849" i="2"/>
  <c r="O853" i="2"/>
  <c r="O851" i="2"/>
  <c r="O854" i="2"/>
  <c r="O862" i="2"/>
  <c r="O870" i="2"/>
  <c r="O857" i="2"/>
  <c r="O868" i="2"/>
  <c r="F854" i="2" l="1"/>
  <c r="M854" i="2"/>
  <c r="L854" i="2"/>
  <c r="K854" i="2"/>
  <c r="J854" i="2"/>
  <c r="I854" i="2"/>
  <c r="H854" i="2"/>
  <c r="G854" i="2"/>
  <c r="E864" i="2"/>
  <c r="D874" i="2"/>
  <c r="F849" i="2"/>
  <c r="M849" i="2"/>
  <c r="L849" i="2"/>
  <c r="K849" i="2"/>
  <c r="J849" i="2"/>
  <c r="I849" i="2"/>
  <c r="H849" i="2"/>
  <c r="G849" i="2"/>
  <c r="E863" i="2"/>
  <c r="D873" i="2"/>
  <c r="M853" i="2"/>
  <c r="L853" i="2"/>
  <c r="K853" i="2"/>
  <c r="J853" i="2"/>
  <c r="I853" i="2"/>
  <c r="H853" i="2"/>
  <c r="G853" i="2"/>
  <c r="F853" i="2"/>
  <c r="E872" i="2"/>
  <c r="D882" i="2"/>
  <c r="E861" i="2"/>
  <c r="D871" i="2"/>
  <c r="M862" i="2"/>
  <c r="L862" i="2"/>
  <c r="K862" i="2"/>
  <c r="J862" i="2"/>
  <c r="I862" i="2"/>
  <c r="H862" i="2"/>
  <c r="G862" i="2"/>
  <c r="F862" i="2"/>
  <c r="M851" i="2"/>
  <c r="L851" i="2"/>
  <c r="K851" i="2"/>
  <c r="J851" i="2"/>
  <c r="I851" i="2"/>
  <c r="H851" i="2"/>
  <c r="G851" i="2"/>
  <c r="F851" i="2"/>
  <c r="E867" i="2"/>
  <c r="D877" i="2"/>
  <c r="M868" i="2"/>
  <c r="K868" i="2"/>
  <c r="J868" i="2"/>
  <c r="I868" i="2"/>
  <c r="H868" i="2"/>
  <c r="G868" i="2"/>
  <c r="L868" i="2"/>
  <c r="F868" i="2"/>
  <c r="E880" i="2"/>
  <c r="D890" i="2"/>
  <c r="E859" i="2"/>
  <c r="D869" i="2"/>
  <c r="E876" i="2"/>
  <c r="L857" i="2"/>
  <c r="K857" i="2"/>
  <c r="J857" i="2"/>
  <c r="I857" i="2"/>
  <c r="H857" i="2"/>
  <c r="G857" i="2"/>
  <c r="F857" i="2"/>
  <c r="M857" i="2"/>
  <c r="E878" i="2"/>
  <c r="D888" i="2"/>
  <c r="K870" i="2"/>
  <c r="I870" i="2"/>
  <c r="G870" i="2"/>
  <c r="F870" i="2"/>
  <c r="M870" i="2"/>
  <c r="L870" i="2"/>
  <c r="J870" i="2"/>
  <c r="H870" i="2"/>
  <c r="O864" i="2"/>
  <c r="O872" i="2"/>
  <c r="O878" i="2"/>
  <c r="O867" i="2"/>
  <c r="O880" i="2"/>
  <c r="O861" i="2"/>
  <c r="O863" i="2"/>
  <c r="O859" i="2"/>
  <c r="M880" i="2" l="1"/>
  <c r="L880" i="2"/>
  <c r="K880" i="2"/>
  <c r="J880" i="2"/>
  <c r="I880" i="2"/>
  <c r="H880" i="2"/>
  <c r="G880" i="2"/>
  <c r="F880" i="2"/>
  <c r="M863" i="2"/>
  <c r="K863" i="2"/>
  <c r="I863" i="2"/>
  <c r="G863" i="2"/>
  <c r="L863" i="2"/>
  <c r="J863" i="2"/>
  <c r="H863" i="2"/>
  <c r="F863" i="2"/>
  <c r="D883" i="2"/>
  <c r="E873" i="2"/>
  <c r="E888" i="2"/>
  <c r="D898" i="2"/>
  <c r="M878" i="2"/>
  <c r="L878" i="2"/>
  <c r="K878" i="2"/>
  <c r="J878" i="2"/>
  <c r="I878" i="2"/>
  <c r="H878" i="2"/>
  <c r="G878" i="2"/>
  <c r="F878" i="2"/>
  <c r="E871" i="2"/>
  <c r="D881" i="2"/>
  <c r="M861" i="2"/>
  <c r="K861" i="2"/>
  <c r="I861" i="2"/>
  <c r="L861" i="2"/>
  <c r="J861" i="2"/>
  <c r="H861" i="2"/>
  <c r="G861" i="2"/>
  <c r="F861" i="2"/>
  <c r="E877" i="2"/>
  <c r="D887" i="2"/>
  <c r="E882" i="2"/>
  <c r="D892" i="2"/>
  <c r="D884" i="2"/>
  <c r="E874" i="2"/>
  <c r="G867" i="2"/>
  <c r="M867" i="2"/>
  <c r="L867" i="2"/>
  <c r="K867" i="2"/>
  <c r="J867" i="2"/>
  <c r="E886" i="2"/>
  <c r="I867" i="2"/>
  <c r="H867" i="2"/>
  <c r="F867" i="2"/>
  <c r="G872" i="2"/>
  <c r="M872" i="2"/>
  <c r="L872" i="2"/>
  <c r="K872" i="2"/>
  <c r="J872" i="2"/>
  <c r="I872" i="2"/>
  <c r="H872" i="2"/>
  <c r="F872" i="2"/>
  <c r="M864" i="2"/>
  <c r="L864" i="2"/>
  <c r="K864" i="2"/>
  <c r="J864" i="2"/>
  <c r="I864" i="2"/>
  <c r="H864" i="2"/>
  <c r="G864" i="2"/>
  <c r="F864" i="2"/>
  <c r="E890" i="2"/>
  <c r="D900" i="2"/>
  <c r="D879" i="2"/>
  <c r="E869" i="2"/>
  <c r="M859" i="2"/>
  <c r="K859" i="2"/>
  <c r="J859" i="2"/>
  <c r="I859" i="2"/>
  <c r="H859" i="2"/>
  <c r="G859" i="2"/>
  <c r="F859" i="2"/>
  <c r="L859" i="2"/>
  <c r="O871" i="2"/>
  <c r="O890" i="2"/>
  <c r="O888" i="2"/>
  <c r="O869" i="2"/>
  <c r="O877" i="2"/>
  <c r="O882" i="2"/>
  <c r="O873" i="2"/>
  <c r="O874" i="2"/>
  <c r="E898" i="2" l="1"/>
  <c r="D908" i="2"/>
  <c r="I877" i="2"/>
  <c r="H877" i="2"/>
  <c r="G877" i="2"/>
  <c r="F877" i="2"/>
  <c r="M877" i="2"/>
  <c r="L877" i="2"/>
  <c r="K877" i="2"/>
  <c r="J877" i="2"/>
  <c r="E896" i="2"/>
  <c r="M888" i="2"/>
  <c r="L888" i="2"/>
  <c r="K888" i="2"/>
  <c r="F888" i="2"/>
  <c r="J888" i="2"/>
  <c r="I888" i="2"/>
  <c r="H888" i="2"/>
  <c r="G888" i="2"/>
  <c r="M873" i="2"/>
  <c r="K873" i="2"/>
  <c r="J873" i="2"/>
  <c r="I873" i="2"/>
  <c r="H873" i="2"/>
  <c r="G873" i="2"/>
  <c r="L873" i="2"/>
  <c r="F873" i="2"/>
  <c r="E883" i="2"/>
  <c r="D893" i="2"/>
  <c r="M869" i="2"/>
  <c r="L869" i="2"/>
  <c r="K869" i="2"/>
  <c r="J869" i="2"/>
  <c r="I869" i="2"/>
  <c r="H869" i="2"/>
  <c r="G869" i="2"/>
  <c r="F869" i="2"/>
  <c r="E879" i="2"/>
  <c r="D889" i="2"/>
  <c r="E900" i="2"/>
  <c r="D910" i="2"/>
  <c r="M890" i="2"/>
  <c r="L890" i="2"/>
  <c r="K890" i="2"/>
  <c r="J890" i="2"/>
  <c r="I890" i="2"/>
  <c r="H890" i="2"/>
  <c r="G890" i="2"/>
  <c r="F890" i="2"/>
  <c r="D891" i="2"/>
  <c r="E881" i="2"/>
  <c r="M871" i="2"/>
  <c r="L871" i="2"/>
  <c r="K871" i="2"/>
  <c r="J871" i="2"/>
  <c r="I871" i="2"/>
  <c r="H871" i="2"/>
  <c r="G871" i="2"/>
  <c r="F871" i="2"/>
  <c r="E887" i="2"/>
  <c r="D897" i="2"/>
  <c r="M874" i="2"/>
  <c r="L874" i="2"/>
  <c r="K874" i="2"/>
  <c r="J874" i="2"/>
  <c r="I874" i="2"/>
  <c r="H874" i="2"/>
  <c r="G874" i="2"/>
  <c r="F874" i="2"/>
  <c r="E884" i="2"/>
  <c r="D894" i="2"/>
  <c r="E892" i="2"/>
  <c r="D902" i="2"/>
  <c r="I882" i="2"/>
  <c r="H882" i="2"/>
  <c r="G882" i="2"/>
  <c r="F882" i="2"/>
  <c r="M882" i="2"/>
  <c r="L882" i="2"/>
  <c r="K882" i="2"/>
  <c r="J882" i="2"/>
  <c r="O883" i="2"/>
  <c r="O884" i="2"/>
  <c r="O879" i="2"/>
  <c r="O881" i="2"/>
  <c r="O898" i="2"/>
  <c r="O887" i="2"/>
  <c r="O892" i="2"/>
  <c r="O900" i="2"/>
  <c r="E889" i="2" l="1"/>
  <c r="D899" i="2"/>
  <c r="M879" i="2"/>
  <c r="L879" i="2"/>
  <c r="K879" i="2"/>
  <c r="J879" i="2"/>
  <c r="I879" i="2"/>
  <c r="H879" i="2"/>
  <c r="G879" i="2"/>
  <c r="F879" i="2"/>
  <c r="K887" i="2"/>
  <c r="J887" i="2"/>
  <c r="I887" i="2"/>
  <c r="H887" i="2"/>
  <c r="G887" i="2"/>
  <c r="F887" i="2"/>
  <c r="M887" i="2"/>
  <c r="L887" i="2"/>
  <c r="E906" i="2"/>
  <c r="E902" i="2"/>
  <c r="D912" i="2"/>
  <c r="K892" i="2"/>
  <c r="J892" i="2"/>
  <c r="I892" i="2"/>
  <c r="H892" i="2"/>
  <c r="G892" i="2"/>
  <c r="F892" i="2"/>
  <c r="M892" i="2"/>
  <c r="L892" i="2"/>
  <c r="E894" i="2"/>
  <c r="D904" i="2"/>
  <c r="M881" i="2"/>
  <c r="L881" i="2"/>
  <c r="K881" i="2"/>
  <c r="J881" i="2"/>
  <c r="I881" i="2"/>
  <c r="H881" i="2"/>
  <c r="G881" i="2"/>
  <c r="F881" i="2"/>
  <c r="M884" i="2"/>
  <c r="L884" i="2"/>
  <c r="K884" i="2"/>
  <c r="J884" i="2"/>
  <c r="I884" i="2"/>
  <c r="H884" i="2"/>
  <c r="G884" i="2"/>
  <c r="F884" i="2"/>
  <c r="D901" i="2"/>
  <c r="E891" i="2"/>
  <c r="E893" i="2"/>
  <c r="D903" i="2"/>
  <c r="M900" i="2"/>
  <c r="L900" i="2"/>
  <c r="K900" i="2"/>
  <c r="J900" i="2"/>
  <c r="I900" i="2"/>
  <c r="G900" i="2"/>
  <c r="H900" i="2"/>
  <c r="F900" i="2"/>
  <c r="M883" i="2"/>
  <c r="L883" i="2"/>
  <c r="K883" i="2"/>
  <c r="J883" i="2"/>
  <c r="I883" i="2"/>
  <c r="G883" i="2"/>
  <c r="F883" i="2"/>
  <c r="H883" i="2"/>
  <c r="D918" i="2"/>
  <c r="E908" i="2"/>
  <c r="E897" i="2"/>
  <c r="D907" i="2"/>
  <c r="D920" i="2"/>
  <c r="E910" i="2"/>
  <c r="M898" i="2"/>
  <c r="K898" i="2"/>
  <c r="J898" i="2"/>
  <c r="I898" i="2"/>
  <c r="H898" i="2"/>
  <c r="G898" i="2"/>
  <c r="F898" i="2"/>
  <c r="L898" i="2"/>
  <c r="O891" i="2"/>
  <c r="O910" i="2"/>
  <c r="O894" i="2"/>
  <c r="O902" i="2"/>
  <c r="O908" i="2"/>
  <c r="O889" i="2"/>
  <c r="O893" i="2"/>
  <c r="O897" i="2"/>
  <c r="M902" i="2" l="1"/>
  <c r="L902" i="2"/>
  <c r="K902" i="2"/>
  <c r="J902" i="2"/>
  <c r="I902" i="2"/>
  <c r="H902" i="2"/>
  <c r="G902" i="2"/>
  <c r="F902" i="2"/>
  <c r="M910" i="2"/>
  <c r="L910" i="2"/>
  <c r="K910" i="2"/>
  <c r="I910" i="2"/>
  <c r="J910" i="2"/>
  <c r="H910" i="2"/>
  <c r="G910" i="2"/>
  <c r="F910" i="2"/>
  <c r="E920" i="2"/>
  <c r="D930" i="2"/>
  <c r="E907" i="2"/>
  <c r="D917" i="2"/>
  <c r="E903" i="2"/>
  <c r="D913" i="2"/>
  <c r="E904" i="2"/>
  <c r="D914" i="2"/>
  <c r="M897" i="2"/>
  <c r="L897" i="2"/>
  <c r="K897" i="2"/>
  <c r="J897" i="2"/>
  <c r="I897" i="2"/>
  <c r="H897" i="2"/>
  <c r="G897" i="2"/>
  <c r="F897" i="2"/>
  <c r="E916" i="2"/>
  <c r="M893" i="2"/>
  <c r="L893" i="2"/>
  <c r="K893" i="2"/>
  <c r="J893" i="2"/>
  <c r="I893" i="2"/>
  <c r="H893" i="2"/>
  <c r="G893" i="2"/>
  <c r="F893" i="2"/>
  <c r="G894" i="2"/>
  <c r="F894" i="2"/>
  <c r="M894" i="2"/>
  <c r="L894" i="2"/>
  <c r="K894" i="2"/>
  <c r="J894" i="2"/>
  <c r="H894" i="2"/>
  <c r="I894" i="2"/>
  <c r="M908" i="2"/>
  <c r="L908" i="2"/>
  <c r="K908" i="2"/>
  <c r="J908" i="2"/>
  <c r="I908" i="2"/>
  <c r="H908" i="2"/>
  <c r="G908" i="2"/>
  <c r="F908" i="2"/>
  <c r="F891" i="2"/>
  <c r="M891" i="2"/>
  <c r="L891" i="2"/>
  <c r="K891" i="2"/>
  <c r="J891" i="2"/>
  <c r="I891" i="2"/>
  <c r="H891" i="2"/>
  <c r="G891" i="2"/>
  <c r="E918" i="2"/>
  <c r="D928" i="2"/>
  <c r="E901" i="2"/>
  <c r="D911" i="2"/>
  <c r="E899" i="2"/>
  <c r="D909" i="2"/>
  <c r="E912" i="2"/>
  <c r="D922" i="2"/>
  <c r="G889" i="2"/>
  <c r="F889" i="2"/>
  <c r="M889" i="2"/>
  <c r="L889" i="2"/>
  <c r="K889" i="2"/>
  <c r="J889" i="2"/>
  <c r="I889" i="2"/>
  <c r="H889" i="2"/>
  <c r="O901" i="2"/>
  <c r="O912" i="2"/>
  <c r="O920" i="2"/>
  <c r="O899" i="2"/>
  <c r="O904" i="2"/>
  <c r="O903" i="2"/>
  <c r="O918" i="2"/>
  <c r="O907" i="2"/>
  <c r="M907" i="2" l="1"/>
  <c r="L907" i="2"/>
  <c r="K907" i="2"/>
  <c r="J907" i="2"/>
  <c r="I907" i="2"/>
  <c r="H907" i="2"/>
  <c r="G907" i="2"/>
  <c r="E926" i="2"/>
  <c r="F907" i="2"/>
  <c r="D940" i="2"/>
  <c r="E930" i="2"/>
  <c r="E917" i="2"/>
  <c r="D927" i="2"/>
  <c r="M920" i="2"/>
  <c r="K920" i="2"/>
  <c r="I920" i="2"/>
  <c r="L920" i="2"/>
  <c r="J920" i="2"/>
  <c r="H920" i="2"/>
  <c r="G920" i="2"/>
  <c r="F920" i="2"/>
  <c r="E922" i="2"/>
  <c r="D932" i="2"/>
  <c r="M912" i="2"/>
  <c r="L912" i="2"/>
  <c r="K912" i="2"/>
  <c r="J912" i="2"/>
  <c r="I912" i="2"/>
  <c r="H912" i="2"/>
  <c r="G912" i="2"/>
  <c r="F912" i="2"/>
  <c r="E909" i="2"/>
  <c r="D919" i="2"/>
  <c r="I899" i="2"/>
  <c r="H899" i="2"/>
  <c r="G899" i="2"/>
  <c r="F899" i="2"/>
  <c r="M899" i="2"/>
  <c r="L899" i="2"/>
  <c r="K899" i="2"/>
  <c r="J899" i="2"/>
  <c r="E911" i="2"/>
  <c r="D921" i="2"/>
  <c r="L901" i="2"/>
  <c r="K901" i="2"/>
  <c r="J901" i="2"/>
  <c r="I901" i="2"/>
  <c r="H901" i="2"/>
  <c r="G901" i="2"/>
  <c r="F901" i="2"/>
  <c r="M901" i="2"/>
  <c r="E928" i="2"/>
  <c r="D938" i="2"/>
  <c r="M918" i="2"/>
  <c r="I918" i="2"/>
  <c r="H918" i="2"/>
  <c r="G918" i="2"/>
  <c r="F918" i="2"/>
  <c r="L918" i="2"/>
  <c r="K918" i="2"/>
  <c r="J918" i="2"/>
  <c r="E914" i="2"/>
  <c r="D924" i="2"/>
  <c r="I904" i="2"/>
  <c r="H904" i="2"/>
  <c r="G904" i="2"/>
  <c r="F904" i="2"/>
  <c r="M904" i="2"/>
  <c r="L904" i="2"/>
  <c r="K904" i="2"/>
  <c r="J904" i="2"/>
  <c r="D923" i="2"/>
  <c r="E913" i="2"/>
  <c r="M903" i="2"/>
  <c r="K903" i="2"/>
  <c r="L903" i="2"/>
  <c r="J903" i="2"/>
  <c r="I903" i="2"/>
  <c r="H903" i="2"/>
  <c r="G903" i="2"/>
  <c r="F903" i="2"/>
  <c r="O914" i="2"/>
  <c r="O922" i="2"/>
  <c r="O928" i="2"/>
  <c r="O917" i="2"/>
  <c r="O911" i="2"/>
  <c r="O913" i="2"/>
  <c r="O909" i="2"/>
  <c r="O930" i="2"/>
  <c r="M913" i="2" l="1"/>
  <c r="K913" i="2"/>
  <c r="F913" i="2"/>
  <c r="L913" i="2"/>
  <c r="J913" i="2"/>
  <c r="I913" i="2"/>
  <c r="H913" i="2"/>
  <c r="G913" i="2"/>
  <c r="E938" i="2"/>
  <c r="D948" i="2"/>
  <c r="E919" i="2"/>
  <c r="D929" i="2"/>
  <c r="E927" i="2"/>
  <c r="D937" i="2"/>
  <c r="E923" i="2"/>
  <c r="D933" i="2"/>
  <c r="G928" i="2"/>
  <c r="F928" i="2"/>
  <c r="M928" i="2"/>
  <c r="L928" i="2"/>
  <c r="K928" i="2"/>
  <c r="J928" i="2"/>
  <c r="I928" i="2"/>
  <c r="H928" i="2"/>
  <c r="K909" i="2"/>
  <c r="J909" i="2"/>
  <c r="I909" i="2"/>
  <c r="H909" i="2"/>
  <c r="G909" i="2"/>
  <c r="F909" i="2"/>
  <c r="M909" i="2"/>
  <c r="L909" i="2"/>
  <c r="M917" i="2"/>
  <c r="L917" i="2"/>
  <c r="K917" i="2"/>
  <c r="J917" i="2"/>
  <c r="I917" i="2"/>
  <c r="G917" i="2"/>
  <c r="E936" i="2"/>
  <c r="H917" i="2"/>
  <c r="F917" i="2"/>
  <c r="M930" i="2"/>
  <c r="K930" i="2"/>
  <c r="J930" i="2"/>
  <c r="I930" i="2"/>
  <c r="H930" i="2"/>
  <c r="G930" i="2"/>
  <c r="F930" i="2"/>
  <c r="L930" i="2"/>
  <c r="E940" i="2"/>
  <c r="D950" i="2"/>
  <c r="E924" i="2"/>
  <c r="D934" i="2"/>
  <c r="E921" i="2"/>
  <c r="D931" i="2"/>
  <c r="E932" i="2"/>
  <c r="D942" i="2"/>
  <c r="K914" i="2"/>
  <c r="J914" i="2"/>
  <c r="I914" i="2"/>
  <c r="H914" i="2"/>
  <c r="G914" i="2"/>
  <c r="F914" i="2"/>
  <c r="M914" i="2"/>
  <c r="L914" i="2"/>
  <c r="G911" i="2"/>
  <c r="F911" i="2"/>
  <c r="M911" i="2"/>
  <c r="L911" i="2"/>
  <c r="K911" i="2"/>
  <c r="J911" i="2"/>
  <c r="I911" i="2"/>
  <c r="H911" i="2"/>
  <c r="M922" i="2"/>
  <c r="L922" i="2"/>
  <c r="K922" i="2"/>
  <c r="J922" i="2"/>
  <c r="I922" i="2"/>
  <c r="G922" i="2"/>
  <c r="H922" i="2"/>
  <c r="F922" i="2"/>
  <c r="O940" i="2"/>
  <c r="O919" i="2"/>
  <c r="O923" i="2"/>
  <c r="O921" i="2"/>
  <c r="O932" i="2"/>
  <c r="O938" i="2"/>
  <c r="O927" i="2"/>
  <c r="O924" i="2"/>
  <c r="E942" i="2" l="1"/>
  <c r="D952" i="2"/>
  <c r="M932" i="2"/>
  <c r="L932" i="2"/>
  <c r="K932" i="2"/>
  <c r="J932" i="2"/>
  <c r="I932" i="2"/>
  <c r="G932" i="2"/>
  <c r="H932" i="2"/>
  <c r="F932" i="2"/>
  <c r="E933" i="2"/>
  <c r="D943" i="2"/>
  <c r="E931" i="2"/>
  <c r="D941" i="2"/>
  <c r="M923" i="2"/>
  <c r="L923" i="2"/>
  <c r="K923" i="2"/>
  <c r="J923" i="2"/>
  <c r="I923" i="2"/>
  <c r="H923" i="2"/>
  <c r="G923" i="2"/>
  <c r="F923" i="2"/>
  <c r="I921" i="2"/>
  <c r="H921" i="2"/>
  <c r="G921" i="2"/>
  <c r="F921" i="2"/>
  <c r="M921" i="2"/>
  <c r="L921" i="2"/>
  <c r="K921" i="2"/>
  <c r="J921" i="2"/>
  <c r="E937" i="2"/>
  <c r="D947" i="2"/>
  <c r="E934" i="2"/>
  <c r="D944" i="2"/>
  <c r="E946" i="2"/>
  <c r="M927" i="2"/>
  <c r="L927" i="2"/>
  <c r="K927" i="2"/>
  <c r="I927" i="2"/>
  <c r="G927" i="2"/>
  <c r="J927" i="2"/>
  <c r="H927" i="2"/>
  <c r="F927" i="2"/>
  <c r="M924" i="2"/>
  <c r="L924" i="2"/>
  <c r="K924" i="2"/>
  <c r="J924" i="2"/>
  <c r="I924" i="2"/>
  <c r="H924" i="2"/>
  <c r="G924" i="2"/>
  <c r="F924" i="2"/>
  <c r="E929" i="2"/>
  <c r="D939" i="2"/>
  <c r="E950" i="2"/>
  <c r="D960" i="2"/>
  <c r="M919" i="2"/>
  <c r="L919" i="2"/>
  <c r="K919" i="2"/>
  <c r="J919" i="2"/>
  <c r="I919" i="2"/>
  <c r="H919" i="2"/>
  <c r="G919" i="2"/>
  <c r="F919" i="2"/>
  <c r="M940" i="2"/>
  <c r="L940" i="2"/>
  <c r="K940" i="2"/>
  <c r="I940" i="2"/>
  <c r="J940" i="2"/>
  <c r="H940" i="2"/>
  <c r="G940" i="2"/>
  <c r="F940" i="2"/>
  <c r="E948" i="2"/>
  <c r="D958" i="2"/>
  <c r="I938" i="2"/>
  <c r="H938" i="2"/>
  <c r="G938" i="2"/>
  <c r="F938" i="2"/>
  <c r="M938" i="2"/>
  <c r="L938" i="2"/>
  <c r="K938" i="2"/>
  <c r="J938" i="2"/>
  <c r="O929" i="2"/>
  <c r="O934" i="2"/>
  <c r="O950" i="2"/>
  <c r="O948" i="2"/>
  <c r="O933" i="2"/>
  <c r="O931" i="2"/>
  <c r="O942" i="2"/>
  <c r="O937" i="2"/>
  <c r="E960" i="2" l="1"/>
  <c r="D970" i="2"/>
  <c r="G950" i="2"/>
  <c r="F950" i="2"/>
  <c r="M950" i="2"/>
  <c r="L950" i="2"/>
  <c r="K950" i="2"/>
  <c r="J950" i="2"/>
  <c r="I950" i="2"/>
  <c r="H950" i="2"/>
  <c r="E944" i="2"/>
  <c r="D954" i="2"/>
  <c r="E941" i="2"/>
  <c r="D951" i="2"/>
  <c r="E958" i="2"/>
  <c r="D968" i="2"/>
  <c r="E939" i="2"/>
  <c r="D949" i="2"/>
  <c r="M934" i="2"/>
  <c r="L934" i="2"/>
  <c r="K934" i="2"/>
  <c r="J934" i="2"/>
  <c r="I934" i="2"/>
  <c r="H934" i="2"/>
  <c r="G934" i="2"/>
  <c r="F934" i="2"/>
  <c r="K931" i="2"/>
  <c r="J931" i="2"/>
  <c r="I931" i="2"/>
  <c r="H931" i="2"/>
  <c r="G931" i="2"/>
  <c r="F931" i="2"/>
  <c r="M931" i="2"/>
  <c r="L931" i="2"/>
  <c r="K948" i="2"/>
  <c r="J948" i="2"/>
  <c r="I948" i="2"/>
  <c r="H948" i="2"/>
  <c r="G948" i="2"/>
  <c r="F948" i="2"/>
  <c r="M948" i="2"/>
  <c r="L948" i="2"/>
  <c r="M929" i="2"/>
  <c r="L929" i="2"/>
  <c r="K929" i="2"/>
  <c r="J929" i="2"/>
  <c r="I929" i="2"/>
  <c r="H929" i="2"/>
  <c r="G929" i="2"/>
  <c r="F929" i="2"/>
  <c r="D957" i="2"/>
  <c r="E947" i="2"/>
  <c r="E943" i="2"/>
  <c r="D953" i="2"/>
  <c r="E956" i="2"/>
  <c r="M937" i="2"/>
  <c r="L937" i="2"/>
  <c r="K937" i="2"/>
  <c r="I937" i="2"/>
  <c r="H937" i="2"/>
  <c r="G937" i="2"/>
  <c r="J937" i="2"/>
  <c r="F937" i="2"/>
  <c r="G933" i="2"/>
  <c r="F933" i="2"/>
  <c r="M933" i="2"/>
  <c r="K933" i="2"/>
  <c r="L933" i="2"/>
  <c r="J933" i="2"/>
  <c r="I933" i="2"/>
  <c r="H933" i="2"/>
  <c r="D962" i="2"/>
  <c r="E952" i="2"/>
  <c r="M942" i="2"/>
  <c r="L942" i="2"/>
  <c r="K942" i="2"/>
  <c r="J942" i="2"/>
  <c r="I942" i="2"/>
  <c r="H942" i="2"/>
  <c r="G942" i="2"/>
  <c r="F942" i="2"/>
  <c r="O958" i="2"/>
  <c r="O944" i="2"/>
  <c r="O943" i="2"/>
  <c r="O947" i="2"/>
  <c r="O939" i="2"/>
  <c r="O960" i="2"/>
  <c r="O941" i="2"/>
  <c r="O952" i="2"/>
  <c r="E949" i="2" l="1"/>
  <c r="D959" i="2"/>
  <c r="M939" i="2"/>
  <c r="L939" i="2"/>
  <c r="K939" i="2"/>
  <c r="J939" i="2"/>
  <c r="I939" i="2"/>
  <c r="H939" i="2"/>
  <c r="G939" i="2"/>
  <c r="F939" i="2"/>
  <c r="E968" i="2"/>
  <c r="D978" i="2"/>
  <c r="M958" i="2"/>
  <c r="L958" i="2"/>
  <c r="K958" i="2"/>
  <c r="J958" i="2"/>
  <c r="I958" i="2"/>
  <c r="H958" i="2"/>
  <c r="G958" i="2"/>
  <c r="F958" i="2"/>
  <c r="E953" i="2"/>
  <c r="D963" i="2"/>
  <c r="E951" i="2"/>
  <c r="D961" i="2"/>
  <c r="M952" i="2"/>
  <c r="L952" i="2"/>
  <c r="K952" i="2"/>
  <c r="J952" i="2"/>
  <c r="I952" i="2"/>
  <c r="H952" i="2"/>
  <c r="G952" i="2"/>
  <c r="F952" i="2"/>
  <c r="I943" i="2"/>
  <c r="H943" i="2"/>
  <c r="G943" i="2"/>
  <c r="F943" i="2"/>
  <c r="M943" i="2"/>
  <c r="L943" i="2"/>
  <c r="J943" i="2"/>
  <c r="K943" i="2"/>
  <c r="M941" i="2"/>
  <c r="L941" i="2"/>
  <c r="K941" i="2"/>
  <c r="J941" i="2"/>
  <c r="I941" i="2"/>
  <c r="H941" i="2"/>
  <c r="G941" i="2"/>
  <c r="F941" i="2"/>
  <c r="E962" i="2"/>
  <c r="D972" i="2"/>
  <c r="E966" i="2"/>
  <c r="M947" i="2"/>
  <c r="L947" i="2"/>
  <c r="K947" i="2"/>
  <c r="J947" i="2"/>
  <c r="I947" i="2"/>
  <c r="G947" i="2"/>
  <c r="F947" i="2"/>
  <c r="H947" i="2"/>
  <c r="E954" i="2"/>
  <c r="D964" i="2"/>
  <c r="E957" i="2"/>
  <c r="D967" i="2"/>
  <c r="M944" i="2"/>
  <c r="L944" i="2"/>
  <c r="K944" i="2"/>
  <c r="J944" i="2"/>
  <c r="I944" i="2"/>
  <c r="H944" i="2"/>
  <c r="G944" i="2"/>
  <c r="F944" i="2"/>
  <c r="E970" i="2"/>
  <c r="D980" i="2"/>
  <c r="I960" i="2"/>
  <c r="H960" i="2"/>
  <c r="G960" i="2"/>
  <c r="F960" i="2"/>
  <c r="M960" i="2"/>
  <c r="L960" i="2"/>
  <c r="K960" i="2"/>
  <c r="J960" i="2"/>
  <c r="O949" i="2"/>
  <c r="O970" i="2"/>
  <c r="O953" i="2"/>
  <c r="O968" i="2"/>
  <c r="O954" i="2"/>
  <c r="O962" i="2"/>
  <c r="O951" i="2"/>
  <c r="O957" i="2"/>
  <c r="M954" i="2" l="1"/>
  <c r="L954" i="2"/>
  <c r="K954" i="2"/>
  <c r="J954" i="2"/>
  <c r="I954" i="2"/>
  <c r="H954" i="2"/>
  <c r="G954" i="2"/>
  <c r="F954" i="2"/>
  <c r="E980" i="2"/>
  <c r="D990" i="2"/>
  <c r="K970" i="2"/>
  <c r="J970" i="2"/>
  <c r="I970" i="2"/>
  <c r="H970" i="2"/>
  <c r="G970" i="2"/>
  <c r="F970" i="2"/>
  <c r="M970" i="2"/>
  <c r="L970" i="2"/>
  <c r="E978" i="2"/>
  <c r="D988" i="2"/>
  <c r="M968" i="2"/>
  <c r="L968" i="2"/>
  <c r="K968" i="2"/>
  <c r="J968" i="2"/>
  <c r="I968" i="2"/>
  <c r="H968" i="2"/>
  <c r="G968" i="2"/>
  <c r="F968" i="2"/>
  <c r="E972" i="2"/>
  <c r="D982" i="2"/>
  <c r="M962" i="2"/>
  <c r="L962" i="2"/>
  <c r="K962" i="2"/>
  <c r="J962" i="2"/>
  <c r="I962" i="2"/>
  <c r="H962" i="2"/>
  <c r="G962" i="2"/>
  <c r="F962" i="2"/>
  <c r="E961" i="2"/>
  <c r="D971" i="2"/>
  <c r="E967" i="2"/>
  <c r="D977" i="2"/>
  <c r="M951" i="2"/>
  <c r="L951" i="2"/>
  <c r="K951" i="2"/>
  <c r="J951" i="2"/>
  <c r="I951" i="2"/>
  <c r="H951" i="2"/>
  <c r="G951" i="2"/>
  <c r="F951" i="2"/>
  <c r="E976" i="2"/>
  <c r="M957" i="2"/>
  <c r="L957" i="2"/>
  <c r="K957" i="2"/>
  <c r="J957" i="2"/>
  <c r="I957" i="2"/>
  <c r="H957" i="2"/>
  <c r="G957" i="2"/>
  <c r="F957" i="2"/>
  <c r="E963" i="2"/>
  <c r="D973" i="2"/>
  <c r="E959" i="2"/>
  <c r="D969" i="2"/>
  <c r="E964" i="2"/>
  <c r="D974" i="2"/>
  <c r="K953" i="2"/>
  <c r="J953" i="2"/>
  <c r="I953" i="2"/>
  <c r="H953" i="2"/>
  <c r="G953" i="2"/>
  <c r="F953" i="2"/>
  <c r="M953" i="2"/>
  <c r="L953" i="2"/>
  <c r="M949" i="2"/>
  <c r="L949" i="2"/>
  <c r="K949" i="2"/>
  <c r="J949" i="2"/>
  <c r="I949" i="2"/>
  <c r="H949" i="2"/>
  <c r="G949" i="2"/>
  <c r="F949" i="2"/>
  <c r="O978" i="2"/>
  <c r="O972" i="2"/>
  <c r="O963" i="2"/>
  <c r="O959" i="2"/>
  <c r="O980" i="2"/>
  <c r="O964" i="2"/>
  <c r="O961" i="2"/>
  <c r="O967" i="2"/>
  <c r="M961" i="2" l="1"/>
  <c r="L961" i="2"/>
  <c r="K961" i="2"/>
  <c r="J961" i="2"/>
  <c r="I961" i="2"/>
  <c r="H961" i="2"/>
  <c r="G961" i="2"/>
  <c r="F961" i="2"/>
  <c r="M978" i="2"/>
  <c r="L978" i="2"/>
  <c r="K978" i="2"/>
  <c r="J978" i="2"/>
  <c r="I978" i="2"/>
  <c r="H978" i="2"/>
  <c r="G978" i="2"/>
  <c r="F978" i="2"/>
  <c r="E982" i="2"/>
  <c r="D992" i="2"/>
  <c r="E990" i="2"/>
  <c r="D1000" i="2"/>
  <c r="G972" i="2"/>
  <c r="F972" i="2"/>
  <c r="M972" i="2"/>
  <c r="L972" i="2"/>
  <c r="K972" i="2"/>
  <c r="J972" i="2"/>
  <c r="I972" i="2"/>
  <c r="H972" i="2"/>
  <c r="M980" i="2"/>
  <c r="L980" i="2"/>
  <c r="K980" i="2"/>
  <c r="J980" i="2"/>
  <c r="I980" i="2"/>
  <c r="H980" i="2"/>
  <c r="G980" i="2"/>
  <c r="F980" i="2"/>
  <c r="E971" i="2"/>
  <c r="D981" i="2"/>
  <c r="M963" i="2"/>
  <c r="L963" i="2"/>
  <c r="K963" i="2"/>
  <c r="J963" i="2"/>
  <c r="I963" i="2"/>
  <c r="H963" i="2"/>
  <c r="G963" i="2"/>
  <c r="F963" i="2"/>
  <c r="D984" i="2"/>
  <c r="E974" i="2"/>
  <c r="E988" i="2"/>
  <c r="D998" i="2"/>
  <c r="M964" i="2"/>
  <c r="L964" i="2"/>
  <c r="K964" i="2"/>
  <c r="J964" i="2"/>
  <c r="I964" i="2"/>
  <c r="H964" i="2"/>
  <c r="G964" i="2"/>
  <c r="F964" i="2"/>
  <c r="D979" i="2"/>
  <c r="E969" i="2"/>
  <c r="M959" i="2"/>
  <c r="L959" i="2"/>
  <c r="K959" i="2"/>
  <c r="J959" i="2"/>
  <c r="I959" i="2"/>
  <c r="H959" i="2"/>
  <c r="G959" i="2"/>
  <c r="F959" i="2"/>
  <c r="E977" i="2"/>
  <c r="D987" i="2"/>
  <c r="E973" i="2"/>
  <c r="D983" i="2"/>
  <c r="G967" i="2"/>
  <c r="F967" i="2"/>
  <c r="M967" i="2"/>
  <c r="L967" i="2"/>
  <c r="K967" i="2"/>
  <c r="J967" i="2"/>
  <c r="I967" i="2"/>
  <c r="H967" i="2"/>
  <c r="E986" i="2"/>
  <c r="O977" i="2"/>
  <c r="O988" i="2"/>
  <c r="O990" i="2"/>
  <c r="O982" i="2"/>
  <c r="O973" i="2"/>
  <c r="O969" i="2"/>
  <c r="O971" i="2"/>
  <c r="O974" i="2"/>
  <c r="E979" i="2" l="1"/>
  <c r="D989" i="2"/>
  <c r="G990" i="2"/>
  <c r="M990" i="2"/>
  <c r="L990" i="2"/>
  <c r="K990" i="2"/>
  <c r="J990" i="2"/>
  <c r="I990" i="2"/>
  <c r="H990" i="2"/>
  <c r="F990" i="2"/>
  <c r="E981" i="2"/>
  <c r="D991" i="2"/>
  <c r="D1002" i="2"/>
  <c r="E992" i="2"/>
  <c r="M971" i="2"/>
  <c r="L971" i="2"/>
  <c r="K971" i="2"/>
  <c r="J971" i="2"/>
  <c r="I971" i="2"/>
  <c r="H971" i="2"/>
  <c r="G971" i="2"/>
  <c r="F971" i="2"/>
  <c r="L982" i="2"/>
  <c r="K982" i="2"/>
  <c r="J982" i="2"/>
  <c r="I982" i="2"/>
  <c r="H982" i="2"/>
  <c r="G982" i="2"/>
  <c r="F982" i="2"/>
  <c r="M982" i="2"/>
  <c r="E983" i="2"/>
  <c r="D993" i="2"/>
  <c r="M973" i="2"/>
  <c r="L973" i="2"/>
  <c r="K973" i="2"/>
  <c r="J973" i="2"/>
  <c r="I973" i="2"/>
  <c r="H973" i="2"/>
  <c r="G973" i="2"/>
  <c r="F973" i="2"/>
  <c r="M969" i="2"/>
  <c r="L969" i="2"/>
  <c r="K969" i="2"/>
  <c r="J969" i="2"/>
  <c r="I969" i="2"/>
  <c r="H969" i="2"/>
  <c r="G969" i="2"/>
  <c r="F969" i="2"/>
  <c r="D997" i="2"/>
  <c r="E987" i="2"/>
  <c r="E998" i="2"/>
  <c r="D1008" i="2"/>
  <c r="E996" i="2"/>
  <c r="I977" i="2"/>
  <c r="H977" i="2"/>
  <c r="G977" i="2"/>
  <c r="F977" i="2"/>
  <c r="M977" i="2"/>
  <c r="L977" i="2"/>
  <c r="K977" i="2"/>
  <c r="J977" i="2"/>
  <c r="K988" i="2"/>
  <c r="I988" i="2"/>
  <c r="H988" i="2"/>
  <c r="G988" i="2"/>
  <c r="M988" i="2"/>
  <c r="L988" i="2"/>
  <c r="J988" i="2"/>
  <c r="F988" i="2"/>
  <c r="M974" i="2"/>
  <c r="L974" i="2"/>
  <c r="K974" i="2"/>
  <c r="J974" i="2"/>
  <c r="I974" i="2"/>
  <c r="H974" i="2"/>
  <c r="G974" i="2"/>
  <c r="F974" i="2"/>
  <c r="E984" i="2"/>
  <c r="D994" i="2"/>
  <c r="E1000" i="2"/>
  <c r="D1010" i="2"/>
  <c r="O983" i="2"/>
  <c r="O1000" i="2"/>
  <c r="O998" i="2"/>
  <c r="O981" i="2"/>
  <c r="O979" i="2"/>
  <c r="O987" i="2"/>
  <c r="O992" i="2"/>
  <c r="O984" i="2"/>
  <c r="E994" i="2" l="1"/>
  <c r="D1004" i="2"/>
  <c r="M984" i="2"/>
  <c r="K984" i="2"/>
  <c r="L984" i="2"/>
  <c r="J984" i="2"/>
  <c r="I984" i="2"/>
  <c r="H984" i="2"/>
  <c r="G984" i="2"/>
  <c r="F984" i="2"/>
  <c r="J1000" i="2"/>
  <c r="I1000" i="2"/>
  <c r="H1000" i="2"/>
  <c r="G1000" i="2"/>
  <c r="F1000" i="2"/>
  <c r="M1000" i="2"/>
  <c r="L1000" i="2"/>
  <c r="K1000" i="2"/>
  <c r="M992" i="2"/>
  <c r="L992" i="2"/>
  <c r="K992" i="2"/>
  <c r="J992" i="2"/>
  <c r="I992" i="2"/>
  <c r="H992" i="2"/>
  <c r="G992" i="2"/>
  <c r="F992" i="2"/>
  <c r="E1002" i="2"/>
  <c r="D1012" i="2"/>
  <c r="E1008" i="2"/>
  <c r="D1018" i="2"/>
  <c r="E993" i="2"/>
  <c r="D1003" i="2"/>
  <c r="D1001" i="2"/>
  <c r="E991" i="2"/>
  <c r="M998" i="2"/>
  <c r="L998" i="2"/>
  <c r="K998" i="2"/>
  <c r="J998" i="2"/>
  <c r="I998" i="2"/>
  <c r="G998" i="2"/>
  <c r="H998" i="2"/>
  <c r="F998" i="2"/>
  <c r="I983" i="2"/>
  <c r="G983" i="2"/>
  <c r="M983" i="2"/>
  <c r="L983" i="2"/>
  <c r="K983" i="2"/>
  <c r="J983" i="2"/>
  <c r="H983" i="2"/>
  <c r="F983" i="2"/>
  <c r="M981" i="2"/>
  <c r="K981" i="2"/>
  <c r="I981" i="2"/>
  <c r="L981" i="2"/>
  <c r="J981" i="2"/>
  <c r="H981" i="2"/>
  <c r="G981" i="2"/>
  <c r="F981" i="2"/>
  <c r="M987" i="2"/>
  <c r="L987" i="2"/>
  <c r="K987" i="2"/>
  <c r="J987" i="2"/>
  <c r="I987" i="2"/>
  <c r="H987" i="2"/>
  <c r="G987" i="2"/>
  <c r="F987" i="2"/>
  <c r="E1006" i="2"/>
  <c r="E997" i="2"/>
  <c r="D1007" i="2"/>
  <c r="D999" i="2"/>
  <c r="E989" i="2"/>
  <c r="E1010" i="2"/>
  <c r="D1020" i="2"/>
  <c r="M979" i="2"/>
  <c r="L979" i="2"/>
  <c r="K979" i="2"/>
  <c r="J979" i="2"/>
  <c r="I979" i="2"/>
  <c r="H979" i="2"/>
  <c r="G979" i="2"/>
  <c r="F979" i="2"/>
  <c r="O994" i="2"/>
  <c r="O993" i="2"/>
  <c r="O1008" i="2"/>
  <c r="O1002" i="2"/>
  <c r="O1010" i="2"/>
  <c r="O991" i="2"/>
  <c r="O997" i="2"/>
  <c r="O989" i="2"/>
  <c r="M991" i="2" l="1"/>
  <c r="L991" i="2"/>
  <c r="K991" i="2"/>
  <c r="I991" i="2"/>
  <c r="J991" i="2"/>
  <c r="H991" i="2"/>
  <c r="G991" i="2"/>
  <c r="F991" i="2"/>
  <c r="E1020" i="2"/>
  <c r="D1030" i="2"/>
  <c r="E1001" i="2"/>
  <c r="D1011" i="2"/>
  <c r="L1010" i="2"/>
  <c r="K1010" i="2"/>
  <c r="J1010" i="2"/>
  <c r="I1010" i="2"/>
  <c r="H1010" i="2"/>
  <c r="G1010" i="2"/>
  <c r="M1010" i="2"/>
  <c r="F1010" i="2"/>
  <c r="E1003" i="2"/>
  <c r="D1013" i="2"/>
  <c r="M989" i="2"/>
  <c r="L989" i="2"/>
  <c r="K989" i="2"/>
  <c r="J989" i="2"/>
  <c r="I989" i="2"/>
  <c r="H989" i="2"/>
  <c r="G989" i="2"/>
  <c r="F989" i="2"/>
  <c r="K993" i="2"/>
  <c r="J993" i="2"/>
  <c r="I993" i="2"/>
  <c r="H993" i="2"/>
  <c r="G993" i="2"/>
  <c r="F993" i="2"/>
  <c r="M993" i="2"/>
  <c r="L993" i="2"/>
  <c r="E999" i="2"/>
  <c r="D1009" i="2"/>
  <c r="E1018" i="2"/>
  <c r="D1028" i="2"/>
  <c r="E1007" i="2"/>
  <c r="D1017" i="2"/>
  <c r="M1008" i="2"/>
  <c r="L1008" i="2"/>
  <c r="K1008" i="2"/>
  <c r="I1008" i="2"/>
  <c r="J1008" i="2"/>
  <c r="H1008" i="2"/>
  <c r="G1008" i="2"/>
  <c r="F1008" i="2"/>
  <c r="F997" i="2"/>
  <c r="L997" i="2"/>
  <c r="K997" i="2"/>
  <c r="J997" i="2"/>
  <c r="I997" i="2"/>
  <c r="H997" i="2"/>
  <c r="G997" i="2"/>
  <c r="E1016" i="2"/>
  <c r="M997" i="2"/>
  <c r="E1012" i="2"/>
  <c r="D1022" i="2"/>
  <c r="F1002" i="2"/>
  <c r="K1002" i="2"/>
  <c r="J1002" i="2"/>
  <c r="I1002" i="2"/>
  <c r="H1002" i="2"/>
  <c r="G1002" i="2"/>
  <c r="M1002" i="2"/>
  <c r="L1002" i="2"/>
  <c r="E1004" i="2"/>
  <c r="D1014" i="2"/>
  <c r="M994" i="2"/>
  <c r="L994" i="2"/>
  <c r="K994" i="2"/>
  <c r="J994" i="2"/>
  <c r="I994" i="2"/>
  <c r="H994" i="2"/>
  <c r="G994" i="2"/>
  <c r="F994" i="2"/>
  <c r="O1003" i="2"/>
  <c r="O1018" i="2"/>
  <c r="O1020" i="2"/>
  <c r="O999" i="2"/>
  <c r="O1001" i="2"/>
  <c r="O1007" i="2"/>
  <c r="O1012" i="2"/>
  <c r="O1004" i="2"/>
  <c r="D1019" i="2" l="1"/>
  <c r="E1009" i="2"/>
  <c r="M999" i="2"/>
  <c r="L999" i="2"/>
  <c r="K999" i="2"/>
  <c r="J999" i="2"/>
  <c r="I999" i="2"/>
  <c r="H999" i="2"/>
  <c r="G999" i="2"/>
  <c r="F999" i="2"/>
  <c r="D1024" i="2"/>
  <c r="E1014" i="2"/>
  <c r="M1004" i="2"/>
  <c r="L1004" i="2"/>
  <c r="K1004" i="2"/>
  <c r="J1004" i="2"/>
  <c r="I1004" i="2"/>
  <c r="H1004" i="2"/>
  <c r="G1004" i="2"/>
  <c r="F1004" i="2"/>
  <c r="E1011" i="2"/>
  <c r="D1021" i="2"/>
  <c r="M1001" i="2"/>
  <c r="K1001" i="2"/>
  <c r="L1001" i="2"/>
  <c r="J1001" i="2"/>
  <c r="I1001" i="2"/>
  <c r="H1001" i="2"/>
  <c r="G1001" i="2"/>
  <c r="F1001" i="2"/>
  <c r="E1030" i="2"/>
  <c r="D1040" i="2"/>
  <c r="M1020" i="2"/>
  <c r="L1020" i="2"/>
  <c r="K1020" i="2"/>
  <c r="J1020" i="2"/>
  <c r="I1020" i="2"/>
  <c r="H1020" i="2"/>
  <c r="G1020" i="2"/>
  <c r="F1020" i="2"/>
  <c r="E1017" i="2"/>
  <c r="D1027" i="2"/>
  <c r="E1022" i="2"/>
  <c r="D1032" i="2"/>
  <c r="H1007" i="2"/>
  <c r="G1007" i="2"/>
  <c r="F1007" i="2"/>
  <c r="M1007" i="2"/>
  <c r="E1026" i="2"/>
  <c r="L1007" i="2"/>
  <c r="K1007" i="2"/>
  <c r="J1007" i="2"/>
  <c r="I1007" i="2"/>
  <c r="H1012" i="2"/>
  <c r="G1012" i="2"/>
  <c r="F1012" i="2"/>
  <c r="M1012" i="2"/>
  <c r="L1012" i="2"/>
  <c r="K1012" i="2"/>
  <c r="J1012" i="2"/>
  <c r="I1012" i="2"/>
  <c r="E1028" i="2"/>
  <c r="D1038" i="2"/>
  <c r="E1013" i="2"/>
  <c r="D1023" i="2"/>
  <c r="M1018" i="2"/>
  <c r="L1018" i="2"/>
  <c r="K1018" i="2"/>
  <c r="J1018" i="2"/>
  <c r="I1018" i="2"/>
  <c r="H1018" i="2"/>
  <c r="G1018" i="2"/>
  <c r="F1018" i="2"/>
  <c r="M1003" i="2"/>
  <c r="L1003" i="2"/>
  <c r="K1003" i="2"/>
  <c r="J1003" i="2"/>
  <c r="I1003" i="2"/>
  <c r="G1003" i="2"/>
  <c r="H1003" i="2"/>
  <c r="F1003" i="2"/>
  <c r="O1011" i="2"/>
  <c r="O1014" i="2"/>
  <c r="O1009" i="2"/>
  <c r="O1022" i="2"/>
  <c r="O1013" i="2"/>
  <c r="O1028" i="2"/>
  <c r="O1017" i="2"/>
  <c r="O1030" i="2"/>
  <c r="E1040" i="2" l="1"/>
  <c r="D1050" i="2"/>
  <c r="I1014" i="2"/>
  <c r="H1014" i="2"/>
  <c r="G1014" i="2"/>
  <c r="F1014" i="2"/>
  <c r="M1014" i="2"/>
  <c r="L1014" i="2"/>
  <c r="K1014" i="2"/>
  <c r="J1014" i="2"/>
  <c r="M1030" i="2"/>
  <c r="L1030" i="2"/>
  <c r="K1030" i="2"/>
  <c r="J1030" i="2"/>
  <c r="I1030" i="2"/>
  <c r="H1030" i="2"/>
  <c r="G1030" i="2"/>
  <c r="F1030" i="2"/>
  <c r="E1024" i="2"/>
  <c r="D1034" i="2"/>
  <c r="E1023" i="2"/>
  <c r="D1033" i="2"/>
  <c r="M1013" i="2"/>
  <c r="L1013" i="2"/>
  <c r="K1013" i="2"/>
  <c r="J1013" i="2"/>
  <c r="I1013" i="2"/>
  <c r="H1013" i="2"/>
  <c r="G1013" i="2"/>
  <c r="F1013" i="2"/>
  <c r="E1032" i="2"/>
  <c r="D1042" i="2"/>
  <c r="E1038" i="2"/>
  <c r="D1048" i="2"/>
  <c r="J1022" i="2"/>
  <c r="I1022" i="2"/>
  <c r="H1022" i="2"/>
  <c r="G1022" i="2"/>
  <c r="F1022" i="2"/>
  <c r="M1022" i="2"/>
  <c r="L1022" i="2"/>
  <c r="K1022" i="2"/>
  <c r="M1028" i="2"/>
  <c r="L1028" i="2"/>
  <c r="K1028" i="2"/>
  <c r="J1028" i="2"/>
  <c r="I1028" i="2"/>
  <c r="H1028" i="2"/>
  <c r="G1028" i="2"/>
  <c r="F1028" i="2"/>
  <c r="E1027" i="2"/>
  <c r="D1037" i="2"/>
  <c r="E1021" i="2"/>
  <c r="D1031" i="2"/>
  <c r="H1009" i="2"/>
  <c r="G1009" i="2"/>
  <c r="F1009" i="2"/>
  <c r="M1009" i="2"/>
  <c r="L1009" i="2"/>
  <c r="K1009" i="2"/>
  <c r="J1009" i="2"/>
  <c r="I1009" i="2"/>
  <c r="J1017" i="2"/>
  <c r="I1017" i="2"/>
  <c r="H1017" i="2"/>
  <c r="G1017" i="2"/>
  <c r="F1017" i="2"/>
  <c r="E1036" i="2"/>
  <c r="M1017" i="2"/>
  <c r="L1017" i="2"/>
  <c r="K1017" i="2"/>
  <c r="M1011" i="2"/>
  <c r="K1011" i="2"/>
  <c r="J1011" i="2"/>
  <c r="I1011" i="2"/>
  <c r="H1011" i="2"/>
  <c r="G1011" i="2"/>
  <c r="F1011" i="2"/>
  <c r="L1011" i="2"/>
  <c r="E1019" i="2"/>
  <c r="D1029" i="2"/>
  <c r="O1032" i="2"/>
  <c r="O1024" i="2"/>
  <c r="O1021" i="2"/>
  <c r="O1019" i="2"/>
  <c r="O1027" i="2"/>
  <c r="O1023" i="2"/>
  <c r="O1038" i="2"/>
  <c r="O1040" i="2"/>
  <c r="F1024" i="2" l="1"/>
  <c r="J1024" i="2"/>
  <c r="I1024" i="2"/>
  <c r="H1024" i="2"/>
  <c r="G1024" i="2"/>
  <c r="M1024" i="2"/>
  <c r="L1024" i="2"/>
  <c r="K1024" i="2"/>
  <c r="E1034" i="2"/>
  <c r="D1044" i="2"/>
  <c r="F1019" i="2"/>
  <c r="M1019" i="2"/>
  <c r="L1019" i="2"/>
  <c r="K1019" i="2"/>
  <c r="J1019" i="2"/>
  <c r="I1019" i="2"/>
  <c r="H1019" i="2"/>
  <c r="G1019" i="2"/>
  <c r="D1041" i="2"/>
  <c r="E1031" i="2"/>
  <c r="D1058" i="2"/>
  <c r="E1048" i="2"/>
  <c r="J1021" i="2"/>
  <c r="I1021" i="2"/>
  <c r="H1021" i="2"/>
  <c r="G1021" i="2"/>
  <c r="F1021" i="2"/>
  <c r="M1021" i="2"/>
  <c r="K1021" i="2"/>
  <c r="L1021" i="2"/>
  <c r="M1038" i="2"/>
  <c r="L1038" i="2"/>
  <c r="K1038" i="2"/>
  <c r="J1038" i="2"/>
  <c r="I1038" i="2"/>
  <c r="H1038" i="2"/>
  <c r="G1038" i="2"/>
  <c r="F1038" i="2"/>
  <c r="E1037" i="2"/>
  <c r="D1047" i="2"/>
  <c r="E1042" i="2"/>
  <c r="D1052" i="2"/>
  <c r="L1027" i="2"/>
  <c r="K1027" i="2"/>
  <c r="J1027" i="2"/>
  <c r="I1027" i="2"/>
  <c r="H1027" i="2"/>
  <c r="G1027" i="2"/>
  <c r="F1027" i="2"/>
  <c r="M1027" i="2"/>
  <c r="E1046" i="2"/>
  <c r="L1032" i="2"/>
  <c r="K1032" i="2"/>
  <c r="J1032" i="2"/>
  <c r="I1032" i="2"/>
  <c r="H1032" i="2"/>
  <c r="G1032" i="2"/>
  <c r="F1032" i="2"/>
  <c r="M1032" i="2"/>
  <c r="E1033" i="2"/>
  <c r="D1043" i="2"/>
  <c r="E1050" i="2"/>
  <c r="D1060" i="2"/>
  <c r="E1029" i="2"/>
  <c r="D1039" i="2"/>
  <c r="M1023" i="2"/>
  <c r="L1023" i="2"/>
  <c r="K1023" i="2"/>
  <c r="J1023" i="2"/>
  <c r="I1023" i="2"/>
  <c r="H1023" i="2"/>
  <c r="G1023" i="2"/>
  <c r="F1023" i="2"/>
  <c r="M1040" i="2"/>
  <c r="L1040" i="2"/>
  <c r="K1040" i="2"/>
  <c r="J1040" i="2"/>
  <c r="I1040" i="2"/>
  <c r="H1040" i="2"/>
  <c r="G1040" i="2"/>
  <c r="F1040" i="2"/>
  <c r="O1037" i="2"/>
  <c r="O1034" i="2"/>
  <c r="O1031" i="2"/>
  <c r="O1033" i="2"/>
  <c r="O1042" i="2"/>
  <c r="O1048" i="2"/>
  <c r="O1050" i="2"/>
  <c r="O1029" i="2"/>
  <c r="M1037" i="2" l="1"/>
  <c r="L1037" i="2"/>
  <c r="K1037" i="2"/>
  <c r="J1037" i="2"/>
  <c r="I1037" i="2"/>
  <c r="H1037" i="2"/>
  <c r="G1037" i="2"/>
  <c r="F1037" i="2"/>
  <c r="E1056" i="2"/>
  <c r="E1041" i="2"/>
  <c r="D1051" i="2"/>
  <c r="E1047" i="2"/>
  <c r="D1057" i="2"/>
  <c r="E1044" i="2"/>
  <c r="D1054" i="2"/>
  <c r="H1034" i="2"/>
  <c r="G1034" i="2"/>
  <c r="F1034" i="2"/>
  <c r="M1034" i="2"/>
  <c r="L1034" i="2"/>
  <c r="K1034" i="2"/>
  <c r="J1034" i="2"/>
  <c r="I1034" i="2"/>
  <c r="M1031" i="2"/>
  <c r="L1031" i="2"/>
  <c r="K1031" i="2"/>
  <c r="J1031" i="2"/>
  <c r="I1031" i="2"/>
  <c r="H1031" i="2"/>
  <c r="G1031" i="2"/>
  <c r="F1031" i="2"/>
  <c r="E1039" i="2"/>
  <c r="D1049" i="2"/>
  <c r="M1033" i="2"/>
  <c r="L1033" i="2"/>
  <c r="K1033" i="2"/>
  <c r="J1033" i="2"/>
  <c r="I1033" i="2"/>
  <c r="H1033" i="2"/>
  <c r="G1033" i="2"/>
  <c r="F1033" i="2"/>
  <c r="H1029" i="2"/>
  <c r="G1029" i="2"/>
  <c r="F1029" i="2"/>
  <c r="I1029" i="2"/>
  <c r="M1029" i="2"/>
  <c r="L1029" i="2"/>
  <c r="K1029" i="2"/>
  <c r="J1029" i="2"/>
  <c r="E1060" i="2"/>
  <c r="D1070" i="2"/>
  <c r="M1050" i="2"/>
  <c r="L1050" i="2"/>
  <c r="K1050" i="2"/>
  <c r="J1050" i="2"/>
  <c r="I1050" i="2"/>
  <c r="H1050" i="2"/>
  <c r="G1050" i="2"/>
  <c r="F1050" i="2"/>
  <c r="E1052" i="2"/>
  <c r="D1062" i="2"/>
  <c r="M1048" i="2"/>
  <c r="L1048" i="2"/>
  <c r="K1048" i="2"/>
  <c r="J1048" i="2"/>
  <c r="I1048" i="2"/>
  <c r="H1048" i="2"/>
  <c r="G1048" i="2"/>
  <c r="F1048" i="2"/>
  <c r="E1043" i="2"/>
  <c r="D1053" i="2"/>
  <c r="M1042" i="2"/>
  <c r="L1042" i="2"/>
  <c r="K1042" i="2"/>
  <c r="J1042" i="2"/>
  <c r="I1042" i="2"/>
  <c r="H1042" i="2"/>
  <c r="G1042" i="2"/>
  <c r="F1042" i="2"/>
  <c r="E1058" i="2"/>
  <c r="D1068" i="2"/>
  <c r="O1039" i="2"/>
  <c r="O1047" i="2"/>
  <c r="O1043" i="2"/>
  <c r="O1041" i="2"/>
  <c r="O1058" i="2"/>
  <c r="O1060" i="2"/>
  <c r="O1044" i="2"/>
  <c r="O1052" i="2"/>
  <c r="E1054" i="2" l="1"/>
  <c r="D1064" i="2"/>
  <c r="J1044" i="2"/>
  <c r="I1044" i="2"/>
  <c r="H1044" i="2"/>
  <c r="G1044" i="2"/>
  <c r="F1044" i="2"/>
  <c r="M1044" i="2"/>
  <c r="L1044" i="2"/>
  <c r="K1044" i="2"/>
  <c r="E1049" i="2"/>
  <c r="D1059" i="2"/>
  <c r="E1057" i="2"/>
  <c r="D1067" i="2"/>
  <c r="J1039" i="2"/>
  <c r="I1039" i="2"/>
  <c r="H1039" i="2"/>
  <c r="G1039" i="2"/>
  <c r="F1039" i="2"/>
  <c r="M1039" i="2"/>
  <c r="L1039" i="2"/>
  <c r="K1039" i="2"/>
  <c r="M1047" i="2"/>
  <c r="L1047" i="2"/>
  <c r="K1047" i="2"/>
  <c r="J1047" i="2"/>
  <c r="I1047" i="2"/>
  <c r="H1047" i="2"/>
  <c r="G1047" i="2"/>
  <c r="F1047" i="2"/>
  <c r="E1066" i="2"/>
  <c r="D1063" i="2"/>
  <c r="E1053" i="2"/>
  <c r="D1080" i="2"/>
  <c r="E1070" i="2"/>
  <c r="E1051" i="2"/>
  <c r="D1061" i="2"/>
  <c r="M1043" i="2"/>
  <c r="L1043" i="2"/>
  <c r="K1043" i="2"/>
  <c r="J1043" i="2"/>
  <c r="I1043" i="2"/>
  <c r="H1043" i="2"/>
  <c r="G1043" i="2"/>
  <c r="F1043" i="2"/>
  <c r="M1060" i="2"/>
  <c r="L1060" i="2"/>
  <c r="K1060" i="2"/>
  <c r="J1060" i="2"/>
  <c r="I1060" i="2"/>
  <c r="H1060" i="2"/>
  <c r="G1060" i="2"/>
  <c r="F1060" i="2"/>
  <c r="F1041" i="2"/>
  <c r="M1041" i="2"/>
  <c r="L1041" i="2"/>
  <c r="K1041" i="2"/>
  <c r="J1041" i="2"/>
  <c r="I1041" i="2"/>
  <c r="H1041" i="2"/>
  <c r="G1041" i="2"/>
  <c r="F1058" i="2"/>
  <c r="M1058" i="2"/>
  <c r="K1058" i="2"/>
  <c r="I1058" i="2"/>
  <c r="L1058" i="2"/>
  <c r="J1058" i="2"/>
  <c r="H1058" i="2"/>
  <c r="G1058" i="2"/>
  <c r="M1052" i="2"/>
  <c r="L1052" i="2"/>
  <c r="K1052" i="2"/>
  <c r="J1052" i="2"/>
  <c r="I1052" i="2"/>
  <c r="H1052" i="2"/>
  <c r="G1052" i="2"/>
  <c r="F1052" i="2"/>
  <c r="E1068" i="2"/>
  <c r="D1078" i="2"/>
  <c r="E1062" i="2"/>
  <c r="D1072" i="2"/>
  <c r="O1049" i="2"/>
  <c r="O1054" i="2"/>
  <c r="O1068" i="2"/>
  <c r="O1070" i="2"/>
  <c r="O1062" i="2"/>
  <c r="O1057" i="2"/>
  <c r="O1051" i="2"/>
  <c r="O1053" i="2"/>
  <c r="E1078" i="2" l="1"/>
  <c r="D1088" i="2"/>
  <c r="H1068" i="2"/>
  <c r="G1068" i="2"/>
  <c r="F1068" i="2"/>
  <c r="M1068" i="2"/>
  <c r="K1068" i="2"/>
  <c r="L1068" i="2"/>
  <c r="J1068" i="2"/>
  <c r="I1068" i="2"/>
  <c r="E1061" i="2"/>
  <c r="D1071" i="2"/>
  <c r="H1051" i="2"/>
  <c r="G1051" i="2"/>
  <c r="F1051" i="2"/>
  <c r="L1051" i="2"/>
  <c r="K1051" i="2"/>
  <c r="J1051" i="2"/>
  <c r="I1051" i="2"/>
  <c r="M1051" i="2"/>
  <c r="M1070" i="2"/>
  <c r="L1070" i="2"/>
  <c r="K1070" i="2"/>
  <c r="J1070" i="2"/>
  <c r="I1070" i="2"/>
  <c r="G1070" i="2"/>
  <c r="H1070" i="2"/>
  <c r="F1070" i="2"/>
  <c r="E1080" i="2"/>
  <c r="D1090" i="2"/>
  <c r="E1067" i="2"/>
  <c r="D1077" i="2"/>
  <c r="M1053" i="2"/>
  <c r="L1053" i="2"/>
  <c r="K1053" i="2"/>
  <c r="I1053" i="2"/>
  <c r="G1053" i="2"/>
  <c r="J1053" i="2"/>
  <c r="H1053" i="2"/>
  <c r="F1053" i="2"/>
  <c r="E1076" i="2"/>
  <c r="M1057" i="2"/>
  <c r="L1057" i="2"/>
  <c r="K1057" i="2"/>
  <c r="J1057" i="2"/>
  <c r="I1057" i="2"/>
  <c r="H1057" i="2"/>
  <c r="G1057" i="2"/>
  <c r="F1057" i="2"/>
  <c r="E1063" i="2"/>
  <c r="D1073" i="2"/>
  <c r="E1059" i="2"/>
  <c r="D1069" i="2"/>
  <c r="L1049" i="2"/>
  <c r="K1049" i="2"/>
  <c r="J1049" i="2"/>
  <c r="I1049" i="2"/>
  <c r="H1049" i="2"/>
  <c r="G1049" i="2"/>
  <c r="F1049" i="2"/>
  <c r="M1049" i="2"/>
  <c r="M1062" i="2"/>
  <c r="L1062" i="2"/>
  <c r="K1062" i="2"/>
  <c r="J1062" i="2"/>
  <c r="I1062" i="2"/>
  <c r="H1062" i="2"/>
  <c r="G1062" i="2"/>
  <c r="F1062" i="2"/>
  <c r="E1064" i="2"/>
  <c r="D1074" i="2"/>
  <c r="E1072" i="2"/>
  <c r="D1082" i="2"/>
  <c r="L1054" i="2"/>
  <c r="K1054" i="2"/>
  <c r="J1054" i="2"/>
  <c r="I1054" i="2"/>
  <c r="H1054" i="2"/>
  <c r="G1054" i="2"/>
  <c r="F1054" i="2"/>
  <c r="M1054" i="2"/>
  <c r="O1063" i="2"/>
  <c r="O1059" i="2"/>
  <c r="O1080" i="2"/>
  <c r="O1078" i="2"/>
  <c r="O1072" i="2"/>
  <c r="O1067" i="2"/>
  <c r="O1061" i="2"/>
  <c r="O1064" i="2"/>
  <c r="E1082" i="2" l="1"/>
  <c r="D1092" i="2"/>
  <c r="E1069" i="2"/>
  <c r="D1079" i="2"/>
  <c r="M1072" i="2"/>
  <c r="L1072" i="2"/>
  <c r="K1072" i="2"/>
  <c r="J1072" i="2"/>
  <c r="I1072" i="2"/>
  <c r="H1072" i="2"/>
  <c r="G1072" i="2"/>
  <c r="F1072" i="2"/>
  <c r="M1059" i="2"/>
  <c r="L1059" i="2"/>
  <c r="K1059" i="2"/>
  <c r="J1059" i="2"/>
  <c r="I1059" i="2"/>
  <c r="H1059" i="2"/>
  <c r="G1059" i="2"/>
  <c r="F1059" i="2"/>
  <c r="E1077" i="2"/>
  <c r="D1087" i="2"/>
  <c r="E1071" i="2"/>
  <c r="D1081" i="2"/>
  <c r="E1074" i="2"/>
  <c r="D1084" i="2"/>
  <c r="E1073" i="2"/>
  <c r="D1083" i="2"/>
  <c r="E1086" i="2"/>
  <c r="M1067" i="2"/>
  <c r="L1067" i="2"/>
  <c r="K1067" i="2"/>
  <c r="J1067" i="2"/>
  <c r="I1067" i="2"/>
  <c r="H1067" i="2"/>
  <c r="G1067" i="2"/>
  <c r="F1067" i="2"/>
  <c r="J1061" i="2"/>
  <c r="I1061" i="2"/>
  <c r="H1061" i="2"/>
  <c r="G1061" i="2"/>
  <c r="F1061" i="2"/>
  <c r="M1061" i="2"/>
  <c r="L1061" i="2"/>
  <c r="K1061" i="2"/>
  <c r="M1064" i="2"/>
  <c r="L1064" i="2"/>
  <c r="K1064" i="2"/>
  <c r="J1064" i="2"/>
  <c r="I1064" i="2"/>
  <c r="H1064" i="2"/>
  <c r="G1064" i="2"/>
  <c r="F1064" i="2"/>
  <c r="F1063" i="2"/>
  <c r="M1063" i="2"/>
  <c r="L1063" i="2"/>
  <c r="K1063" i="2"/>
  <c r="I1063" i="2"/>
  <c r="J1063" i="2"/>
  <c r="H1063" i="2"/>
  <c r="G1063" i="2"/>
  <c r="E1090" i="2"/>
  <c r="D1100" i="2"/>
  <c r="F1080" i="2"/>
  <c r="M1080" i="2"/>
  <c r="L1080" i="2"/>
  <c r="K1080" i="2"/>
  <c r="J1080" i="2"/>
  <c r="I1080" i="2"/>
  <c r="H1080" i="2"/>
  <c r="G1080" i="2"/>
  <c r="E1088" i="2"/>
  <c r="D1098" i="2"/>
  <c r="J1078" i="2"/>
  <c r="I1078" i="2"/>
  <c r="H1078" i="2"/>
  <c r="G1078" i="2"/>
  <c r="F1078" i="2"/>
  <c r="M1078" i="2"/>
  <c r="L1078" i="2"/>
  <c r="K1078" i="2"/>
  <c r="O1090" i="2"/>
  <c r="O1073" i="2"/>
  <c r="O1088" i="2"/>
  <c r="O1077" i="2"/>
  <c r="O1069" i="2"/>
  <c r="O1082" i="2"/>
  <c r="O1074" i="2"/>
  <c r="O1071" i="2"/>
  <c r="D1108" i="2" l="1"/>
  <c r="E1098" i="2"/>
  <c r="L1088" i="2"/>
  <c r="K1088" i="2"/>
  <c r="J1088" i="2"/>
  <c r="I1088" i="2"/>
  <c r="H1088" i="2"/>
  <c r="G1088" i="2"/>
  <c r="F1088" i="2"/>
  <c r="M1088" i="2"/>
  <c r="E1083" i="2"/>
  <c r="D1093" i="2"/>
  <c r="H1073" i="2"/>
  <c r="G1073" i="2"/>
  <c r="F1073" i="2"/>
  <c r="M1073" i="2"/>
  <c r="L1073" i="2"/>
  <c r="K1073" i="2"/>
  <c r="J1073" i="2"/>
  <c r="I1073" i="2"/>
  <c r="E1084" i="2"/>
  <c r="D1094" i="2"/>
  <c r="M1074" i="2"/>
  <c r="L1074" i="2"/>
  <c r="K1074" i="2"/>
  <c r="J1074" i="2"/>
  <c r="I1074" i="2"/>
  <c r="H1074" i="2"/>
  <c r="G1074" i="2"/>
  <c r="F1074" i="2"/>
  <c r="E1081" i="2"/>
  <c r="D1091" i="2"/>
  <c r="E1079" i="2"/>
  <c r="D1089" i="2"/>
  <c r="E1100" i="2"/>
  <c r="D1110" i="2"/>
  <c r="L1071" i="2"/>
  <c r="K1071" i="2"/>
  <c r="J1071" i="2"/>
  <c r="I1071" i="2"/>
  <c r="H1071" i="2"/>
  <c r="G1071" i="2"/>
  <c r="F1071" i="2"/>
  <c r="M1071" i="2"/>
  <c r="M1069" i="2"/>
  <c r="L1069" i="2"/>
  <c r="K1069" i="2"/>
  <c r="J1069" i="2"/>
  <c r="I1069" i="2"/>
  <c r="H1069" i="2"/>
  <c r="G1069" i="2"/>
  <c r="F1069" i="2"/>
  <c r="H1090" i="2"/>
  <c r="G1090" i="2"/>
  <c r="F1090" i="2"/>
  <c r="M1090" i="2"/>
  <c r="L1090" i="2"/>
  <c r="K1090" i="2"/>
  <c r="J1090" i="2"/>
  <c r="I1090" i="2"/>
  <c r="D1097" i="2"/>
  <c r="E1087" i="2"/>
  <c r="E1092" i="2"/>
  <c r="D1102" i="2"/>
  <c r="M1077" i="2"/>
  <c r="L1077" i="2"/>
  <c r="E1096" i="2"/>
  <c r="K1077" i="2"/>
  <c r="J1077" i="2"/>
  <c r="I1077" i="2"/>
  <c r="H1077" i="2"/>
  <c r="G1077" i="2"/>
  <c r="F1077" i="2"/>
  <c r="M1082" i="2"/>
  <c r="L1082" i="2"/>
  <c r="K1082" i="2"/>
  <c r="J1082" i="2"/>
  <c r="I1082" i="2"/>
  <c r="H1082" i="2"/>
  <c r="G1082" i="2"/>
  <c r="F1082" i="2"/>
  <c r="O1100" i="2"/>
  <c r="O1079" i="2"/>
  <c r="O1098" i="2"/>
  <c r="O1092" i="2"/>
  <c r="O1081" i="2"/>
  <c r="O1083" i="2"/>
  <c r="O1087" i="2"/>
  <c r="O1084" i="2"/>
  <c r="E1110" i="2" l="1"/>
  <c r="D1120" i="2"/>
  <c r="F1100" i="2"/>
  <c r="M1100" i="2"/>
  <c r="L1100" i="2"/>
  <c r="K1100" i="2"/>
  <c r="J1100" i="2"/>
  <c r="I1100" i="2"/>
  <c r="H1100" i="2"/>
  <c r="G1100" i="2"/>
  <c r="E1089" i="2"/>
  <c r="D1099" i="2"/>
  <c r="M1079" i="2"/>
  <c r="L1079" i="2"/>
  <c r="K1079" i="2"/>
  <c r="J1079" i="2"/>
  <c r="I1079" i="2"/>
  <c r="H1079" i="2"/>
  <c r="G1079" i="2"/>
  <c r="F1079" i="2"/>
  <c r="E1091" i="2"/>
  <c r="D1101" i="2"/>
  <c r="E1093" i="2"/>
  <c r="D1103" i="2"/>
  <c r="M1081" i="2"/>
  <c r="L1081" i="2"/>
  <c r="K1081" i="2"/>
  <c r="J1081" i="2"/>
  <c r="I1081" i="2"/>
  <c r="H1081" i="2"/>
  <c r="G1081" i="2"/>
  <c r="F1081" i="2"/>
  <c r="J1083" i="2"/>
  <c r="I1083" i="2"/>
  <c r="H1083" i="2"/>
  <c r="G1083" i="2"/>
  <c r="F1083" i="2"/>
  <c r="M1083" i="2"/>
  <c r="L1083" i="2"/>
  <c r="K1083" i="2"/>
  <c r="E1102" i="2"/>
  <c r="D1112" i="2"/>
  <c r="M1092" i="2"/>
  <c r="L1092" i="2"/>
  <c r="K1092" i="2"/>
  <c r="J1092" i="2"/>
  <c r="I1092" i="2"/>
  <c r="H1092" i="2"/>
  <c r="G1092" i="2"/>
  <c r="F1092" i="2"/>
  <c r="E1106" i="2"/>
  <c r="M1087" i="2"/>
  <c r="L1087" i="2"/>
  <c r="K1087" i="2"/>
  <c r="J1087" i="2"/>
  <c r="I1087" i="2"/>
  <c r="H1087" i="2"/>
  <c r="G1087" i="2"/>
  <c r="F1087" i="2"/>
  <c r="D1104" i="2"/>
  <c r="E1094" i="2"/>
  <c r="I1098" i="2"/>
  <c r="G1098" i="2"/>
  <c r="M1098" i="2"/>
  <c r="L1098" i="2"/>
  <c r="K1098" i="2"/>
  <c r="J1098" i="2"/>
  <c r="H1098" i="2"/>
  <c r="F1098" i="2"/>
  <c r="E1097" i="2"/>
  <c r="D1107" i="2"/>
  <c r="M1084" i="2"/>
  <c r="L1084" i="2"/>
  <c r="K1084" i="2"/>
  <c r="J1084" i="2"/>
  <c r="I1084" i="2"/>
  <c r="H1084" i="2"/>
  <c r="G1084" i="2"/>
  <c r="F1084" i="2"/>
  <c r="E1108" i="2"/>
  <c r="D1118" i="2"/>
  <c r="O1093" i="2"/>
  <c r="O1091" i="2"/>
  <c r="O1108" i="2"/>
  <c r="O1089" i="2"/>
  <c r="O1094" i="2"/>
  <c r="O1102" i="2"/>
  <c r="O1110" i="2"/>
  <c r="O1097" i="2"/>
  <c r="E1099" i="2" l="1"/>
  <c r="D1109" i="2"/>
  <c r="D1117" i="2"/>
  <c r="E1107" i="2"/>
  <c r="M1089" i="2"/>
  <c r="L1089" i="2"/>
  <c r="K1089" i="2"/>
  <c r="J1089" i="2"/>
  <c r="I1089" i="2"/>
  <c r="H1089" i="2"/>
  <c r="G1089" i="2"/>
  <c r="F1089" i="2"/>
  <c r="M1097" i="2"/>
  <c r="L1097" i="2"/>
  <c r="K1097" i="2"/>
  <c r="J1097" i="2"/>
  <c r="I1097" i="2"/>
  <c r="H1097" i="2"/>
  <c r="G1097" i="2"/>
  <c r="E1116" i="2"/>
  <c r="F1097" i="2"/>
  <c r="K1108" i="2"/>
  <c r="J1108" i="2"/>
  <c r="I1108" i="2"/>
  <c r="G1108" i="2"/>
  <c r="M1108" i="2"/>
  <c r="L1108" i="2"/>
  <c r="H1108" i="2"/>
  <c r="F1108" i="2"/>
  <c r="E1103" i="2"/>
  <c r="D1113" i="2"/>
  <c r="G1093" i="2"/>
  <c r="M1093" i="2"/>
  <c r="L1093" i="2"/>
  <c r="K1093" i="2"/>
  <c r="J1093" i="2"/>
  <c r="I1093" i="2"/>
  <c r="H1093" i="2"/>
  <c r="F1093" i="2"/>
  <c r="D1122" i="2"/>
  <c r="E1112" i="2"/>
  <c r="E1101" i="2"/>
  <c r="D1111" i="2"/>
  <c r="E1120" i="2"/>
  <c r="D1130" i="2"/>
  <c r="E1104" i="2"/>
  <c r="D1114" i="2"/>
  <c r="E1118" i="2"/>
  <c r="D1128" i="2"/>
  <c r="M1094" i="2"/>
  <c r="I1094" i="2"/>
  <c r="G1094" i="2"/>
  <c r="L1094" i="2"/>
  <c r="K1094" i="2"/>
  <c r="J1094" i="2"/>
  <c r="H1094" i="2"/>
  <c r="F1094" i="2"/>
  <c r="M1102" i="2"/>
  <c r="G1102" i="2"/>
  <c r="F1102" i="2"/>
  <c r="L1102" i="2"/>
  <c r="K1102" i="2"/>
  <c r="J1102" i="2"/>
  <c r="I1102" i="2"/>
  <c r="H1102" i="2"/>
  <c r="K1091" i="2"/>
  <c r="M1091" i="2"/>
  <c r="L1091" i="2"/>
  <c r="J1091" i="2"/>
  <c r="I1091" i="2"/>
  <c r="H1091" i="2"/>
  <c r="G1091" i="2"/>
  <c r="F1091" i="2"/>
  <c r="G1110" i="2"/>
  <c r="F1110" i="2"/>
  <c r="M1110" i="2"/>
  <c r="L1110" i="2"/>
  <c r="K1110" i="2"/>
  <c r="J1110" i="2"/>
  <c r="I1110" i="2"/>
  <c r="H1110" i="2"/>
  <c r="O1120" i="2"/>
  <c r="O1107" i="2"/>
  <c r="O1104" i="2"/>
  <c r="O1099" i="2"/>
  <c r="O1103" i="2"/>
  <c r="O1112" i="2"/>
  <c r="O1118" i="2"/>
  <c r="O1101" i="2"/>
  <c r="E1113" i="2" l="1"/>
  <c r="D1123" i="2"/>
  <c r="I1103" i="2"/>
  <c r="G1103" i="2"/>
  <c r="M1103" i="2"/>
  <c r="L1103" i="2"/>
  <c r="K1103" i="2"/>
  <c r="J1103" i="2"/>
  <c r="H1103" i="2"/>
  <c r="F1103" i="2"/>
  <c r="E1128" i="2"/>
  <c r="D1138" i="2"/>
  <c r="M1118" i="2"/>
  <c r="L1118" i="2"/>
  <c r="K1118" i="2"/>
  <c r="I1118" i="2"/>
  <c r="H1118" i="2"/>
  <c r="G1118" i="2"/>
  <c r="J1118" i="2"/>
  <c r="F1118" i="2"/>
  <c r="E1114" i="2"/>
  <c r="D1124" i="2"/>
  <c r="M1104" i="2"/>
  <c r="K1104" i="2"/>
  <c r="I1104" i="2"/>
  <c r="H1104" i="2"/>
  <c r="G1104" i="2"/>
  <c r="F1104" i="2"/>
  <c r="L1104" i="2"/>
  <c r="J1104" i="2"/>
  <c r="E1122" i="2"/>
  <c r="D1132" i="2"/>
  <c r="E1130" i="2"/>
  <c r="D1140" i="2"/>
  <c r="I1120" i="2"/>
  <c r="H1120" i="2"/>
  <c r="G1120" i="2"/>
  <c r="J1120" i="2"/>
  <c r="F1120" i="2"/>
  <c r="M1120" i="2"/>
  <c r="L1120" i="2"/>
  <c r="K1120" i="2"/>
  <c r="E1126" i="2"/>
  <c r="M1107" i="2"/>
  <c r="L1107" i="2"/>
  <c r="K1107" i="2"/>
  <c r="J1107" i="2"/>
  <c r="I1107" i="2"/>
  <c r="H1107" i="2"/>
  <c r="G1107" i="2"/>
  <c r="F1107" i="2"/>
  <c r="D1121" i="2"/>
  <c r="E1111" i="2"/>
  <c r="E1117" i="2"/>
  <c r="D1127" i="2"/>
  <c r="M1101" i="2"/>
  <c r="K1101" i="2"/>
  <c r="I1101" i="2"/>
  <c r="G1101" i="2"/>
  <c r="L1101" i="2"/>
  <c r="J1101" i="2"/>
  <c r="H1101" i="2"/>
  <c r="F1101" i="2"/>
  <c r="E1109" i="2"/>
  <c r="D1119" i="2"/>
  <c r="M1112" i="2"/>
  <c r="L1112" i="2"/>
  <c r="K1112" i="2"/>
  <c r="J1112" i="2"/>
  <c r="I1112" i="2"/>
  <c r="H1112" i="2"/>
  <c r="G1112" i="2"/>
  <c r="F1112" i="2"/>
  <c r="M1099" i="2"/>
  <c r="K1099" i="2"/>
  <c r="I1099" i="2"/>
  <c r="L1099" i="2"/>
  <c r="J1099" i="2"/>
  <c r="H1099" i="2"/>
  <c r="G1099" i="2"/>
  <c r="F1099" i="2"/>
  <c r="O1117" i="2"/>
  <c r="O1128" i="2"/>
  <c r="O1111" i="2"/>
  <c r="O1113" i="2"/>
  <c r="O1114" i="2"/>
  <c r="O1130" i="2"/>
  <c r="O1109" i="2"/>
  <c r="O1122" i="2"/>
  <c r="E1127" i="2" l="1"/>
  <c r="D1137" i="2"/>
  <c r="E1136" i="2"/>
  <c r="L1117" i="2"/>
  <c r="K1117" i="2"/>
  <c r="J1117" i="2"/>
  <c r="I1117" i="2"/>
  <c r="H1117" i="2"/>
  <c r="G1117" i="2"/>
  <c r="F1117" i="2"/>
  <c r="M1117" i="2"/>
  <c r="E1140" i="2"/>
  <c r="D1150" i="2"/>
  <c r="M1111" i="2"/>
  <c r="K1111" i="2"/>
  <c r="I1111" i="2"/>
  <c r="G1111" i="2"/>
  <c r="L1111" i="2"/>
  <c r="J1111" i="2"/>
  <c r="H1111" i="2"/>
  <c r="F1111" i="2"/>
  <c r="K1130" i="2"/>
  <c r="J1130" i="2"/>
  <c r="I1130" i="2"/>
  <c r="H1130" i="2"/>
  <c r="G1130" i="2"/>
  <c r="F1130" i="2"/>
  <c r="L1130" i="2"/>
  <c r="M1130" i="2"/>
  <c r="E1121" i="2"/>
  <c r="D1131" i="2"/>
  <c r="E1132" i="2"/>
  <c r="D1142" i="2"/>
  <c r="D1148" i="2"/>
  <c r="E1138" i="2"/>
  <c r="M1122" i="2"/>
  <c r="L1122" i="2"/>
  <c r="K1122" i="2"/>
  <c r="J1122" i="2"/>
  <c r="I1122" i="2"/>
  <c r="H1122" i="2"/>
  <c r="G1122" i="2"/>
  <c r="F1122" i="2"/>
  <c r="M1128" i="2"/>
  <c r="L1128" i="2"/>
  <c r="K1128" i="2"/>
  <c r="J1128" i="2"/>
  <c r="I1128" i="2"/>
  <c r="H1128" i="2"/>
  <c r="G1128" i="2"/>
  <c r="F1128" i="2"/>
  <c r="E1119" i="2"/>
  <c r="D1129" i="2"/>
  <c r="M1109" i="2"/>
  <c r="K1109" i="2"/>
  <c r="L1109" i="2"/>
  <c r="J1109" i="2"/>
  <c r="I1109" i="2"/>
  <c r="H1109" i="2"/>
  <c r="G1109" i="2"/>
  <c r="F1109" i="2"/>
  <c r="E1124" i="2"/>
  <c r="D1134" i="2"/>
  <c r="E1123" i="2"/>
  <c r="D1133" i="2"/>
  <c r="M1114" i="2"/>
  <c r="K1114" i="2"/>
  <c r="L1114" i="2"/>
  <c r="J1114" i="2"/>
  <c r="I1114" i="2"/>
  <c r="H1114" i="2"/>
  <c r="G1114" i="2"/>
  <c r="F1114" i="2"/>
  <c r="K1113" i="2"/>
  <c r="J1113" i="2"/>
  <c r="I1113" i="2"/>
  <c r="G1113" i="2"/>
  <c r="F1113" i="2"/>
  <c r="L1113" i="2"/>
  <c r="H1113" i="2"/>
  <c r="M1113" i="2"/>
  <c r="O1121" i="2"/>
  <c r="O1127" i="2"/>
  <c r="O1140" i="2"/>
  <c r="O1138" i="2"/>
  <c r="O1132" i="2"/>
  <c r="O1123" i="2"/>
  <c r="O1124" i="2"/>
  <c r="O1119" i="2"/>
  <c r="M1138" i="2" l="1"/>
  <c r="L1138" i="2"/>
  <c r="K1138" i="2"/>
  <c r="J1138" i="2"/>
  <c r="I1138" i="2"/>
  <c r="H1138" i="2"/>
  <c r="G1138" i="2"/>
  <c r="F1138" i="2"/>
  <c r="E1148" i="2"/>
  <c r="D1158" i="2"/>
  <c r="D1139" i="2"/>
  <c r="E1129" i="2"/>
  <c r="E1142" i="2"/>
  <c r="D1152" i="2"/>
  <c r="E1150" i="2"/>
  <c r="D1160" i="2"/>
  <c r="M1119" i="2"/>
  <c r="L1119" i="2"/>
  <c r="K1119" i="2"/>
  <c r="J1119" i="2"/>
  <c r="I1119" i="2"/>
  <c r="H1119" i="2"/>
  <c r="G1119" i="2"/>
  <c r="F1119" i="2"/>
  <c r="G1132" i="2"/>
  <c r="F1132" i="2"/>
  <c r="M1132" i="2"/>
  <c r="L1132" i="2"/>
  <c r="K1132" i="2"/>
  <c r="J1132" i="2"/>
  <c r="I1132" i="2"/>
  <c r="H1132" i="2"/>
  <c r="M1140" i="2"/>
  <c r="L1140" i="2"/>
  <c r="K1140" i="2"/>
  <c r="J1140" i="2"/>
  <c r="I1140" i="2"/>
  <c r="H1140" i="2"/>
  <c r="G1140" i="2"/>
  <c r="F1140" i="2"/>
  <c r="E1131" i="2"/>
  <c r="D1141" i="2"/>
  <c r="M1121" i="2"/>
  <c r="L1121" i="2"/>
  <c r="K1121" i="2"/>
  <c r="J1121" i="2"/>
  <c r="I1121" i="2"/>
  <c r="H1121" i="2"/>
  <c r="G1121" i="2"/>
  <c r="F1121" i="2"/>
  <c r="D1143" i="2"/>
  <c r="E1133" i="2"/>
  <c r="M1123" i="2"/>
  <c r="L1123" i="2"/>
  <c r="K1123" i="2"/>
  <c r="I1123" i="2"/>
  <c r="H1123" i="2"/>
  <c r="G1123" i="2"/>
  <c r="F1123" i="2"/>
  <c r="J1123" i="2"/>
  <c r="D1144" i="2"/>
  <c r="E1134" i="2"/>
  <c r="M1124" i="2"/>
  <c r="L1124" i="2"/>
  <c r="K1124" i="2"/>
  <c r="J1124" i="2"/>
  <c r="I1124" i="2"/>
  <c r="H1124" i="2"/>
  <c r="G1124" i="2"/>
  <c r="F1124" i="2"/>
  <c r="E1137" i="2"/>
  <c r="D1147" i="2"/>
  <c r="G1127" i="2"/>
  <c r="F1127" i="2"/>
  <c r="K1127" i="2"/>
  <c r="J1127" i="2"/>
  <c r="I1127" i="2"/>
  <c r="H1127" i="2"/>
  <c r="E1146" i="2"/>
  <c r="M1127" i="2"/>
  <c r="L1127" i="2"/>
  <c r="O1133" i="2"/>
  <c r="O1148" i="2"/>
  <c r="O1134" i="2"/>
  <c r="O1129" i="2"/>
  <c r="O1150" i="2"/>
  <c r="O1142" i="2"/>
  <c r="O1137" i="2"/>
  <c r="O1131" i="2"/>
  <c r="E1160" i="2" l="1"/>
  <c r="D1170" i="2"/>
  <c r="M1150" i="2"/>
  <c r="L1150" i="2"/>
  <c r="K1150" i="2"/>
  <c r="J1150" i="2"/>
  <c r="I1150" i="2"/>
  <c r="H1150" i="2"/>
  <c r="G1150" i="2"/>
  <c r="F1150" i="2"/>
  <c r="E1152" i="2"/>
  <c r="D1162" i="2"/>
  <c r="I1142" i="2"/>
  <c r="H1142" i="2"/>
  <c r="G1142" i="2"/>
  <c r="F1142" i="2"/>
  <c r="M1142" i="2"/>
  <c r="L1142" i="2"/>
  <c r="K1142" i="2"/>
  <c r="J1142" i="2"/>
  <c r="E1147" i="2"/>
  <c r="D1157" i="2"/>
  <c r="M1133" i="2"/>
  <c r="L1133" i="2"/>
  <c r="K1133" i="2"/>
  <c r="J1133" i="2"/>
  <c r="I1133" i="2"/>
  <c r="H1133" i="2"/>
  <c r="G1133" i="2"/>
  <c r="F1133" i="2"/>
  <c r="M1129" i="2"/>
  <c r="L1129" i="2"/>
  <c r="K1129" i="2"/>
  <c r="J1129" i="2"/>
  <c r="I1129" i="2"/>
  <c r="H1129" i="2"/>
  <c r="G1129" i="2"/>
  <c r="F1129" i="2"/>
  <c r="I1137" i="2"/>
  <c r="H1137" i="2"/>
  <c r="G1137" i="2"/>
  <c r="F1137" i="2"/>
  <c r="E1156" i="2"/>
  <c r="M1137" i="2"/>
  <c r="L1137" i="2"/>
  <c r="K1137" i="2"/>
  <c r="J1137" i="2"/>
  <c r="E1143" i="2"/>
  <c r="D1153" i="2"/>
  <c r="E1139" i="2"/>
  <c r="D1149" i="2"/>
  <c r="E1158" i="2"/>
  <c r="D1168" i="2"/>
  <c r="M1148" i="2"/>
  <c r="L1148" i="2"/>
  <c r="K1148" i="2"/>
  <c r="I1148" i="2"/>
  <c r="J1148" i="2"/>
  <c r="H1148" i="2"/>
  <c r="G1148" i="2"/>
  <c r="F1148" i="2"/>
  <c r="M1134" i="2"/>
  <c r="L1134" i="2"/>
  <c r="K1134" i="2"/>
  <c r="J1134" i="2"/>
  <c r="I1134" i="2"/>
  <c r="H1134" i="2"/>
  <c r="G1134" i="2"/>
  <c r="F1134" i="2"/>
  <c r="E1141" i="2"/>
  <c r="D1151" i="2"/>
  <c r="E1144" i="2"/>
  <c r="D1154" i="2"/>
  <c r="M1131" i="2"/>
  <c r="L1131" i="2"/>
  <c r="K1131" i="2"/>
  <c r="J1131" i="2"/>
  <c r="I1131" i="2"/>
  <c r="H1131" i="2"/>
  <c r="G1131" i="2"/>
  <c r="F1131" i="2"/>
  <c r="O1143" i="2"/>
  <c r="O1147" i="2"/>
  <c r="O1139" i="2"/>
  <c r="O1160" i="2"/>
  <c r="O1158" i="2"/>
  <c r="O1152" i="2"/>
  <c r="O1144" i="2"/>
  <c r="O1141" i="2"/>
  <c r="E1154" i="2" l="1"/>
  <c r="D1164" i="2"/>
  <c r="D1178" i="2"/>
  <c r="E1168" i="2"/>
  <c r="M1158" i="2"/>
  <c r="K1158" i="2"/>
  <c r="L1158" i="2"/>
  <c r="J1158" i="2"/>
  <c r="I1158" i="2"/>
  <c r="H1158" i="2"/>
  <c r="G1158" i="2"/>
  <c r="F1158" i="2"/>
  <c r="E1162" i="2"/>
  <c r="D1172" i="2"/>
  <c r="D1161" i="2"/>
  <c r="E1151" i="2"/>
  <c r="E1149" i="2"/>
  <c r="D1159" i="2"/>
  <c r="K1152" i="2"/>
  <c r="J1152" i="2"/>
  <c r="I1152" i="2"/>
  <c r="H1152" i="2"/>
  <c r="G1152" i="2"/>
  <c r="F1152" i="2"/>
  <c r="M1152" i="2"/>
  <c r="L1152" i="2"/>
  <c r="M1141" i="2"/>
  <c r="K1141" i="2"/>
  <c r="L1141" i="2"/>
  <c r="J1141" i="2"/>
  <c r="I1141" i="2"/>
  <c r="H1141" i="2"/>
  <c r="G1141" i="2"/>
  <c r="F1141" i="2"/>
  <c r="M1139" i="2"/>
  <c r="L1139" i="2"/>
  <c r="K1139" i="2"/>
  <c r="J1139" i="2"/>
  <c r="I1139" i="2"/>
  <c r="H1139" i="2"/>
  <c r="G1139" i="2"/>
  <c r="F1139" i="2"/>
  <c r="E1153" i="2"/>
  <c r="D1163" i="2"/>
  <c r="G1144" i="2"/>
  <c r="F1144" i="2"/>
  <c r="M1144" i="2"/>
  <c r="L1144" i="2"/>
  <c r="K1144" i="2"/>
  <c r="J1144" i="2"/>
  <c r="I1144" i="2"/>
  <c r="H1144" i="2"/>
  <c r="M1143" i="2"/>
  <c r="L1143" i="2"/>
  <c r="K1143" i="2"/>
  <c r="J1143" i="2"/>
  <c r="I1143" i="2"/>
  <c r="G1143" i="2"/>
  <c r="H1143" i="2"/>
  <c r="F1143" i="2"/>
  <c r="E1157" i="2"/>
  <c r="D1167" i="2"/>
  <c r="E1170" i="2"/>
  <c r="D1180" i="2"/>
  <c r="K1147" i="2"/>
  <c r="J1147" i="2"/>
  <c r="I1147" i="2"/>
  <c r="H1147" i="2"/>
  <c r="G1147" i="2"/>
  <c r="F1147" i="2"/>
  <c r="E1166" i="2"/>
  <c r="M1147" i="2"/>
  <c r="L1147" i="2"/>
  <c r="M1160" i="2"/>
  <c r="L1160" i="2"/>
  <c r="K1160" i="2"/>
  <c r="J1160" i="2"/>
  <c r="I1160" i="2"/>
  <c r="G1160" i="2"/>
  <c r="H1160" i="2"/>
  <c r="F1160" i="2"/>
  <c r="O1149" i="2"/>
  <c r="O1151" i="2"/>
  <c r="O1154" i="2"/>
  <c r="O1170" i="2"/>
  <c r="O1162" i="2"/>
  <c r="O1157" i="2"/>
  <c r="O1153" i="2"/>
  <c r="O1168" i="2"/>
  <c r="E1159" i="2" l="1"/>
  <c r="D1169" i="2"/>
  <c r="G1149" i="2"/>
  <c r="F1149" i="2"/>
  <c r="H1149" i="2"/>
  <c r="M1149" i="2"/>
  <c r="L1149" i="2"/>
  <c r="K1149" i="2"/>
  <c r="I1149" i="2"/>
  <c r="J1149" i="2"/>
  <c r="M1151" i="2"/>
  <c r="L1151" i="2"/>
  <c r="K1151" i="2"/>
  <c r="J1151" i="2"/>
  <c r="I1151" i="2"/>
  <c r="H1151" i="2"/>
  <c r="G1151" i="2"/>
  <c r="F1151" i="2"/>
  <c r="E1161" i="2"/>
  <c r="D1171" i="2"/>
  <c r="E1172" i="2"/>
  <c r="D1182" i="2"/>
  <c r="M1162" i="2"/>
  <c r="L1162" i="2"/>
  <c r="K1162" i="2"/>
  <c r="J1162" i="2"/>
  <c r="I1162" i="2"/>
  <c r="H1162" i="2"/>
  <c r="G1162" i="2"/>
  <c r="F1162" i="2"/>
  <c r="E1180" i="2"/>
  <c r="D1190" i="2"/>
  <c r="E1163" i="2"/>
  <c r="D1173" i="2"/>
  <c r="M1168" i="2"/>
  <c r="K1168" i="2"/>
  <c r="J1168" i="2"/>
  <c r="I1168" i="2"/>
  <c r="H1168" i="2"/>
  <c r="G1168" i="2"/>
  <c r="F1168" i="2"/>
  <c r="L1168" i="2"/>
  <c r="M1170" i="2"/>
  <c r="L1170" i="2"/>
  <c r="K1170" i="2"/>
  <c r="J1170" i="2"/>
  <c r="I1170" i="2"/>
  <c r="G1170" i="2"/>
  <c r="H1170" i="2"/>
  <c r="F1170" i="2"/>
  <c r="M1153" i="2"/>
  <c r="L1153" i="2"/>
  <c r="K1153" i="2"/>
  <c r="I1153" i="2"/>
  <c r="J1153" i="2"/>
  <c r="H1153" i="2"/>
  <c r="G1153" i="2"/>
  <c r="F1153" i="2"/>
  <c r="E1178" i="2"/>
  <c r="D1188" i="2"/>
  <c r="E1167" i="2"/>
  <c r="D1177" i="2"/>
  <c r="E1164" i="2"/>
  <c r="D1174" i="2"/>
  <c r="M1157" i="2"/>
  <c r="L1157" i="2"/>
  <c r="K1157" i="2"/>
  <c r="J1157" i="2"/>
  <c r="I1157" i="2"/>
  <c r="H1157" i="2"/>
  <c r="G1157" i="2"/>
  <c r="F1157" i="2"/>
  <c r="E1176" i="2"/>
  <c r="G1154" i="2"/>
  <c r="F1154" i="2"/>
  <c r="M1154" i="2"/>
  <c r="L1154" i="2"/>
  <c r="K1154" i="2"/>
  <c r="J1154" i="2"/>
  <c r="I1154" i="2"/>
  <c r="H1154" i="2"/>
  <c r="O1163" i="2"/>
  <c r="O1161" i="2"/>
  <c r="O1172" i="2"/>
  <c r="O1167" i="2"/>
  <c r="O1180" i="2"/>
  <c r="O1178" i="2"/>
  <c r="O1159" i="2"/>
  <c r="O1164" i="2"/>
  <c r="M1178" i="2" l="1"/>
  <c r="G1178" i="2"/>
  <c r="F1178" i="2"/>
  <c r="L1178" i="2"/>
  <c r="K1178" i="2"/>
  <c r="J1178" i="2"/>
  <c r="I1178" i="2"/>
  <c r="H1178" i="2"/>
  <c r="M1161" i="2"/>
  <c r="L1161" i="2"/>
  <c r="K1161" i="2"/>
  <c r="J1161" i="2"/>
  <c r="I1161" i="2"/>
  <c r="H1161" i="2"/>
  <c r="G1161" i="2"/>
  <c r="F1161" i="2"/>
  <c r="E1188" i="2"/>
  <c r="D1198" i="2"/>
  <c r="D1183" i="2"/>
  <c r="E1173" i="2"/>
  <c r="M1163" i="2"/>
  <c r="L1163" i="2"/>
  <c r="K1163" i="2"/>
  <c r="H1163" i="2"/>
  <c r="G1163" i="2"/>
  <c r="F1163" i="2"/>
  <c r="J1163" i="2"/>
  <c r="I1163" i="2"/>
  <c r="D1200" i="2"/>
  <c r="E1190" i="2"/>
  <c r="M1180" i="2"/>
  <c r="L1180" i="2"/>
  <c r="K1180" i="2"/>
  <c r="I1180" i="2"/>
  <c r="J1180" i="2"/>
  <c r="H1180" i="2"/>
  <c r="G1180" i="2"/>
  <c r="F1180" i="2"/>
  <c r="E1171" i="2"/>
  <c r="D1181" i="2"/>
  <c r="E1174" i="2"/>
  <c r="D1184" i="2"/>
  <c r="I1164" i="2"/>
  <c r="H1164" i="2"/>
  <c r="G1164" i="2"/>
  <c r="F1164" i="2"/>
  <c r="M1164" i="2"/>
  <c r="L1164" i="2"/>
  <c r="K1164" i="2"/>
  <c r="J1164" i="2"/>
  <c r="E1177" i="2"/>
  <c r="D1187" i="2"/>
  <c r="E1182" i="2"/>
  <c r="D1192" i="2"/>
  <c r="E1169" i="2"/>
  <c r="D1179" i="2"/>
  <c r="M1167" i="2"/>
  <c r="L1167" i="2"/>
  <c r="K1167" i="2"/>
  <c r="J1167" i="2"/>
  <c r="I1167" i="2"/>
  <c r="H1167" i="2"/>
  <c r="G1167" i="2"/>
  <c r="F1167" i="2"/>
  <c r="E1186" i="2"/>
  <c r="M1172" i="2"/>
  <c r="L1172" i="2"/>
  <c r="K1172" i="2"/>
  <c r="J1172" i="2"/>
  <c r="I1172" i="2"/>
  <c r="H1172" i="2"/>
  <c r="G1172" i="2"/>
  <c r="F1172" i="2"/>
  <c r="I1159" i="2"/>
  <c r="H1159" i="2"/>
  <c r="G1159" i="2"/>
  <c r="F1159" i="2"/>
  <c r="M1159" i="2"/>
  <c r="L1159" i="2"/>
  <c r="K1159" i="2"/>
  <c r="J1159" i="2"/>
  <c r="O1177" i="2"/>
  <c r="O1182" i="2"/>
  <c r="O1188" i="2"/>
  <c r="O1174" i="2"/>
  <c r="O1173" i="2"/>
  <c r="O1190" i="2"/>
  <c r="O1169" i="2"/>
  <c r="O1171" i="2"/>
  <c r="G1171" i="2" l="1"/>
  <c r="F1171" i="2"/>
  <c r="M1171" i="2"/>
  <c r="L1171" i="2"/>
  <c r="K1171" i="2"/>
  <c r="J1171" i="2"/>
  <c r="I1171" i="2"/>
  <c r="H1171" i="2"/>
  <c r="E1183" i="2"/>
  <c r="D1193" i="2"/>
  <c r="E1198" i="2"/>
  <c r="D1208" i="2"/>
  <c r="M1173" i="2"/>
  <c r="K1173" i="2"/>
  <c r="L1173" i="2"/>
  <c r="J1173" i="2"/>
  <c r="I1173" i="2"/>
  <c r="H1173" i="2"/>
  <c r="G1173" i="2"/>
  <c r="F1173" i="2"/>
  <c r="G1188" i="2"/>
  <c r="F1188" i="2"/>
  <c r="M1188" i="2"/>
  <c r="J1188" i="2"/>
  <c r="I1188" i="2"/>
  <c r="H1188" i="2"/>
  <c r="L1188" i="2"/>
  <c r="K1188" i="2"/>
  <c r="E1179" i="2"/>
  <c r="D1189" i="2"/>
  <c r="K1169" i="2"/>
  <c r="J1169" i="2"/>
  <c r="I1169" i="2"/>
  <c r="H1169" i="2"/>
  <c r="G1169" i="2"/>
  <c r="F1169" i="2"/>
  <c r="M1169" i="2"/>
  <c r="L1169" i="2"/>
  <c r="E1192" i="2"/>
  <c r="D1202" i="2"/>
  <c r="M1182" i="2"/>
  <c r="L1182" i="2"/>
  <c r="K1182" i="2"/>
  <c r="J1182" i="2"/>
  <c r="I1182" i="2"/>
  <c r="H1182" i="2"/>
  <c r="G1182" i="2"/>
  <c r="F1182" i="2"/>
  <c r="E1187" i="2"/>
  <c r="D1197" i="2"/>
  <c r="E1196" i="2"/>
  <c r="M1177" i="2"/>
  <c r="L1177" i="2"/>
  <c r="K1177" i="2"/>
  <c r="J1177" i="2"/>
  <c r="I1177" i="2"/>
  <c r="H1177" i="2"/>
  <c r="G1177" i="2"/>
  <c r="F1177" i="2"/>
  <c r="M1190" i="2"/>
  <c r="L1190" i="2"/>
  <c r="K1190" i="2"/>
  <c r="I1190" i="2"/>
  <c r="J1190" i="2"/>
  <c r="H1190" i="2"/>
  <c r="G1190" i="2"/>
  <c r="F1190" i="2"/>
  <c r="E1200" i="2"/>
  <c r="D1210" i="2"/>
  <c r="E1181" i="2"/>
  <c r="D1191" i="2"/>
  <c r="E1184" i="2"/>
  <c r="D1194" i="2"/>
  <c r="K1174" i="2"/>
  <c r="J1174" i="2"/>
  <c r="I1174" i="2"/>
  <c r="H1174" i="2"/>
  <c r="G1174" i="2"/>
  <c r="F1174" i="2"/>
  <c r="M1174" i="2"/>
  <c r="L1174" i="2"/>
  <c r="O1187" i="2"/>
  <c r="O1181" i="2"/>
  <c r="O1183" i="2"/>
  <c r="O1192" i="2"/>
  <c r="O1184" i="2"/>
  <c r="O1179" i="2"/>
  <c r="O1198" i="2"/>
  <c r="O1200" i="2"/>
  <c r="M1192" i="2" l="1"/>
  <c r="L1192" i="2"/>
  <c r="K1192" i="2"/>
  <c r="J1192" i="2"/>
  <c r="I1192" i="2"/>
  <c r="H1192" i="2"/>
  <c r="G1192" i="2"/>
  <c r="F1192" i="2"/>
  <c r="E1202" i="2"/>
  <c r="D1212" i="2"/>
  <c r="E1194" i="2"/>
  <c r="D1204" i="2"/>
  <c r="M1184" i="2"/>
  <c r="L1184" i="2"/>
  <c r="K1184" i="2"/>
  <c r="J1184" i="2"/>
  <c r="I1184" i="2"/>
  <c r="H1184" i="2"/>
  <c r="G1184" i="2"/>
  <c r="F1184" i="2"/>
  <c r="E1208" i="2"/>
  <c r="D1218" i="2"/>
  <c r="E1191" i="2"/>
  <c r="D1201" i="2"/>
  <c r="M1198" i="2"/>
  <c r="K1198" i="2"/>
  <c r="I1198" i="2"/>
  <c r="L1198" i="2"/>
  <c r="J1198" i="2"/>
  <c r="H1198" i="2"/>
  <c r="G1198" i="2"/>
  <c r="F1198" i="2"/>
  <c r="I1181" i="2"/>
  <c r="H1181" i="2"/>
  <c r="G1181" i="2"/>
  <c r="F1181" i="2"/>
  <c r="M1181" i="2"/>
  <c r="L1181" i="2"/>
  <c r="K1181" i="2"/>
  <c r="J1181" i="2"/>
  <c r="E1197" i="2"/>
  <c r="D1207" i="2"/>
  <c r="E1189" i="2"/>
  <c r="D1199" i="2"/>
  <c r="E1193" i="2"/>
  <c r="D1203" i="2"/>
  <c r="E1210" i="2"/>
  <c r="D1220" i="2"/>
  <c r="E1206" i="2"/>
  <c r="M1187" i="2"/>
  <c r="L1187" i="2"/>
  <c r="K1187" i="2"/>
  <c r="J1187" i="2"/>
  <c r="I1187" i="2"/>
  <c r="H1187" i="2"/>
  <c r="G1187" i="2"/>
  <c r="F1187" i="2"/>
  <c r="M1179" i="2"/>
  <c r="L1179" i="2"/>
  <c r="K1179" i="2"/>
  <c r="J1179" i="2"/>
  <c r="I1179" i="2"/>
  <c r="H1179" i="2"/>
  <c r="G1179" i="2"/>
  <c r="F1179" i="2"/>
  <c r="M1183" i="2"/>
  <c r="K1183" i="2"/>
  <c r="L1183" i="2"/>
  <c r="J1183" i="2"/>
  <c r="I1183" i="2"/>
  <c r="H1183" i="2"/>
  <c r="G1183" i="2"/>
  <c r="F1183" i="2"/>
  <c r="I1200" i="2"/>
  <c r="G1200" i="2"/>
  <c r="M1200" i="2"/>
  <c r="L1200" i="2"/>
  <c r="K1200" i="2"/>
  <c r="J1200" i="2"/>
  <c r="H1200" i="2"/>
  <c r="F1200" i="2"/>
  <c r="O1189" i="2"/>
  <c r="O1202" i="2"/>
  <c r="O1193" i="2"/>
  <c r="O1208" i="2"/>
  <c r="O1197" i="2"/>
  <c r="O1191" i="2"/>
  <c r="O1194" i="2"/>
  <c r="O1210" i="2"/>
  <c r="E1204" i="2" l="1"/>
  <c r="D1214" i="2"/>
  <c r="M1194" i="2"/>
  <c r="L1194" i="2"/>
  <c r="K1194" i="2"/>
  <c r="J1194" i="2"/>
  <c r="I1194" i="2"/>
  <c r="H1194" i="2"/>
  <c r="G1194" i="2"/>
  <c r="F1194" i="2"/>
  <c r="E1212" i="2"/>
  <c r="D1222" i="2"/>
  <c r="M1202" i="2"/>
  <c r="L1202" i="2"/>
  <c r="K1202" i="2"/>
  <c r="J1202" i="2"/>
  <c r="I1202" i="2"/>
  <c r="H1202" i="2"/>
  <c r="G1202" i="2"/>
  <c r="F1202" i="2"/>
  <c r="E1220" i="2"/>
  <c r="D1230" i="2"/>
  <c r="K1210" i="2"/>
  <c r="I1210" i="2"/>
  <c r="G1210" i="2"/>
  <c r="M1210" i="2"/>
  <c r="L1210" i="2"/>
  <c r="J1210" i="2"/>
  <c r="H1210" i="2"/>
  <c r="F1210" i="2"/>
  <c r="D1213" i="2"/>
  <c r="E1203" i="2"/>
  <c r="K1193" i="2"/>
  <c r="I1193" i="2"/>
  <c r="G1193" i="2"/>
  <c r="H1193" i="2"/>
  <c r="F1193" i="2"/>
  <c r="M1193" i="2"/>
  <c r="L1193" i="2"/>
  <c r="J1193" i="2"/>
  <c r="E1199" i="2"/>
  <c r="D1209" i="2"/>
  <c r="E1201" i="2"/>
  <c r="D1211" i="2"/>
  <c r="M1189" i="2"/>
  <c r="L1189" i="2"/>
  <c r="K1189" i="2"/>
  <c r="J1189" i="2"/>
  <c r="I1189" i="2"/>
  <c r="H1189" i="2"/>
  <c r="G1189" i="2"/>
  <c r="F1189" i="2"/>
  <c r="K1191" i="2"/>
  <c r="J1191" i="2"/>
  <c r="I1191" i="2"/>
  <c r="H1191" i="2"/>
  <c r="G1191" i="2"/>
  <c r="F1191" i="2"/>
  <c r="M1191" i="2"/>
  <c r="L1191" i="2"/>
  <c r="E1207" i="2"/>
  <c r="D1217" i="2"/>
  <c r="E1218" i="2"/>
  <c r="D1228" i="2"/>
  <c r="G1197" i="2"/>
  <c r="F1197" i="2"/>
  <c r="E1216" i="2"/>
  <c r="M1197" i="2"/>
  <c r="L1197" i="2"/>
  <c r="K1197" i="2"/>
  <c r="J1197" i="2"/>
  <c r="I1197" i="2"/>
  <c r="H1197" i="2"/>
  <c r="M1208" i="2"/>
  <c r="K1208" i="2"/>
  <c r="I1208" i="2"/>
  <c r="L1208" i="2"/>
  <c r="J1208" i="2"/>
  <c r="H1208" i="2"/>
  <c r="G1208" i="2"/>
  <c r="F1208" i="2"/>
  <c r="O1203" i="2"/>
  <c r="O1218" i="2"/>
  <c r="O1201" i="2"/>
  <c r="O1212" i="2"/>
  <c r="O1220" i="2"/>
  <c r="O1199" i="2"/>
  <c r="O1204" i="2"/>
  <c r="O1207" i="2"/>
  <c r="M1203" i="2" l="1"/>
  <c r="K1203" i="2"/>
  <c r="I1203" i="2"/>
  <c r="G1203" i="2"/>
  <c r="L1203" i="2"/>
  <c r="J1203" i="2"/>
  <c r="H1203" i="2"/>
  <c r="F1203" i="2"/>
  <c r="E1222" i="2"/>
  <c r="D1232" i="2"/>
  <c r="E1213" i="2"/>
  <c r="D1223" i="2"/>
  <c r="G1212" i="2"/>
  <c r="M1212" i="2"/>
  <c r="L1212" i="2"/>
  <c r="K1212" i="2"/>
  <c r="J1212" i="2"/>
  <c r="I1212" i="2"/>
  <c r="H1212" i="2"/>
  <c r="F1212" i="2"/>
  <c r="E1228" i="2"/>
  <c r="D1238" i="2"/>
  <c r="E1211" i="2"/>
  <c r="D1221" i="2"/>
  <c r="M1218" i="2"/>
  <c r="K1218" i="2"/>
  <c r="I1218" i="2"/>
  <c r="L1218" i="2"/>
  <c r="J1218" i="2"/>
  <c r="H1218" i="2"/>
  <c r="G1218" i="2"/>
  <c r="F1218" i="2"/>
  <c r="M1201" i="2"/>
  <c r="L1201" i="2"/>
  <c r="K1201" i="2"/>
  <c r="J1201" i="2"/>
  <c r="I1201" i="2"/>
  <c r="H1201" i="2"/>
  <c r="G1201" i="2"/>
  <c r="F1201" i="2"/>
  <c r="E1217" i="2"/>
  <c r="D1227" i="2"/>
  <c r="D1219" i="2"/>
  <c r="E1209" i="2"/>
  <c r="E1230" i="2"/>
  <c r="D1240" i="2"/>
  <c r="D1224" i="2"/>
  <c r="E1214" i="2"/>
  <c r="G1207" i="2"/>
  <c r="M1207" i="2"/>
  <c r="L1207" i="2"/>
  <c r="E1226" i="2"/>
  <c r="K1207" i="2"/>
  <c r="J1207" i="2"/>
  <c r="I1207" i="2"/>
  <c r="H1207" i="2"/>
  <c r="F1207" i="2"/>
  <c r="F1199" i="2"/>
  <c r="M1199" i="2"/>
  <c r="L1199" i="2"/>
  <c r="K1199" i="2"/>
  <c r="J1199" i="2"/>
  <c r="I1199" i="2"/>
  <c r="H1199" i="2"/>
  <c r="G1199" i="2"/>
  <c r="M1220" i="2"/>
  <c r="K1220" i="2"/>
  <c r="J1220" i="2"/>
  <c r="I1220" i="2"/>
  <c r="G1220" i="2"/>
  <c r="L1220" i="2"/>
  <c r="H1220" i="2"/>
  <c r="F1220" i="2"/>
  <c r="M1204" i="2"/>
  <c r="L1204" i="2"/>
  <c r="K1204" i="2"/>
  <c r="J1204" i="2"/>
  <c r="I1204" i="2"/>
  <c r="H1204" i="2"/>
  <c r="G1204" i="2"/>
  <c r="F1204" i="2"/>
  <c r="O1214" i="2"/>
  <c r="O1217" i="2"/>
  <c r="O1222" i="2"/>
  <c r="O1211" i="2"/>
  <c r="O1228" i="2"/>
  <c r="O1209" i="2"/>
  <c r="O1213" i="2"/>
  <c r="O1230" i="2"/>
  <c r="E1223" i="2" l="1"/>
  <c r="D1233" i="2"/>
  <c r="M1213" i="2"/>
  <c r="L1213" i="2"/>
  <c r="K1213" i="2"/>
  <c r="I1213" i="2"/>
  <c r="G1213" i="2"/>
  <c r="H1213" i="2"/>
  <c r="F1213" i="2"/>
  <c r="J1213" i="2"/>
  <c r="E1232" i="2"/>
  <c r="D1242" i="2"/>
  <c r="I1222" i="2"/>
  <c r="G1222" i="2"/>
  <c r="F1222" i="2"/>
  <c r="J1222" i="2"/>
  <c r="H1222" i="2"/>
  <c r="M1222" i="2"/>
  <c r="K1222" i="2"/>
  <c r="L1222" i="2"/>
  <c r="M1214" i="2"/>
  <c r="L1214" i="2"/>
  <c r="K1214" i="2"/>
  <c r="J1214" i="2"/>
  <c r="I1214" i="2"/>
  <c r="H1214" i="2"/>
  <c r="G1214" i="2"/>
  <c r="F1214" i="2"/>
  <c r="E1224" i="2"/>
  <c r="D1234" i="2"/>
  <c r="E1240" i="2"/>
  <c r="D1250" i="2"/>
  <c r="M1230" i="2"/>
  <c r="L1230" i="2"/>
  <c r="K1230" i="2"/>
  <c r="I1230" i="2"/>
  <c r="G1230" i="2"/>
  <c r="J1230" i="2"/>
  <c r="H1230" i="2"/>
  <c r="F1230" i="2"/>
  <c r="F1209" i="2"/>
  <c r="M1209" i="2"/>
  <c r="L1209" i="2"/>
  <c r="K1209" i="2"/>
  <c r="J1209" i="2"/>
  <c r="I1209" i="2"/>
  <c r="H1209" i="2"/>
  <c r="G1209" i="2"/>
  <c r="E1221" i="2"/>
  <c r="D1231" i="2"/>
  <c r="E1219" i="2"/>
  <c r="D1229" i="2"/>
  <c r="M1211" i="2"/>
  <c r="F1211" i="2"/>
  <c r="L1211" i="2"/>
  <c r="K1211" i="2"/>
  <c r="J1211" i="2"/>
  <c r="I1211" i="2"/>
  <c r="H1211" i="2"/>
  <c r="G1211" i="2"/>
  <c r="E1227" i="2"/>
  <c r="D1237" i="2"/>
  <c r="E1238" i="2"/>
  <c r="D1248" i="2"/>
  <c r="I1217" i="2"/>
  <c r="G1217" i="2"/>
  <c r="F1217" i="2"/>
  <c r="M1217" i="2"/>
  <c r="L1217" i="2"/>
  <c r="K1217" i="2"/>
  <c r="J1217" i="2"/>
  <c r="H1217" i="2"/>
  <c r="E1236" i="2"/>
  <c r="M1228" i="2"/>
  <c r="K1228" i="2"/>
  <c r="L1228" i="2"/>
  <c r="J1228" i="2"/>
  <c r="I1228" i="2"/>
  <c r="H1228" i="2"/>
  <c r="G1228" i="2"/>
  <c r="F1228" i="2"/>
  <c r="O1224" i="2"/>
  <c r="O1221" i="2"/>
  <c r="O1232" i="2"/>
  <c r="O1223" i="2"/>
  <c r="O1227" i="2"/>
  <c r="O1238" i="2"/>
  <c r="O1219" i="2"/>
  <c r="O1240" i="2"/>
  <c r="E1229" i="2" l="1"/>
  <c r="D1239" i="2"/>
  <c r="E1250" i="2"/>
  <c r="D1260" i="2"/>
  <c r="E1242" i="2"/>
  <c r="D1252" i="2"/>
  <c r="M1219" i="2"/>
  <c r="L1219" i="2"/>
  <c r="K1219" i="2"/>
  <c r="J1219" i="2"/>
  <c r="I1219" i="2"/>
  <c r="H1219" i="2"/>
  <c r="G1219" i="2"/>
  <c r="F1219" i="2"/>
  <c r="M1240" i="2"/>
  <c r="K1240" i="2"/>
  <c r="I1240" i="2"/>
  <c r="L1240" i="2"/>
  <c r="J1240" i="2"/>
  <c r="H1240" i="2"/>
  <c r="G1240" i="2"/>
  <c r="F1240" i="2"/>
  <c r="K1232" i="2"/>
  <c r="J1232" i="2"/>
  <c r="I1232" i="2"/>
  <c r="H1232" i="2"/>
  <c r="G1232" i="2"/>
  <c r="M1232" i="2"/>
  <c r="L1232" i="2"/>
  <c r="F1232" i="2"/>
  <c r="D1241" i="2"/>
  <c r="E1231" i="2"/>
  <c r="E1234" i="2"/>
  <c r="D1244" i="2"/>
  <c r="M1221" i="2"/>
  <c r="L1221" i="2"/>
  <c r="K1221" i="2"/>
  <c r="J1221" i="2"/>
  <c r="I1221" i="2"/>
  <c r="H1221" i="2"/>
  <c r="G1221" i="2"/>
  <c r="F1221" i="2"/>
  <c r="K1224" i="2"/>
  <c r="J1224" i="2"/>
  <c r="I1224" i="2"/>
  <c r="H1224" i="2"/>
  <c r="G1224" i="2"/>
  <c r="F1224" i="2"/>
  <c r="M1224" i="2"/>
  <c r="L1224" i="2"/>
  <c r="D1258" i="2"/>
  <c r="E1248" i="2"/>
  <c r="M1238" i="2"/>
  <c r="H1238" i="2"/>
  <c r="G1238" i="2"/>
  <c r="F1238" i="2"/>
  <c r="L1238" i="2"/>
  <c r="K1238" i="2"/>
  <c r="J1238" i="2"/>
  <c r="I1238" i="2"/>
  <c r="E1237" i="2"/>
  <c r="D1247" i="2"/>
  <c r="E1233" i="2"/>
  <c r="D1243" i="2"/>
  <c r="K1227" i="2"/>
  <c r="J1227" i="2"/>
  <c r="I1227" i="2"/>
  <c r="H1227" i="2"/>
  <c r="G1227" i="2"/>
  <c r="E1246" i="2"/>
  <c r="M1227" i="2"/>
  <c r="L1227" i="2"/>
  <c r="F1227" i="2"/>
  <c r="M1223" i="2"/>
  <c r="K1223" i="2"/>
  <c r="I1223" i="2"/>
  <c r="L1223" i="2"/>
  <c r="J1223" i="2"/>
  <c r="H1223" i="2"/>
  <c r="G1223" i="2"/>
  <c r="F1223" i="2"/>
  <c r="O1229" i="2"/>
  <c r="O1250" i="2"/>
  <c r="O1242" i="2"/>
  <c r="O1237" i="2"/>
  <c r="O1234" i="2"/>
  <c r="O1248" i="2"/>
  <c r="O1233" i="2"/>
  <c r="O1231" i="2"/>
  <c r="E1244" i="2" l="1"/>
  <c r="D1254" i="2"/>
  <c r="G1234" i="2"/>
  <c r="F1234" i="2"/>
  <c r="M1234" i="2"/>
  <c r="L1234" i="2"/>
  <c r="K1234" i="2"/>
  <c r="J1234" i="2"/>
  <c r="I1234" i="2"/>
  <c r="H1234" i="2"/>
  <c r="G1248" i="2"/>
  <c r="F1248" i="2"/>
  <c r="M1248" i="2"/>
  <c r="L1248" i="2"/>
  <c r="K1248" i="2"/>
  <c r="J1248" i="2"/>
  <c r="I1248" i="2"/>
  <c r="H1248" i="2"/>
  <c r="I1231" i="2"/>
  <c r="H1231" i="2"/>
  <c r="G1231" i="2"/>
  <c r="F1231" i="2"/>
  <c r="M1231" i="2"/>
  <c r="L1231" i="2"/>
  <c r="K1231" i="2"/>
  <c r="J1231" i="2"/>
  <c r="E1258" i="2"/>
  <c r="D1268" i="2"/>
  <c r="E1241" i="2"/>
  <c r="D1251" i="2"/>
  <c r="E1252" i="2"/>
  <c r="D1262" i="2"/>
  <c r="M1242" i="2"/>
  <c r="L1242" i="2"/>
  <c r="K1242" i="2"/>
  <c r="J1242" i="2"/>
  <c r="I1242" i="2"/>
  <c r="G1242" i="2"/>
  <c r="H1242" i="2"/>
  <c r="F1242" i="2"/>
  <c r="E1243" i="2"/>
  <c r="D1253" i="2"/>
  <c r="E1260" i="2"/>
  <c r="D1270" i="2"/>
  <c r="M1233" i="2"/>
  <c r="K1233" i="2"/>
  <c r="L1233" i="2"/>
  <c r="J1233" i="2"/>
  <c r="I1233" i="2"/>
  <c r="H1233" i="2"/>
  <c r="G1233" i="2"/>
  <c r="F1233" i="2"/>
  <c r="M1250" i="2"/>
  <c r="K1250" i="2"/>
  <c r="L1250" i="2"/>
  <c r="J1250" i="2"/>
  <c r="I1250" i="2"/>
  <c r="H1250" i="2"/>
  <c r="G1250" i="2"/>
  <c r="F1250" i="2"/>
  <c r="E1247" i="2"/>
  <c r="D1257" i="2"/>
  <c r="E1239" i="2"/>
  <c r="D1249" i="2"/>
  <c r="M1237" i="2"/>
  <c r="L1237" i="2"/>
  <c r="K1237" i="2"/>
  <c r="J1237" i="2"/>
  <c r="I1237" i="2"/>
  <c r="G1237" i="2"/>
  <c r="H1237" i="2"/>
  <c r="F1237" i="2"/>
  <c r="E1256" i="2"/>
  <c r="G1229" i="2"/>
  <c r="F1229" i="2"/>
  <c r="M1229" i="2"/>
  <c r="L1229" i="2"/>
  <c r="K1229" i="2"/>
  <c r="J1229" i="2"/>
  <c r="I1229" i="2"/>
  <c r="H1229" i="2"/>
  <c r="O1258" i="2"/>
  <c r="O1244" i="2"/>
  <c r="O1252" i="2"/>
  <c r="O1260" i="2"/>
  <c r="O1247" i="2"/>
  <c r="O1243" i="2"/>
  <c r="O1239" i="2"/>
  <c r="O1241" i="2"/>
  <c r="E1262" i="2" l="1"/>
  <c r="D1272" i="2"/>
  <c r="M1252" i="2"/>
  <c r="L1252" i="2"/>
  <c r="K1252" i="2"/>
  <c r="J1252" i="2"/>
  <c r="I1252" i="2"/>
  <c r="G1252" i="2"/>
  <c r="H1252" i="2"/>
  <c r="F1252" i="2"/>
  <c r="E1251" i="2"/>
  <c r="D1261" i="2"/>
  <c r="F1241" i="2"/>
  <c r="G1241" i="2"/>
  <c r="M1241" i="2"/>
  <c r="L1241" i="2"/>
  <c r="K1241" i="2"/>
  <c r="J1241" i="2"/>
  <c r="I1241" i="2"/>
  <c r="H1241" i="2"/>
  <c r="E1268" i="2"/>
  <c r="D1278" i="2"/>
  <c r="F1258" i="2"/>
  <c r="J1258" i="2"/>
  <c r="I1258" i="2"/>
  <c r="H1258" i="2"/>
  <c r="G1258" i="2"/>
  <c r="M1258" i="2"/>
  <c r="L1258" i="2"/>
  <c r="K1258" i="2"/>
  <c r="E1249" i="2"/>
  <c r="D1259" i="2"/>
  <c r="D1280" i="2"/>
  <c r="E1270" i="2"/>
  <c r="J1239" i="2"/>
  <c r="I1239" i="2"/>
  <c r="H1239" i="2"/>
  <c r="G1239" i="2"/>
  <c r="F1239" i="2"/>
  <c r="M1239" i="2"/>
  <c r="L1239" i="2"/>
  <c r="K1239" i="2"/>
  <c r="M1260" i="2"/>
  <c r="K1260" i="2"/>
  <c r="I1260" i="2"/>
  <c r="L1260" i="2"/>
  <c r="J1260" i="2"/>
  <c r="H1260" i="2"/>
  <c r="G1260" i="2"/>
  <c r="F1260" i="2"/>
  <c r="E1257" i="2"/>
  <c r="D1267" i="2"/>
  <c r="D1263" i="2"/>
  <c r="E1253" i="2"/>
  <c r="E1254" i="2"/>
  <c r="D1264" i="2"/>
  <c r="M1247" i="2"/>
  <c r="L1247" i="2"/>
  <c r="K1247" i="2"/>
  <c r="I1247" i="2"/>
  <c r="G1247" i="2"/>
  <c r="E1266" i="2"/>
  <c r="J1247" i="2"/>
  <c r="H1247" i="2"/>
  <c r="F1247" i="2"/>
  <c r="M1243" i="2"/>
  <c r="J1243" i="2"/>
  <c r="I1243" i="2"/>
  <c r="H1243" i="2"/>
  <c r="G1243" i="2"/>
  <c r="F1243" i="2"/>
  <c r="L1243" i="2"/>
  <c r="K1243" i="2"/>
  <c r="J1244" i="2"/>
  <c r="I1244" i="2"/>
  <c r="H1244" i="2"/>
  <c r="G1244" i="2"/>
  <c r="F1244" i="2"/>
  <c r="M1244" i="2"/>
  <c r="L1244" i="2"/>
  <c r="K1244" i="2"/>
  <c r="O1253" i="2"/>
  <c r="O1249" i="2"/>
  <c r="O1270" i="2"/>
  <c r="O1268" i="2"/>
  <c r="O1262" i="2"/>
  <c r="O1251" i="2"/>
  <c r="O1257" i="2"/>
  <c r="O1254" i="2"/>
  <c r="E1264" i="2" l="1"/>
  <c r="D1274" i="2"/>
  <c r="L1254" i="2"/>
  <c r="K1254" i="2"/>
  <c r="J1254" i="2"/>
  <c r="I1254" i="2"/>
  <c r="H1254" i="2"/>
  <c r="G1254" i="2"/>
  <c r="F1254" i="2"/>
  <c r="M1254" i="2"/>
  <c r="K1253" i="2"/>
  <c r="J1253" i="2"/>
  <c r="I1253" i="2"/>
  <c r="H1253" i="2"/>
  <c r="G1253" i="2"/>
  <c r="F1253" i="2"/>
  <c r="M1253" i="2"/>
  <c r="L1253" i="2"/>
  <c r="M1270" i="2"/>
  <c r="K1270" i="2"/>
  <c r="L1270" i="2"/>
  <c r="J1270" i="2"/>
  <c r="I1270" i="2"/>
  <c r="H1270" i="2"/>
  <c r="G1270" i="2"/>
  <c r="F1270" i="2"/>
  <c r="E1263" i="2"/>
  <c r="D1273" i="2"/>
  <c r="E1280" i="2"/>
  <c r="D1290" i="2"/>
  <c r="E1267" i="2"/>
  <c r="D1277" i="2"/>
  <c r="E1259" i="2"/>
  <c r="D1269" i="2"/>
  <c r="E1261" i="2"/>
  <c r="D1271" i="2"/>
  <c r="E1276" i="2"/>
  <c r="M1257" i="2"/>
  <c r="L1257" i="2"/>
  <c r="K1257" i="2"/>
  <c r="I1257" i="2"/>
  <c r="J1257" i="2"/>
  <c r="H1257" i="2"/>
  <c r="G1257" i="2"/>
  <c r="F1257" i="2"/>
  <c r="L1249" i="2"/>
  <c r="K1249" i="2"/>
  <c r="J1249" i="2"/>
  <c r="I1249" i="2"/>
  <c r="H1249" i="2"/>
  <c r="G1249" i="2"/>
  <c r="M1249" i="2"/>
  <c r="F1249" i="2"/>
  <c r="H1251" i="2"/>
  <c r="G1251" i="2"/>
  <c r="F1251" i="2"/>
  <c r="M1251" i="2"/>
  <c r="L1251" i="2"/>
  <c r="K1251" i="2"/>
  <c r="J1251" i="2"/>
  <c r="I1251" i="2"/>
  <c r="E1278" i="2"/>
  <c r="D1288" i="2"/>
  <c r="E1272" i="2"/>
  <c r="D1282" i="2"/>
  <c r="H1268" i="2"/>
  <c r="G1268" i="2"/>
  <c r="F1268" i="2"/>
  <c r="M1268" i="2"/>
  <c r="L1268" i="2"/>
  <c r="K1268" i="2"/>
  <c r="J1268" i="2"/>
  <c r="I1268" i="2"/>
  <c r="M1262" i="2"/>
  <c r="L1262" i="2"/>
  <c r="K1262" i="2"/>
  <c r="I1262" i="2"/>
  <c r="G1262" i="2"/>
  <c r="J1262" i="2"/>
  <c r="H1262" i="2"/>
  <c r="F1262" i="2"/>
  <c r="O1264" i="2"/>
  <c r="O1280" i="2"/>
  <c r="O1272" i="2"/>
  <c r="O1267" i="2"/>
  <c r="O1263" i="2"/>
  <c r="O1261" i="2"/>
  <c r="O1278" i="2"/>
  <c r="O1259" i="2"/>
  <c r="E1271" i="2" l="1"/>
  <c r="D1281" i="2"/>
  <c r="J1261" i="2"/>
  <c r="I1261" i="2"/>
  <c r="H1261" i="2"/>
  <c r="G1261" i="2"/>
  <c r="F1261" i="2"/>
  <c r="M1261" i="2"/>
  <c r="L1261" i="2"/>
  <c r="K1261" i="2"/>
  <c r="E1269" i="2"/>
  <c r="D1279" i="2"/>
  <c r="M1259" i="2"/>
  <c r="L1259" i="2"/>
  <c r="K1259" i="2"/>
  <c r="J1259" i="2"/>
  <c r="I1259" i="2"/>
  <c r="H1259" i="2"/>
  <c r="G1259" i="2"/>
  <c r="F1259" i="2"/>
  <c r="E1277" i="2"/>
  <c r="D1287" i="2"/>
  <c r="E1286" i="2"/>
  <c r="M1267" i="2"/>
  <c r="L1267" i="2"/>
  <c r="K1267" i="2"/>
  <c r="I1267" i="2"/>
  <c r="G1267" i="2"/>
  <c r="J1267" i="2"/>
  <c r="F1267" i="2"/>
  <c r="H1267" i="2"/>
  <c r="E1290" i="2"/>
  <c r="D1300" i="2"/>
  <c r="F1280" i="2"/>
  <c r="M1280" i="2"/>
  <c r="L1280" i="2"/>
  <c r="K1280" i="2"/>
  <c r="J1280" i="2"/>
  <c r="I1280" i="2"/>
  <c r="H1280" i="2"/>
  <c r="G1280" i="2"/>
  <c r="E1273" i="2"/>
  <c r="D1283" i="2"/>
  <c r="F1263" i="2"/>
  <c r="M1263" i="2"/>
  <c r="L1263" i="2"/>
  <c r="K1263" i="2"/>
  <c r="J1263" i="2"/>
  <c r="I1263" i="2"/>
  <c r="H1263" i="2"/>
  <c r="G1263" i="2"/>
  <c r="E1282" i="2"/>
  <c r="D1292" i="2"/>
  <c r="M1272" i="2"/>
  <c r="L1272" i="2"/>
  <c r="K1272" i="2"/>
  <c r="J1272" i="2"/>
  <c r="I1272" i="2"/>
  <c r="G1272" i="2"/>
  <c r="H1272" i="2"/>
  <c r="F1272" i="2"/>
  <c r="E1288" i="2"/>
  <c r="D1298" i="2"/>
  <c r="J1278" i="2"/>
  <c r="I1278" i="2"/>
  <c r="H1278" i="2"/>
  <c r="G1278" i="2"/>
  <c r="F1278" i="2"/>
  <c r="M1278" i="2"/>
  <c r="L1278" i="2"/>
  <c r="K1278" i="2"/>
  <c r="E1274" i="2"/>
  <c r="D1284" i="2"/>
  <c r="M1264" i="2"/>
  <c r="L1264" i="2"/>
  <c r="K1264" i="2"/>
  <c r="J1264" i="2"/>
  <c r="I1264" i="2"/>
  <c r="H1264" i="2"/>
  <c r="G1264" i="2"/>
  <c r="F1264" i="2"/>
  <c r="O1269" i="2"/>
  <c r="O1277" i="2"/>
  <c r="O1271" i="2"/>
  <c r="O1273" i="2"/>
  <c r="O1290" i="2"/>
  <c r="O1288" i="2"/>
  <c r="O1282" i="2"/>
  <c r="O1274" i="2"/>
  <c r="E1284" i="2" l="1"/>
  <c r="D1294" i="2"/>
  <c r="D1302" i="2"/>
  <c r="E1292" i="2"/>
  <c r="E1300" i="2"/>
  <c r="D1310" i="2"/>
  <c r="M1274" i="2"/>
  <c r="L1274" i="2"/>
  <c r="K1274" i="2"/>
  <c r="J1274" i="2"/>
  <c r="I1274" i="2"/>
  <c r="H1274" i="2"/>
  <c r="G1274" i="2"/>
  <c r="F1274" i="2"/>
  <c r="M1282" i="2"/>
  <c r="L1282" i="2"/>
  <c r="K1282" i="2"/>
  <c r="I1282" i="2"/>
  <c r="J1282" i="2"/>
  <c r="H1282" i="2"/>
  <c r="G1282" i="2"/>
  <c r="F1282" i="2"/>
  <c r="H1290" i="2"/>
  <c r="G1290" i="2"/>
  <c r="F1290" i="2"/>
  <c r="M1290" i="2"/>
  <c r="L1290" i="2"/>
  <c r="K1290" i="2"/>
  <c r="J1290" i="2"/>
  <c r="I1290" i="2"/>
  <c r="E1279" i="2"/>
  <c r="D1289" i="2"/>
  <c r="M1269" i="2"/>
  <c r="L1269" i="2"/>
  <c r="K1269" i="2"/>
  <c r="J1269" i="2"/>
  <c r="I1269" i="2"/>
  <c r="H1269" i="2"/>
  <c r="G1269" i="2"/>
  <c r="F1269" i="2"/>
  <c r="E1298" i="2"/>
  <c r="D1308" i="2"/>
  <c r="E1283" i="2"/>
  <c r="D1293" i="2"/>
  <c r="L1288" i="2"/>
  <c r="K1288" i="2"/>
  <c r="J1288" i="2"/>
  <c r="I1288" i="2"/>
  <c r="H1288" i="2"/>
  <c r="G1288" i="2"/>
  <c r="F1288" i="2"/>
  <c r="M1288" i="2"/>
  <c r="H1273" i="2"/>
  <c r="G1273" i="2"/>
  <c r="F1273" i="2"/>
  <c r="M1273" i="2"/>
  <c r="L1273" i="2"/>
  <c r="K1273" i="2"/>
  <c r="J1273" i="2"/>
  <c r="I1273" i="2"/>
  <c r="D1297" i="2"/>
  <c r="E1287" i="2"/>
  <c r="E1281" i="2"/>
  <c r="D1291" i="2"/>
  <c r="E1296" i="2"/>
  <c r="M1277" i="2"/>
  <c r="L1277" i="2"/>
  <c r="K1277" i="2"/>
  <c r="I1277" i="2"/>
  <c r="J1277" i="2"/>
  <c r="H1277" i="2"/>
  <c r="G1277" i="2"/>
  <c r="F1277" i="2"/>
  <c r="L1271" i="2"/>
  <c r="K1271" i="2"/>
  <c r="J1271" i="2"/>
  <c r="I1271" i="2"/>
  <c r="H1271" i="2"/>
  <c r="G1271" i="2"/>
  <c r="F1271" i="2"/>
  <c r="M1271" i="2"/>
  <c r="O1281" i="2"/>
  <c r="O1284" i="2"/>
  <c r="O1300" i="2"/>
  <c r="O1279" i="2"/>
  <c r="O1298" i="2"/>
  <c r="O1283" i="2"/>
  <c r="O1292" i="2"/>
  <c r="O1287" i="2"/>
  <c r="E1289" i="2" l="1"/>
  <c r="D1299" i="2"/>
  <c r="M1279" i="2"/>
  <c r="L1279" i="2"/>
  <c r="K1279" i="2"/>
  <c r="J1279" i="2"/>
  <c r="I1279" i="2"/>
  <c r="H1279" i="2"/>
  <c r="G1279" i="2"/>
  <c r="F1279" i="2"/>
  <c r="E1310" i="2"/>
  <c r="D1320" i="2"/>
  <c r="J1300" i="2"/>
  <c r="I1300" i="2"/>
  <c r="H1300" i="2"/>
  <c r="G1300" i="2"/>
  <c r="F1300" i="2"/>
  <c r="M1300" i="2"/>
  <c r="L1300" i="2"/>
  <c r="K1300" i="2"/>
  <c r="E1291" i="2"/>
  <c r="D1301" i="2"/>
  <c r="E1293" i="2"/>
  <c r="D1303" i="2"/>
  <c r="M1292" i="2"/>
  <c r="L1292" i="2"/>
  <c r="K1292" i="2"/>
  <c r="I1292" i="2"/>
  <c r="G1292" i="2"/>
  <c r="F1292" i="2"/>
  <c r="J1292" i="2"/>
  <c r="H1292" i="2"/>
  <c r="M1281" i="2"/>
  <c r="L1281" i="2"/>
  <c r="K1281" i="2"/>
  <c r="J1281" i="2"/>
  <c r="I1281" i="2"/>
  <c r="H1281" i="2"/>
  <c r="G1281" i="2"/>
  <c r="F1281" i="2"/>
  <c r="J1283" i="2"/>
  <c r="I1283" i="2"/>
  <c r="H1283" i="2"/>
  <c r="G1283" i="2"/>
  <c r="F1283" i="2"/>
  <c r="M1283" i="2"/>
  <c r="L1283" i="2"/>
  <c r="K1283" i="2"/>
  <c r="E1302" i="2"/>
  <c r="D1312" i="2"/>
  <c r="E1306" i="2"/>
  <c r="M1287" i="2"/>
  <c r="L1287" i="2"/>
  <c r="K1287" i="2"/>
  <c r="H1287" i="2"/>
  <c r="G1287" i="2"/>
  <c r="F1287" i="2"/>
  <c r="J1287" i="2"/>
  <c r="I1287" i="2"/>
  <c r="E1308" i="2"/>
  <c r="D1318" i="2"/>
  <c r="E1294" i="2"/>
  <c r="D1304" i="2"/>
  <c r="E1297" i="2"/>
  <c r="D1307" i="2"/>
  <c r="M1298" i="2"/>
  <c r="L1298" i="2"/>
  <c r="K1298" i="2"/>
  <c r="J1298" i="2"/>
  <c r="I1298" i="2"/>
  <c r="H1298" i="2"/>
  <c r="G1298" i="2"/>
  <c r="F1298" i="2"/>
  <c r="M1284" i="2"/>
  <c r="L1284" i="2"/>
  <c r="K1284" i="2"/>
  <c r="J1284" i="2"/>
  <c r="I1284" i="2"/>
  <c r="H1284" i="2"/>
  <c r="G1284" i="2"/>
  <c r="F1284" i="2"/>
  <c r="O1291" i="2"/>
  <c r="O1308" i="2"/>
  <c r="O1310" i="2"/>
  <c r="O1297" i="2"/>
  <c r="O1293" i="2"/>
  <c r="O1294" i="2"/>
  <c r="O1289" i="2"/>
  <c r="O1302" i="2"/>
  <c r="E1320" i="2" l="1"/>
  <c r="D1330" i="2"/>
  <c r="L1310" i="2"/>
  <c r="K1310" i="2"/>
  <c r="J1310" i="2"/>
  <c r="I1310" i="2"/>
  <c r="H1310" i="2"/>
  <c r="G1310" i="2"/>
  <c r="F1310" i="2"/>
  <c r="M1310" i="2"/>
  <c r="E1312" i="2"/>
  <c r="D1322" i="2"/>
  <c r="F1302" i="2"/>
  <c r="M1302" i="2"/>
  <c r="K1302" i="2"/>
  <c r="L1302" i="2"/>
  <c r="J1302" i="2"/>
  <c r="I1302" i="2"/>
  <c r="H1302" i="2"/>
  <c r="G1302" i="2"/>
  <c r="M1308" i="2"/>
  <c r="L1308" i="2"/>
  <c r="K1308" i="2"/>
  <c r="J1308" i="2"/>
  <c r="I1308" i="2"/>
  <c r="H1308" i="2"/>
  <c r="G1308" i="2"/>
  <c r="F1308" i="2"/>
  <c r="E1307" i="2"/>
  <c r="D1317" i="2"/>
  <c r="F1297" i="2"/>
  <c r="E1316" i="2"/>
  <c r="M1297" i="2"/>
  <c r="K1297" i="2"/>
  <c r="L1297" i="2"/>
  <c r="J1297" i="2"/>
  <c r="I1297" i="2"/>
  <c r="H1297" i="2"/>
  <c r="G1297" i="2"/>
  <c r="E1303" i="2"/>
  <c r="D1313" i="2"/>
  <c r="E1304" i="2"/>
  <c r="D1314" i="2"/>
  <c r="L1293" i="2"/>
  <c r="K1293" i="2"/>
  <c r="J1293" i="2"/>
  <c r="I1293" i="2"/>
  <c r="H1293" i="2"/>
  <c r="G1293" i="2"/>
  <c r="F1293" i="2"/>
  <c r="M1293" i="2"/>
  <c r="M1294" i="2"/>
  <c r="L1294" i="2"/>
  <c r="K1294" i="2"/>
  <c r="J1294" i="2"/>
  <c r="I1294" i="2"/>
  <c r="H1294" i="2"/>
  <c r="G1294" i="2"/>
  <c r="F1294" i="2"/>
  <c r="E1301" i="2"/>
  <c r="D1311" i="2"/>
  <c r="E1299" i="2"/>
  <c r="D1309" i="2"/>
  <c r="E1318" i="2"/>
  <c r="D1328" i="2"/>
  <c r="M1291" i="2"/>
  <c r="L1291" i="2"/>
  <c r="K1291" i="2"/>
  <c r="J1291" i="2"/>
  <c r="I1291" i="2"/>
  <c r="H1291" i="2"/>
  <c r="G1291" i="2"/>
  <c r="F1291" i="2"/>
  <c r="M1289" i="2"/>
  <c r="L1289" i="2"/>
  <c r="K1289" i="2"/>
  <c r="J1289" i="2"/>
  <c r="I1289" i="2"/>
  <c r="H1289" i="2"/>
  <c r="G1289" i="2"/>
  <c r="F1289" i="2"/>
  <c r="O1320" i="2"/>
  <c r="O1303" i="2"/>
  <c r="O1318" i="2"/>
  <c r="O1299" i="2"/>
  <c r="O1304" i="2"/>
  <c r="O1301" i="2"/>
  <c r="O1312" i="2"/>
  <c r="O1307" i="2"/>
  <c r="M1301" i="2" l="1"/>
  <c r="L1301" i="2"/>
  <c r="K1301" i="2"/>
  <c r="J1301" i="2"/>
  <c r="I1301" i="2"/>
  <c r="H1301" i="2"/>
  <c r="G1301" i="2"/>
  <c r="F1301" i="2"/>
  <c r="E1322" i="2"/>
  <c r="D1332" i="2"/>
  <c r="H1312" i="2"/>
  <c r="G1312" i="2"/>
  <c r="F1312" i="2"/>
  <c r="M1312" i="2"/>
  <c r="I1312" i="2"/>
  <c r="L1312" i="2"/>
  <c r="K1312" i="2"/>
  <c r="J1312" i="2"/>
  <c r="E1317" i="2"/>
  <c r="D1327" i="2"/>
  <c r="H1307" i="2"/>
  <c r="G1307" i="2"/>
  <c r="F1307" i="2"/>
  <c r="E1326" i="2"/>
  <c r="M1307" i="2"/>
  <c r="L1307" i="2"/>
  <c r="K1307" i="2"/>
  <c r="J1307" i="2"/>
  <c r="I1307" i="2"/>
  <c r="E1328" i="2"/>
  <c r="D1338" i="2"/>
  <c r="M1303" i="2"/>
  <c r="L1303" i="2"/>
  <c r="K1303" i="2"/>
  <c r="J1303" i="2"/>
  <c r="I1303" i="2"/>
  <c r="H1303" i="2"/>
  <c r="G1303" i="2"/>
  <c r="F1303" i="2"/>
  <c r="M1318" i="2"/>
  <c r="L1318" i="2"/>
  <c r="K1318" i="2"/>
  <c r="J1318" i="2"/>
  <c r="I1318" i="2"/>
  <c r="H1318" i="2"/>
  <c r="G1318" i="2"/>
  <c r="F1318" i="2"/>
  <c r="D1319" i="2"/>
  <c r="E1309" i="2"/>
  <c r="D1324" i="2"/>
  <c r="E1314" i="2"/>
  <c r="M1299" i="2"/>
  <c r="L1299" i="2"/>
  <c r="K1299" i="2"/>
  <c r="J1299" i="2"/>
  <c r="I1299" i="2"/>
  <c r="G1299" i="2"/>
  <c r="F1299" i="2"/>
  <c r="H1299" i="2"/>
  <c r="M1304" i="2"/>
  <c r="L1304" i="2"/>
  <c r="K1304" i="2"/>
  <c r="J1304" i="2"/>
  <c r="I1304" i="2"/>
  <c r="G1304" i="2"/>
  <c r="H1304" i="2"/>
  <c r="F1304" i="2"/>
  <c r="E1330" i="2"/>
  <c r="D1340" i="2"/>
  <c r="E1311" i="2"/>
  <c r="D1321" i="2"/>
  <c r="E1313" i="2"/>
  <c r="D1323" i="2"/>
  <c r="M1320" i="2"/>
  <c r="L1320" i="2"/>
  <c r="K1320" i="2"/>
  <c r="J1320" i="2"/>
  <c r="I1320" i="2"/>
  <c r="H1320" i="2"/>
  <c r="G1320" i="2"/>
  <c r="F1320" i="2"/>
  <c r="O1314" i="2"/>
  <c r="O1330" i="2"/>
  <c r="O1328" i="2"/>
  <c r="O1311" i="2"/>
  <c r="O1313" i="2"/>
  <c r="O1322" i="2"/>
  <c r="O1309" i="2"/>
  <c r="O1317" i="2"/>
  <c r="J1317" i="2" l="1"/>
  <c r="I1317" i="2"/>
  <c r="H1317" i="2"/>
  <c r="G1317" i="2"/>
  <c r="F1317" i="2"/>
  <c r="E1336" i="2"/>
  <c r="M1317" i="2"/>
  <c r="L1317" i="2"/>
  <c r="K1317" i="2"/>
  <c r="E1323" i="2"/>
  <c r="D1333" i="2"/>
  <c r="M1313" i="2"/>
  <c r="L1313" i="2"/>
  <c r="K1313" i="2"/>
  <c r="J1313" i="2"/>
  <c r="I1313" i="2"/>
  <c r="H1313" i="2"/>
  <c r="G1313" i="2"/>
  <c r="F1313" i="2"/>
  <c r="E1321" i="2"/>
  <c r="D1331" i="2"/>
  <c r="M1314" i="2"/>
  <c r="L1314" i="2"/>
  <c r="K1314" i="2"/>
  <c r="J1314" i="2"/>
  <c r="I1314" i="2"/>
  <c r="H1314" i="2"/>
  <c r="G1314" i="2"/>
  <c r="F1314" i="2"/>
  <c r="E1338" i="2"/>
  <c r="D1348" i="2"/>
  <c r="M1311" i="2"/>
  <c r="L1311" i="2"/>
  <c r="K1311" i="2"/>
  <c r="J1311" i="2"/>
  <c r="I1311" i="2"/>
  <c r="H1311" i="2"/>
  <c r="G1311" i="2"/>
  <c r="F1311" i="2"/>
  <c r="E1324" i="2"/>
  <c r="D1334" i="2"/>
  <c r="M1328" i="2"/>
  <c r="L1328" i="2"/>
  <c r="K1328" i="2"/>
  <c r="J1328" i="2"/>
  <c r="I1328" i="2"/>
  <c r="H1328" i="2"/>
  <c r="G1328" i="2"/>
  <c r="F1328" i="2"/>
  <c r="E1332" i="2"/>
  <c r="D1342" i="2"/>
  <c r="E1340" i="2"/>
  <c r="D1350" i="2"/>
  <c r="M1309" i="2"/>
  <c r="L1309" i="2"/>
  <c r="K1309" i="2"/>
  <c r="I1309" i="2"/>
  <c r="J1309" i="2"/>
  <c r="H1309" i="2"/>
  <c r="G1309" i="2"/>
  <c r="F1309" i="2"/>
  <c r="J1322" i="2"/>
  <c r="I1322" i="2"/>
  <c r="H1322" i="2"/>
  <c r="G1322" i="2"/>
  <c r="F1322" i="2"/>
  <c r="M1322" i="2"/>
  <c r="L1322" i="2"/>
  <c r="K1322" i="2"/>
  <c r="M1330" i="2"/>
  <c r="L1330" i="2"/>
  <c r="K1330" i="2"/>
  <c r="J1330" i="2"/>
  <c r="I1330" i="2"/>
  <c r="H1330" i="2"/>
  <c r="G1330" i="2"/>
  <c r="F1330" i="2"/>
  <c r="E1319" i="2"/>
  <c r="D1329" i="2"/>
  <c r="E1327" i="2"/>
  <c r="D1337" i="2"/>
  <c r="O1321" i="2"/>
  <c r="O1323" i="2"/>
  <c r="O1338" i="2"/>
  <c r="O1327" i="2"/>
  <c r="O1319" i="2"/>
  <c r="O1340" i="2"/>
  <c r="O1324" i="2"/>
  <c r="O1332" i="2"/>
  <c r="E1329" i="2" l="1"/>
  <c r="D1339" i="2"/>
  <c r="F1319" i="2"/>
  <c r="M1319" i="2"/>
  <c r="L1319" i="2"/>
  <c r="K1319" i="2"/>
  <c r="J1319" i="2"/>
  <c r="I1319" i="2"/>
  <c r="H1319" i="2"/>
  <c r="G1319" i="2"/>
  <c r="F1324" i="2"/>
  <c r="M1324" i="2"/>
  <c r="L1324" i="2"/>
  <c r="K1324" i="2"/>
  <c r="J1324" i="2"/>
  <c r="I1324" i="2"/>
  <c r="H1324" i="2"/>
  <c r="G1324" i="2"/>
  <c r="E1350" i="2"/>
  <c r="D1360" i="2"/>
  <c r="L1327" i="2"/>
  <c r="K1327" i="2"/>
  <c r="J1327" i="2"/>
  <c r="I1327" i="2"/>
  <c r="H1327" i="2"/>
  <c r="G1327" i="2"/>
  <c r="F1327" i="2"/>
  <c r="E1346" i="2"/>
  <c r="M1327" i="2"/>
  <c r="M1340" i="2"/>
  <c r="L1340" i="2"/>
  <c r="K1340" i="2"/>
  <c r="J1340" i="2"/>
  <c r="I1340" i="2"/>
  <c r="H1340" i="2"/>
  <c r="G1340" i="2"/>
  <c r="F1340" i="2"/>
  <c r="E1342" i="2"/>
  <c r="D1352" i="2"/>
  <c r="D1358" i="2"/>
  <c r="E1348" i="2"/>
  <c r="E1333" i="2"/>
  <c r="D1343" i="2"/>
  <c r="L1332" i="2"/>
  <c r="K1332" i="2"/>
  <c r="J1332" i="2"/>
  <c r="I1332" i="2"/>
  <c r="H1332" i="2"/>
  <c r="G1332" i="2"/>
  <c r="F1332" i="2"/>
  <c r="M1332" i="2"/>
  <c r="M1338" i="2"/>
  <c r="L1338" i="2"/>
  <c r="K1338" i="2"/>
  <c r="J1338" i="2"/>
  <c r="I1338" i="2"/>
  <c r="H1338" i="2"/>
  <c r="G1338" i="2"/>
  <c r="F1338" i="2"/>
  <c r="M1323" i="2"/>
  <c r="L1323" i="2"/>
  <c r="K1323" i="2"/>
  <c r="J1323" i="2"/>
  <c r="I1323" i="2"/>
  <c r="H1323" i="2"/>
  <c r="G1323" i="2"/>
  <c r="F1323" i="2"/>
  <c r="M1321" i="2"/>
  <c r="L1321" i="2"/>
  <c r="K1321" i="2"/>
  <c r="J1321" i="2"/>
  <c r="I1321" i="2"/>
  <c r="H1321" i="2"/>
  <c r="G1321" i="2"/>
  <c r="F1321" i="2"/>
  <c r="E1337" i="2"/>
  <c r="D1347" i="2"/>
  <c r="E1334" i="2"/>
  <c r="D1344" i="2"/>
  <c r="D1341" i="2"/>
  <c r="E1331" i="2"/>
  <c r="O1337" i="2"/>
  <c r="O1348" i="2"/>
  <c r="O1334" i="2"/>
  <c r="O1331" i="2"/>
  <c r="O1333" i="2"/>
  <c r="O1350" i="2"/>
  <c r="O1342" i="2"/>
  <c r="O1329" i="2"/>
  <c r="E1360" i="2" l="1"/>
  <c r="E1344" i="2"/>
  <c r="D1354" i="2"/>
  <c r="E1352" i="2"/>
  <c r="D1362" i="2"/>
  <c r="M1350" i="2"/>
  <c r="L1350" i="2"/>
  <c r="K1350" i="2"/>
  <c r="J1350" i="2"/>
  <c r="I1350" i="2"/>
  <c r="H1350" i="2"/>
  <c r="G1350" i="2"/>
  <c r="F1350" i="2"/>
  <c r="H1334" i="2"/>
  <c r="G1334" i="2"/>
  <c r="F1334" i="2"/>
  <c r="M1334" i="2"/>
  <c r="L1334" i="2"/>
  <c r="K1334" i="2"/>
  <c r="J1334" i="2"/>
  <c r="I1334" i="2"/>
  <c r="M1342" i="2"/>
  <c r="L1342" i="2"/>
  <c r="K1342" i="2"/>
  <c r="J1342" i="2"/>
  <c r="I1342" i="2"/>
  <c r="H1342" i="2"/>
  <c r="G1342" i="2"/>
  <c r="F1342" i="2"/>
  <c r="E1358" i="2"/>
  <c r="E1347" i="2"/>
  <c r="D1357" i="2"/>
  <c r="M1337" i="2"/>
  <c r="L1337" i="2"/>
  <c r="K1337" i="2"/>
  <c r="J1337" i="2"/>
  <c r="I1337" i="2"/>
  <c r="H1337" i="2"/>
  <c r="G1337" i="2"/>
  <c r="F1337" i="2"/>
  <c r="E1356" i="2"/>
  <c r="E1341" i="2"/>
  <c r="D1351" i="2"/>
  <c r="E1343" i="2"/>
  <c r="D1353" i="2"/>
  <c r="M1333" i="2"/>
  <c r="L1333" i="2"/>
  <c r="K1333" i="2"/>
  <c r="J1333" i="2"/>
  <c r="I1333" i="2"/>
  <c r="H1333" i="2"/>
  <c r="G1333" i="2"/>
  <c r="F1333" i="2"/>
  <c r="E1339" i="2"/>
  <c r="D1349" i="2"/>
  <c r="M1331" i="2"/>
  <c r="L1331" i="2"/>
  <c r="K1331" i="2"/>
  <c r="J1331" i="2"/>
  <c r="I1331" i="2"/>
  <c r="H1331" i="2"/>
  <c r="G1331" i="2"/>
  <c r="F1331" i="2"/>
  <c r="M1348" i="2"/>
  <c r="L1348" i="2"/>
  <c r="K1348" i="2"/>
  <c r="J1348" i="2"/>
  <c r="I1348" i="2"/>
  <c r="H1348" i="2"/>
  <c r="G1348" i="2"/>
  <c r="F1348" i="2"/>
  <c r="H1329" i="2"/>
  <c r="G1329" i="2"/>
  <c r="F1329" i="2"/>
  <c r="M1329" i="2"/>
  <c r="L1329" i="2"/>
  <c r="I1329" i="2"/>
  <c r="K1329" i="2"/>
  <c r="J1329" i="2"/>
  <c r="O1344" i="2"/>
  <c r="O1339" i="2"/>
  <c r="O1358" i="2"/>
  <c r="O1343" i="2"/>
  <c r="O1347" i="2"/>
  <c r="O1360" i="2"/>
  <c r="O1341" i="2"/>
  <c r="O1352" i="2"/>
  <c r="E1349" i="2" l="1"/>
  <c r="D1359" i="2"/>
  <c r="J1339" i="2"/>
  <c r="I1339" i="2"/>
  <c r="H1339" i="2"/>
  <c r="G1339" i="2"/>
  <c r="F1339" i="2"/>
  <c r="M1339" i="2"/>
  <c r="L1339" i="2"/>
  <c r="K1339" i="2"/>
  <c r="E1357" i="2"/>
  <c r="M1347" i="2"/>
  <c r="L1347" i="2"/>
  <c r="K1347" i="2"/>
  <c r="J1347" i="2"/>
  <c r="I1347" i="2"/>
  <c r="H1347" i="2"/>
  <c r="G1347" i="2"/>
  <c r="F1347" i="2"/>
  <c r="F1358" i="2"/>
  <c r="M1358" i="2"/>
  <c r="L1358" i="2"/>
  <c r="K1358" i="2"/>
  <c r="J1358" i="2"/>
  <c r="I1358" i="2"/>
  <c r="H1358" i="2"/>
  <c r="G1358" i="2"/>
  <c r="D1363" i="2"/>
  <c r="E1353" i="2"/>
  <c r="M1343" i="2"/>
  <c r="L1343" i="2"/>
  <c r="K1343" i="2"/>
  <c r="J1343" i="2"/>
  <c r="I1343" i="2"/>
  <c r="H1343" i="2"/>
  <c r="G1343" i="2"/>
  <c r="F1343" i="2"/>
  <c r="E1362" i="2"/>
  <c r="E1351" i="2"/>
  <c r="D1361" i="2"/>
  <c r="M1352" i="2"/>
  <c r="L1352" i="2"/>
  <c r="K1352" i="2"/>
  <c r="J1352" i="2"/>
  <c r="I1352" i="2"/>
  <c r="H1352" i="2"/>
  <c r="G1352" i="2"/>
  <c r="F1352" i="2"/>
  <c r="F1341" i="2"/>
  <c r="M1341" i="2"/>
  <c r="L1341" i="2"/>
  <c r="K1341" i="2"/>
  <c r="J1341" i="2"/>
  <c r="I1341" i="2"/>
  <c r="H1341" i="2"/>
  <c r="G1341" i="2"/>
  <c r="E1354" i="2"/>
  <c r="D1364" i="2"/>
  <c r="J1344" i="2"/>
  <c r="I1344" i="2"/>
  <c r="H1344" i="2"/>
  <c r="G1344" i="2"/>
  <c r="F1344" i="2"/>
  <c r="M1344" i="2"/>
  <c r="L1344" i="2"/>
  <c r="K1344" i="2"/>
  <c r="M1360" i="2"/>
  <c r="L1360" i="2"/>
  <c r="K1360" i="2"/>
  <c r="J1360" i="2"/>
  <c r="I1360" i="2"/>
  <c r="H1360" i="2"/>
  <c r="G1360" i="2"/>
  <c r="F1360" i="2"/>
  <c r="O1362" i="2"/>
  <c r="O1354" i="2"/>
  <c r="O1351" i="2"/>
  <c r="O1353" i="2"/>
  <c r="O1349" i="2"/>
  <c r="O1357" i="2"/>
  <c r="L1354" i="2" l="1"/>
  <c r="K1354" i="2"/>
  <c r="J1354" i="2"/>
  <c r="I1354" i="2"/>
  <c r="H1354" i="2"/>
  <c r="G1354" i="2"/>
  <c r="F1354" i="2"/>
  <c r="M1354" i="2"/>
  <c r="M1362" i="2"/>
  <c r="L1362" i="2"/>
  <c r="K1362" i="2"/>
  <c r="J1362" i="2"/>
  <c r="I1362" i="2"/>
  <c r="H1362" i="2"/>
  <c r="G1362" i="2"/>
  <c r="F1362" i="2"/>
  <c r="E1364" i="2"/>
  <c r="M1357" i="2"/>
  <c r="L1357" i="2"/>
  <c r="K1357" i="2"/>
  <c r="J1357" i="2"/>
  <c r="I1357" i="2"/>
  <c r="H1357" i="2"/>
  <c r="G1357" i="2"/>
  <c r="F1357" i="2"/>
  <c r="M1353" i="2"/>
  <c r="L1353" i="2"/>
  <c r="K1353" i="2"/>
  <c r="J1353" i="2"/>
  <c r="I1353" i="2"/>
  <c r="H1353" i="2"/>
  <c r="G1353" i="2"/>
  <c r="F1353" i="2"/>
  <c r="E1363" i="2"/>
  <c r="E1361" i="2"/>
  <c r="E1359" i="2"/>
  <c r="H1351" i="2"/>
  <c r="G1351" i="2"/>
  <c r="F1351" i="2"/>
  <c r="M1351" i="2"/>
  <c r="L1351" i="2"/>
  <c r="K1351" i="2"/>
  <c r="J1351" i="2"/>
  <c r="I1351" i="2"/>
  <c r="L1349" i="2"/>
  <c r="K1349" i="2"/>
  <c r="J1349" i="2"/>
  <c r="I1349" i="2"/>
  <c r="H1349" i="2"/>
  <c r="G1349" i="2"/>
  <c r="F1349" i="2"/>
  <c r="M1349" i="2"/>
  <c r="O1359" i="2"/>
  <c r="O1363" i="2"/>
  <c r="O1361" i="2"/>
  <c r="O1364" i="2"/>
  <c r="M1359" i="2" l="1"/>
  <c r="L1359" i="2"/>
  <c r="K1359" i="2"/>
  <c r="J1359" i="2"/>
  <c r="I1359" i="2"/>
  <c r="H1359" i="2"/>
  <c r="G1359" i="2"/>
  <c r="F1359" i="2"/>
  <c r="J1361" i="2"/>
  <c r="I1361" i="2"/>
  <c r="H1361" i="2"/>
  <c r="G1361" i="2"/>
  <c r="F1361" i="2"/>
  <c r="M1361" i="2"/>
  <c r="L1361" i="2"/>
  <c r="K1361" i="2"/>
  <c r="M1364" i="2"/>
  <c r="L1364" i="2"/>
  <c r="K1364" i="2"/>
  <c r="J1364" i="2"/>
  <c r="I1364" i="2"/>
  <c r="H1364" i="2"/>
  <c r="G1364" i="2"/>
  <c r="F1364" i="2"/>
  <c r="F1363" i="2"/>
  <c r="M1363" i="2"/>
  <c r="L1363" i="2"/>
  <c r="K1363" i="2"/>
  <c r="J1363" i="2"/>
  <c r="I1363" i="2"/>
  <c r="H1363" i="2"/>
  <c r="G136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<sst xmlns="http://schemas.openxmlformats.org/spreadsheetml/2006/main" count="183" uniqueCount="22">
  <si>
    <t>Input Here</t>
  </si>
  <si>
    <t>Factors</t>
  </si>
  <si>
    <t xml:space="preserve">Factors </t>
  </si>
  <si>
    <t/>
  </si>
  <si>
    <t>*1</t>
  </si>
  <si>
    <t>(g)</t>
  </si>
  <si>
    <t>1,13</t>
  </si>
  <si>
    <t>PRIME</t>
  </si>
  <si>
    <t>1,7,13,91</t>
  </si>
  <si>
    <t>1,11,13,143</t>
  </si>
  <si>
    <t>1,13,169</t>
  </si>
  <si>
    <t>1,13,17,221</t>
  </si>
  <si>
    <t>1,13,19,247</t>
  </si>
  <si>
    <t>1,13,23,299</t>
  </si>
  <si>
    <t>1,13,29,377</t>
  </si>
  <si>
    <t>1,17</t>
  </si>
  <si>
    <t>1,7,17,119</t>
  </si>
  <si>
    <t>1,11,17,187</t>
  </si>
  <si>
    <t>1,17,289</t>
  </si>
  <si>
    <t>1,17,19,323</t>
  </si>
  <si>
    <t>1,17,23,391</t>
  </si>
  <si>
    <t>1,17,29,493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</si>
</sst>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  <font>
      <sz val="12"/>
      <color theme="1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  <font>
      <sz val="12"/>
      <color theme="0"/>
      <name val="Arial Black"/>
      <family val="2"/>
    </font>
    <font>
      <sz val="11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2" fillId="0" borderId="0" xfId="1" applyFont="1"/>
    <xf numFmtId="0" fontId="5" fillId="0" borderId="5" xfId="1" applyFont="1" applyBorder="1" applyAlignment="1" applyProtection="1">
      <alignment horizontal="right" indent="1"/>
      <protection locked="0"/>
    </xf>
    <xf numFmtId="0" fontId="3" fillId="0" borderId="0" xfId="1" applyFont="1"/>
    <xf numFmtId="0" fontId="3" fillId="0" borderId="0" xfId="1" applyFont="1" applyAlignment="1">
      <alignment horizontal="right" indent="1"/>
    </xf>
    <xf numFmtId="0" fontId="3" fillId="0" borderId="0" xfId="1" applyFont="1" applyAlignment="1">
      <alignment horizontal="center"/>
    </xf>
    <xf numFmtId="0" fontId="3" fillId="2" borderId="5" xfId="1" applyFont="1" applyFill="1" applyBorder="1" applyAlignment="1" applyProtection="1">
      <alignment horizontal="right" indent="1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3" fillId="0" borderId="0" xfId="1" applyFont="1" applyAlignment="1" applyProtection="1">
      <alignment horizontal="right" indent="1"/>
    </xf>
    <xf numFmtId="0" fontId="2" fillId="0" borderId="0" xfId="1" applyFont="1" applyProtection="1"/>
    <xf numFmtId="0" fontId="3" fillId="0" borderId="0" xfId="1" applyFont="1" applyAlignment="1" applyProtection="1">
      <alignment horizontal="center"/>
    </xf>
    <xf numFmtId="0" fontId="3" fillId="0" borderId="1" xfId="1" applyFont="1" applyBorder="1" applyAlignment="1" applyProtection="1">
      <alignment horizontal="center"/>
    </xf>
    <xf numFmtId="0" fontId="3" fillId="0" borderId="2" xfId="1" applyFont="1" applyBorder="1" applyProtection="1"/>
    <xf numFmtId="0" fontId="3" fillId="0" borderId="3" xfId="1" applyFont="1" applyBorder="1" applyProtection="1"/>
    <xf numFmtId="0" fontId="3" fillId="0" borderId="4" xfId="1" applyFont="1" applyBorder="1" applyProtection="1"/>
    <xf numFmtId="0" fontId="3" fillId="0" borderId="6" xfId="1" applyFont="1" applyBorder="1" applyProtection="1"/>
    <xf numFmtId="0" fontId="3" fillId="0" borderId="7" xfId="1" applyFont="1" applyBorder="1" applyProtection="1"/>
    <xf numFmtId="0" fontId="3" fillId="0" borderId="8" xfId="1" applyFont="1" applyBorder="1" applyProtection="1"/>
    <xf numFmtId="0" fontId="3" fillId="0" borderId="9" xfId="1" applyFont="1" applyBorder="1" applyProtection="1"/>
    <xf numFmtId="0" fontId="6" fillId="3" borderId="10" xfId="1" applyFont="1" applyFill="1" applyBorder="1" applyAlignment="1" applyProtection="1">
      <alignment horizontal="right" indent="1"/>
    </xf>
    <xf numFmtId="0" fontId="3" fillId="0" borderId="13" xfId="1" applyFont="1" applyBorder="1" applyAlignment="1" applyProtection="1">
      <alignment horizontal="right" indent="1"/>
    </xf>
    <xf numFmtId="0" fontId="3" fillId="0" borderId="13" xfId="1" applyFont="1" applyBorder="1" applyProtection="1"/>
    <xf numFmtId="0" fontId="6" fillId="0" borderId="0" xfId="1" applyFont="1" applyProtection="1"/>
    <xf numFmtId="1" fontId="3" fillId="0" borderId="0" xfId="1" applyNumberFormat="1" applyFont="1" applyProtection="1"/>
    <xf numFmtId="0" fontId="7" fillId="0" borderId="0" xfId="1" applyFont="1" applyAlignment="1" applyProtection="1">
      <alignment wrapText="1"/>
    </xf>
    <xf numFmtId="0" fontId="7" fillId="0" borderId="0" xfId="1" applyFont="1" applyProtection="1"/>
    <xf numFmtId="0" fontId="5" fillId="0" borderId="0" xfId="1" applyFont="1" applyProtection="1"/>
    <xf numFmtId="0" fontId="5" fillId="0" borderId="0" xfId="1" applyFont="1" applyAlignment="1" applyProtection="1">
      <alignment horizontal="right" indent="1"/>
    </xf>
    <xf numFmtId="0" fontId="5" fillId="0" borderId="0" xfId="1" applyFont="1" applyAlignment="1" applyProtection="1">
      <alignment horizontal="center"/>
    </xf>
    <xf numFmtId="0" fontId="5" fillId="0" borderId="1" xfId="1" applyFont="1" applyBorder="1" applyAlignment="1" applyProtection="1">
      <alignment horizontal="center"/>
    </xf>
    <xf numFmtId="0" fontId="5" fillId="0" borderId="2" xfId="1" applyFont="1" applyBorder="1" applyProtection="1"/>
    <xf numFmtId="0" fontId="5" fillId="0" borderId="3" xfId="1" applyFont="1" applyBorder="1" applyProtection="1"/>
    <xf numFmtId="0" fontId="5" fillId="0" borderId="4" xfId="1" applyFont="1" applyBorder="1" applyProtection="1"/>
    <xf numFmtId="0" fontId="5" fillId="0" borderId="5" xfId="1" applyFont="1" applyBorder="1" applyAlignment="1" applyProtection="1">
      <alignment horizontal="right" indent="1"/>
    </xf>
    <xf numFmtId="0" fontId="5" fillId="0" borderId="6" xfId="1" applyFont="1" applyBorder="1" applyProtection="1"/>
    <xf numFmtId="0" fontId="7" fillId="0" borderId="7" xfId="1" applyFont="1" applyBorder="1" applyProtection="1"/>
    <xf numFmtId="0" fontId="7" fillId="0" borderId="8" xfId="1" applyFont="1" applyBorder="1" applyProtection="1"/>
    <xf numFmtId="0" fontId="5" fillId="0" borderId="9" xfId="1" applyFont="1" applyBorder="1" applyProtection="1"/>
    <xf numFmtId="0" fontId="5" fillId="0" borderId="10" xfId="1" applyFont="1" applyBorder="1" applyProtection="1"/>
    <xf numFmtId="0" fontId="5" fillId="0" borderId="11" xfId="1" applyFont="1" applyBorder="1" applyProtection="1"/>
    <xf numFmtId="0" fontId="5" fillId="0" borderId="12" xfId="1" applyFont="1" applyBorder="1" applyProtection="1"/>
    <xf numFmtId="0" fontId="4" fillId="0" borderId="0" xfId="1" applyFont="1" applyProtection="1"/>
    <xf numFmtId="1" fontId="5" fillId="0" borderId="0" xfId="1" applyNumberFormat="1" applyFont="1" applyProtection="1"/>
    <xf numFmtId="0" fontId="5" fillId="0" borderId="0" xfId="1" quotePrefix="1" applyFont="1" applyProtection="1"/>
    <xf numFmtId="0" fontId="4" fillId="0" borderId="10" xfId="1" applyFont="1" applyBorder="1" applyProtection="1"/>
    <xf numFmtId="0" fontId="4" fillId="0" borderId="11" xfId="1" applyFont="1" applyBorder="1" applyProtection="1"/>
    <xf numFmtId="0" fontId="4" fillId="0" borderId="12" xfId="1" applyFont="1" applyBorder="1" applyProtection="1"/>
    <xf numFmtId="0" fontId="3" fillId="0" borderId="0" xfId="1" quotePrefix="1" applyFont="1" applyAlignment="1" applyProtection="1">
      <alignment horizontal="center"/>
    </xf>
    <xf numFmtId="0" fontId="5" fillId="0" borderId="2" xfId="1" applyFont="1" applyBorder="1" applyAlignment="1" applyProtection="1">
      <alignment horizontal="center"/>
    </xf>
    <xf numFmtId="0" fontId="0" fillId="0" borderId="4" xfId="0" applyBorder="1"/>
    <xf numFmtId="0" fontId="5" fillId="0" borderId="9" xfId="1" applyFont="1" applyBorder="1" applyAlignment="1" applyProtection="1">
      <alignment horizontal="center"/>
    </xf>
    <xf numFmtId="0" fontId="5" fillId="0" borderId="0" xfId="1" applyFont="1" applyBorder="1" applyProtection="1"/>
    <xf numFmtId="0" fontId="0" fillId="0" borderId="14" xfId="0" applyBorder="1"/>
    <xf numFmtId="0" fontId="7" fillId="0" borderId="0" xfId="1" applyFont="1" applyBorder="1" applyProtection="1"/>
    <xf numFmtId="0" fontId="5" fillId="0" borderId="0" xfId="1" applyFont="1" applyBorder="1" applyAlignment="1" applyProtection="1">
      <alignment horizontal="right" indent="1"/>
    </xf>
    <xf numFmtId="0" fontId="4" fillId="0" borderId="0" xfId="1" applyFont="1" applyBorder="1" applyProtection="1"/>
    <xf numFmtId="1" fontId="5" fillId="0" borderId="0" xfId="1" applyNumberFormat="1" applyFont="1" applyBorder="1" applyProtection="1"/>
    <xf numFmtId="0" fontId="5" fillId="0" borderId="6" xfId="1" applyFont="1" applyBorder="1" applyAlignment="1" applyProtection="1">
      <alignment horizontal="center"/>
    </xf>
    <xf numFmtId="0" fontId="5" fillId="0" borderId="7" xfId="1" applyFont="1" applyBorder="1" applyProtection="1"/>
    <xf numFmtId="0" fontId="5" fillId="0" borderId="7" xfId="1" applyFont="1" applyBorder="1" applyAlignment="1" applyProtection="1">
      <alignment horizontal="right" indent="1"/>
    </xf>
    <xf numFmtId="0" fontId="4" fillId="0" borderId="7" xfId="1" applyFont="1" applyBorder="1" applyProtection="1"/>
    <xf numFmtId="1" fontId="5" fillId="0" borderId="7" xfId="1" applyNumberFormat="1" applyFont="1" applyBorder="1" applyProtection="1"/>
    <xf numFmtId="0" fontId="0" fillId="0" borderId="8" xfId="0" applyBorder="1"/>
    <xf numFmtId="0" fontId="5" fillId="0" borderId="14" xfId="1" applyFont="1" applyBorder="1" applyProtection="1"/>
    <xf numFmtId="1" fontId="5" fillId="0" borderId="14" xfId="1" applyNumberFormat="1" applyFont="1" applyBorder="1" applyProtection="1"/>
    <xf numFmtId="1" fontId="5" fillId="0" borderId="8" xfId="1" applyNumberFormat="1" applyFont="1" applyBorder="1" applyProtection="1"/>
  </cellXfs>
  <cellStyles count="2">
    <cellStyle name="Normal" xfId="0" builtinId="0"/>
    <cellStyle name="Normal 2" xfId="1" xr:uid="{BE38B8C5-8261-4FEE-A614-3396C63C0268}"/>
  </cellStyles>
  <dxfs count="415"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EB8E1-B18D-467B-961A-C8AB65288AD3}">
  <sheetPr codeName="Sheet9">
    <tabColor theme="9"/>
  </sheetPr>
  <dimension ref="A1:O1367"/>
  <sheetViews>
    <sheetView showGridLines="0" tabSelected="1" zoomScale="80" zoomScaleNormal="80" workbookViewId="0">
      <selection activeCell="E4" sqref="E4"/>
    </sheetView>
  </sheetViews>
  <sheetFormatPr defaultColWidth="6.15234375" defaultRowHeight="18.600000000000001" x14ac:dyDescent="0.45"/>
  <cols>
    <col min="1" max="1" width="10.69140625" style="29" customWidth="1"/>
    <col min="2" max="2" width="2.765625" style="27" bestFit="1" customWidth="1"/>
    <col min="3" max="4" width="4.3046875" style="27" customWidth="1"/>
    <col min="5" max="5" width="9.921875" style="28" customWidth="1"/>
    <col min="6" max="13" width="5.3046875" style="27" customWidth="1"/>
    <col min="14" max="14" width="2.3046875" style="27" customWidth="1"/>
    <col min="15" max="15" width="26.07421875" style="27" customWidth="1"/>
    <col min="16" max="16384" width="6.15234375" style="10"/>
  </cols>
  <sheetData>
    <row r="1" spans="1:15" ht="75" customHeight="1" x14ac:dyDescent="0.45">
      <c r="A1" s="25" t="str" cm="1">
        <f t="array" aca="1" ref="A1" ca="1">MID(CELL("filename",A1),FIND("]",CELL("filename",A1))+1,255)</f>
        <v>0380 Snap In starfam</v>
      </c>
      <c r="B1" s="26" t="str" cm="1">
        <f t="array" aca="1" ref="B1" ca="1">MID(CELL("filename"),SEARCH("[",CELL("filename"))+1,SEARCH(".",CELL("filename"))-1-SEARCH("[",CELL("filename")))</f>
        <v>Tio Cash Master 0380 Snap In Calculation</v>
      </c>
      <c r="C1" s="25"/>
    </row>
    <row r="2" spans="1:15" ht="19.2" thickBot="1" x14ac:dyDescent="0.5"/>
    <row r="3" spans="1:15" ht="19.2" thickBot="1" x14ac:dyDescent="0.5">
      <c r="E3" s="30" t="s">
        <v>0</v>
      </c>
      <c r="F3" s="31" t="s">
        <v>1</v>
      </c>
      <c r="G3" s="32"/>
      <c r="H3" s="32"/>
      <c r="I3" s="33"/>
    </row>
    <row r="4" spans="1:15" ht="19.2" thickBot="1" x14ac:dyDescent="0.5">
      <c r="E4" s="2">
        <v>9</v>
      </c>
      <c r="F4" s="35" t="str">
        <f>FactorNumber(E4)</f>
        <v>1,3,9</v>
      </c>
      <c r="G4" s="36"/>
      <c r="H4" s="36"/>
      <c r="I4" s="37"/>
    </row>
    <row r="5" spans="1:15" ht="19.2" thickBot="1" x14ac:dyDescent="0.5">
      <c r="E5" s="38" t="str">
        <f>IF(LEN(F4)-LEN(SUBSTITUTE(F4,",",""))=1,"PRIME","NOT PRIME")</f>
        <v>NOT PRIME</v>
      </c>
      <c r="F5" s="26"/>
    </row>
    <row r="6" spans="1:15" ht="19.2" thickBot="1" x14ac:dyDescent="0.5">
      <c r="E6" s="34">
        <f>E4</f>
        <v>9</v>
      </c>
      <c r="F6" s="39">
        <v>1</v>
      </c>
      <c r="G6" s="40">
        <v>7</v>
      </c>
      <c r="H6" s="40">
        <v>11</v>
      </c>
      <c r="I6" s="40">
        <v>13</v>
      </c>
      <c r="J6" s="40">
        <v>17</v>
      </c>
      <c r="K6" s="40">
        <v>19</v>
      </c>
      <c r="L6" s="40">
        <v>23</v>
      </c>
      <c r="M6" s="41">
        <v>29</v>
      </c>
      <c r="O6" s="27" t="s">
        <v>2</v>
      </c>
    </row>
    <row r="7" spans="1:15" x14ac:dyDescent="0.45">
      <c r="A7" s="29">
        <v>0</v>
      </c>
      <c r="D7" s="27">
        <v>1</v>
      </c>
      <c r="E7" s="28">
        <f>D7*$E$6</f>
        <v>9</v>
      </c>
      <c r="F7" s="42">
        <f>(E7-1)/30</f>
        <v>0.26666666666666666</v>
      </c>
      <c r="G7" s="42">
        <f>($E7-7)/30</f>
        <v>6.6666666666666666E-2</v>
      </c>
      <c r="H7" s="42">
        <f>($E7-11)/30</f>
        <v>-6.6666666666666666E-2</v>
      </c>
      <c r="I7" s="42">
        <f>($E7-13)/30</f>
        <v>-0.13333333333333333</v>
      </c>
      <c r="J7" s="42">
        <f>($E7-17)/30</f>
        <v>-0.26666666666666666</v>
      </c>
      <c r="K7" s="42">
        <f>($E7-19)/30</f>
        <v>-0.33333333333333331</v>
      </c>
      <c r="L7" s="42">
        <f>($E7-23)/30</f>
        <v>-0.46666666666666667</v>
      </c>
      <c r="M7" s="42">
        <f>($E7-29)/30</f>
        <v>-0.66666666666666663</v>
      </c>
      <c r="O7" s="43" t="str">
        <f>FactorNumber(E7)</f>
        <v>1,3,9</v>
      </c>
    </row>
    <row r="8" spans="1:15" x14ac:dyDescent="0.45">
      <c r="D8" s="27">
        <v>7</v>
      </c>
      <c r="E8" s="28">
        <f t="shared" ref="E8:E14" si="0">D8*$E$6</f>
        <v>63</v>
      </c>
      <c r="F8" s="42">
        <f t="shared" ref="F8:F14" si="1">(E8-1)/30</f>
        <v>2.0666666666666669</v>
      </c>
      <c r="G8" s="42">
        <f t="shared" ref="G8:G14" si="2">($E8-7)/30</f>
        <v>1.8666666666666667</v>
      </c>
      <c r="H8" s="42">
        <f t="shared" ref="H8:H14" si="3">($E8-11)/30</f>
        <v>1.7333333333333334</v>
      </c>
      <c r="I8" s="42">
        <f t="shared" ref="I8:I14" si="4">($E8-13)/30</f>
        <v>1.6666666666666667</v>
      </c>
      <c r="J8" s="42">
        <f t="shared" ref="J8:J14" si="5">($E8-17)/30</f>
        <v>1.5333333333333334</v>
      </c>
      <c r="K8" s="42">
        <f t="shared" ref="K8:K14" si="6">($E8-19)/30</f>
        <v>1.4666666666666666</v>
      </c>
      <c r="L8" s="42">
        <f t="shared" ref="L8:L14" si="7">($E8-23)/30</f>
        <v>1.3333333333333333</v>
      </c>
      <c r="M8" s="42">
        <f t="shared" ref="M8:M14" si="8">($E8-29)/30</f>
        <v>1.1333333333333333</v>
      </c>
      <c r="O8" s="43" t="str">
        <f t="shared" ref="O8:O14" si="9">FactorNumber(E8)</f>
        <v>1,3,7,9,21,63</v>
      </c>
    </row>
    <row r="9" spans="1:15" x14ac:dyDescent="0.45">
      <c r="D9" s="27">
        <v>11</v>
      </c>
      <c r="E9" s="28">
        <f t="shared" si="0"/>
        <v>99</v>
      </c>
      <c r="F9" s="42">
        <f t="shared" si="1"/>
        <v>3.2666666666666666</v>
      </c>
      <c r="G9" s="42">
        <f t="shared" si="2"/>
        <v>3.0666666666666669</v>
      </c>
      <c r="H9" s="42">
        <f t="shared" si="3"/>
        <v>2.9333333333333331</v>
      </c>
      <c r="I9" s="42">
        <f t="shared" si="4"/>
        <v>2.8666666666666667</v>
      </c>
      <c r="J9" s="42">
        <f t="shared" si="5"/>
        <v>2.7333333333333334</v>
      </c>
      <c r="K9" s="42">
        <f t="shared" si="6"/>
        <v>2.6666666666666665</v>
      </c>
      <c r="L9" s="42">
        <f t="shared" si="7"/>
        <v>2.5333333333333332</v>
      </c>
      <c r="M9" s="42">
        <f>($E9-29)/30</f>
        <v>2.3333333333333335</v>
      </c>
      <c r="O9" s="43" t="str">
        <f t="shared" si="9"/>
        <v>1,3,9,11,33,99</v>
      </c>
    </row>
    <row r="10" spans="1:15" x14ac:dyDescent="0.45">
      <c r="D10" s="27">
        <v>13</v>
      </c>
      <c r="E10" s="28">
        <f t="shared" si="0"/>
        <v>117</v>
      </c>
      <c r="F10" s="42">
        <f t="shared" si="1"/>
        <v>3.8666666666666667</v>
      </c>
      <c r="G10" s="42">
        <f t="shared" si="2"/>
        <v>3.6666666666666665</v>
      </c>
      <c r="H10" s="42">
        <f t="shared" si="3"/>
        <v>3.5333333333333332</v>
      </c>
      <c r="I10" s="42">
        <f t="shared" si="4"/>
        <v>3.4666666666666668</v>
      </c>
      <c r="J10" s="42">
        <f t="shared" si="5"/>
        <v>3.3333333333333335</v>
      </c>
      <c r="K10" s="42">
        <f t="shared" si="6"/>
        <v>3.2666666666666666</v>
      </c>
      <c r="L10" s="42">
        <f t="shared" si="7"/>
        <v>3.1333333333333333</v>
      </c>
      <c r="M10" s="42">
        <f t="shared" si="8"/>
        <v>2.9333333333333331</v>
      </c>
      <c r="O10" s="43" t="str">
        <f t="shared" si="9"/>
        <v>1,3,9,13,39,117</v>
      </c>
    </row>
    <row r="11" spans="1:15" x14ac:dyDescent="0.45">
      <c r="D11" s="27">
        <v>17</v>
      </c>
      <c r="E11" s="28">
        <f t="shared" si="0"/>
        <v>153</v>
      </c>
      <c r="F11" s="42">
        <f t="shared" si="1"/>
        <v>5.0666666666666664</v>
      </c>
      <c r="G11" s="42">
        <f t="shared" si="2"/>
        <v>4.8666666666666663</v>
      </c>
      <c r="H11" s="42">
        <f t="shared" si="3"/>
        <v>4.7333333333333334</v>
      </c>
      <c r="I11" s="42">
        <f t="shared" si="4"/>
        <v>4.666666666666667</v>
      </c>
      <c r="J11" s="42">
        <f t="shared" si="5"/>
        <v>4.5333333333333332</v>
      </c>
      <c r="K11" s="42">
        <f t="shared" si="6"/>
        <v>4.4666666666666668</v>
      </c>
      <c r="L11" s="42">
        <f t="shared" si="7"/>
        <v>4.333333333333333</v>
      </c>
      <c r="M11" s="42">
        <f t="shared" si="8"/>
        <v>4.1333333333333337</v>
      </c>
      <c r="O11" s="43" t="str">
        <f t="shared" si="9"/>
        <v>1,3,9,17,51,153</v>
      </c>
    </row>
    <row r="12" spans="1:15" x14ac:dyDescent="0.45">
      <c r="D12" s="27">
        <v>19</v>
      </c>
      <c r="E12" s="28">
        <f t="shared" si="0"/>
        <v>171</v>
      </c>
      <c r="F12" s="42">
        <f t="shared" si="1"/>
        <v>5.666666666666667</v>
      </c>
      <c r="G12" s="42">
        <f t="shared" si="2"/>
        <v>5.4666666666666668</v>
      </c>
      <c r="H12" s="42">
        <f t="shared" si="3"/>
        <v>5.333333333333333</v>
      </c>
      <c r="I12" s="42">
        <f t="shared" si="4"/>
        <v>5.2666666666666666</v>
      </c>
      <c r="J12" s="42">
        <f t="shared" si="5"/>
        <v>5.1333333333333337</v>
      </c>
      <c r="K12" s="42">
        <f t="shared" si="6"/>
        <v>5.0666666666666664</v>
      </c>
      <c r="L12" s="42">
        <f t="shared" si="7"/>
        <v>4.9333333333333336</v>
      </c>
      <c r="M12" s="42">
        <f t="shared" si="8"/>
        <v>4.7333333333333334</v>
      </c>
      <c r="O12" s="43" t="str">
        <f t="shared" si="9"/>
        <v>1,3,9,19,57,171</v>
      </c>
    </row>
    <row r="13" spans="1:15" x14ac:dyDescent="0.45">
      <c r="D13" s="27">
        <v>23</v>
      </c>
      <c r="E13" s="28">
        <f t="shared" si="0"/>
        <v>207</v>
      </c>
      <c r="F13" s="42">
        <f t="shared" si="1"/>
        <v>6.8666666666666663</v>
      </c>
      <c r="G13" s="42">
        <f t="shared" si="2"/>
        <v>6.666666666666667</v>
      </c>
      <c r="H13" s="42">
        <f t="shared" si="3"/>
        <v>6.5333333333333332</v>
      </c>
      <c r="I13" s="42">
        <f t="shared" si="4"/>
        <v>6.4666666666666668</v>
      </c>
      <c r="J13" s="42">
        <f t="shared" si="5"/>
        <v>6.333333333333333</v>
      </c>
      <c r="K13" s="42">
        <f t="shared" si="6"/>
        <v>6.2666666666666666</v>
      </c>
      <c r="L13" s="42">
        <f t="shared" si="7"/>
        <v>6.1333333333333337</v>
      </c>
      <c r="M13" s="42">
        <f t="shared" si="8"/>
        <v>5.9333333333333336</v>
      </c>
      <c r="O13" s="43" t="str">
        <f t="shared" si="9"/>
        <v>1,3,9,23,69,207</v>
      </c>
    </row>
    <row r="14" spans="1:15" x14ac:dyDescent="0.45">
      <c r="D14" s="27">
        <v>29</v>
      </c>
      <c r="E14" s="28">
        <f t="shared" si="0"/>
        <v>261</v>
      </c>
      <c r="F14" s="42">
        <f t="shared" si="1"/>
        <v>8.6666666666666661</v>
      </c>
      <c r="G14" s="42">
        <f t="shared" si="2"/>
        <v>8.4666666666666668</v>
      </c>
      <c r="H14" s="42">
        <f t="shared" si="3"/>
        <v>8.3333333333333339</v>
      </c>
      <c r="I14" s="42">
        <f t="shared" si="4"/>
        <v>8.2666666666666675</v>
      </c>
      <c r="J14" s="42">
        <f t="shared" si="5"/>
        <v>8.1333333333333329</v>
      </c>
      <c r="K14" s="42">
        <f t="shared" si="6"/>
        <v>8.0666666666666664</v>
      </c>
      <c r="L14" s="42">
        <f t="shared" si="7"/>
        <v>7.9333333333333336</v>
      </c>
      <c r="M14" s="42">
        <f t="shared" si="8"/>
        <v>7.7333333333333334</v>
      </c>
      <c r="O14" s="43" t="str">
        <f t="shared" si="9"/>
        <v>1,3,9,29,87,261</v>
      </c>
    </row>
    <row r="15" spans="1:15" ht="19.2" thickBot="1" x14ac:dyDescent="0.5"/>
    <row r="16" spans="1:15" ht="19.2" thickBot="1" x14ac:dyDescent="0.5">
      <c r="C16" s="44" t="s">
        <v>3</v>
      </c>
      <c r="E16" s="34">
        <f>E6</f>
        <v>9</v>
      </c>
      <c r="F16" s="39">
        <v>1</v>
      </c>
      <c r="G16" s="40">
        <v>7</v>
      </c>
      <c r="H16" s="40">
        <v>11</v>
      </c>
      <c r="I16" s="40">
        <v>13</v>
      </c>
      <c r="J16" s="40">
        <v>17</v>
      </c>
      <c r="K16" s="40">
        <v>19</v>
      </c>
      <c r="L16" s="40">
        <v>23</v>
      </c>
      <c r="M16" s="41">
        <v>29</v>
      </c>
      <c r="O16" s="27" t="s">
        <v>2</v>
      </c>
    </row>
    <row r="17" spans="1:15" x14ac:dyDescent="0.45">
      <c r="A17" s="29">
        <v>1</v>
      </c>
      <c r="D17" s="27">
        <v>31</v>
      </c>
      <c r="E17" s="28">
        <f>D17*$E$6</f>
        <v>279</v>
      </c>
      <c r="F17" s="42">
        <f>(E17-1)/30</f>
        <v>9.2666666666666675</v>
      </c>
      <c r="G17" s="42">
        <f>($E17-7)/30</f>
        <v>9.0666666666666664</v>
      </c>
      <c r="H17" s="42">
        <f>($E17-11)/30</f>
        <v>8.9333333333333336</v>
      </c>
      <c r="I17" s="42">
        <f>($E17-13)/30</f>
        <v>8.8666666666666671</v>
      </c>
      <c r="J17" s="42">
        <f>($E17-17)/30</f>
        <v>8.7333333333333325</v>
      </c>
      <c r="K17" s="42">
        <f>($E17-19)/30</f>
        <v>8.6666666666666661</v>
      </c>
      <c r="L17" s="42">
        <f>($E17-23)/30</f>
        <v>8.5333333333333332</v>
      </c>
      <c r="M17" s="42">
        <f>($E17-29)/30</f>
        <v>8.3333333333333339</v>
      </c>
      <c r="O17" s="43" t="str">
        <f t="shared" ref="O17:O24" si="10">FactorNumber(E17)</f>
        <v>1,3,9,31,93,279</v>
      </c>
    </row>
    <row r="18" spans="1:15" x14ac:dyDescent="0.45">
      <c r="D18" s="27">
        <v>37</v>
      </c>
      <c r="E18" s="28">
        <f t="shared" ref="E18:E24" si="11">D18*$E$6</f>
        <v>333</v>
      </c>
      <c r="F18" s="42">
        <f t="shared" ref="F18:F24" si="12">(E18-1)/30</f>
        <v>11.066666666666666</v>
      </c>
      <c r="G18" s="42">
        <f t="shared" ref="G18:G24" si="13">($E18-7)/30</f>
        <v>10.866666666666667</v>
      </c>
      <c r="H18" s="42">
        <f t="shared" ref="H18:H24" si="14">($E18-11)/30</f>
        <v>10.733333333333333</v>
      </c>
      <c r="I18" s="42">
        <f t="shared" ref="I18:I24" si="15">($E18-13)/30</f>
        <v>10.666666666666666</v>
      </c>
      <c r="J18" s="42">
        <f t="shared" ref="J18:J24" si="16">($E18-17)/30</f>
        <v>10.533333333333333</v>
      </c>
      <c r="K18" s="42">
        <f t="shared" ref="K18:K24" si="17">($E18-19)/30</f>
        <v>10.466666666666667</v>
      </c>
      <c r="L18" s="42">
        <f t="shared" ref="L18:L24" si="18">($E18-23)/30</f>
        <v>10.333333333333334</v>
      </c>
      <c r="M18" s="42">
        <f t="shared" ref="M18:M24" si="19">($E18-29)/30</f>
        <v>10.133333333333333</v>
      </c>
      <c r="O18" s="43" t="str">
        <f t="shared" si="10"/>
        <v>1,3,9,37,111,333</v>
      </c>
    </row>
    <row r="19" spans="1:15" x14ac:dyDescent="0.45">
      <c r="D19" s="27">
        <v>41</v>
      </c>
      <c r="E19" s="28">
        <f t="shared" si="11"/>
        <v>369</v>
      </c>
      <c r="F19" s="42">
        <f t="shared" si="12"/>
        <v>12.266666666666667</v>
      </c>
      <c r="G19" s="42">
        <f t="shared" si="13"/>
        <v>12.066666666666666</v>
      </c>
      <c r="H19" s="42">
        <f t="shared" si="14"/>
        <v>11.933333333333334</v>
      </c>
      <c r="I19" s="42">
        <f t="shared" si="15"/>
        <v>11.866666666666667</v>
      </c>
      <c r="J19" s="42">
        <f t="shared" si="16"/>
        <v>11.733333333333333</v>
      </c>
      <c r="K19" s="42">
        <f t="shared" si="17"/>
        <v>11.666666666666666</v>
      </c>
      <c r="L19" s="42">
        <f t="shared" si="18"/>
        <v>11.533333333333333</v>
      </c>
      <c r="M19" s="42">
        <f t="shared" si="19"/>
        <v>11.333333333333334</v>
      </c>
      <c r="O19" s="43" t="str">
        <f t="shared" si="10"/>
        <v>1,3,9,41,123,369</v>
      </c>
    </row>
    <row r="20" spans="1:15" x14ac:dyDescent="0.45">
      <c r="D20" s="27">
        <v>43</v>
      </c>
      <c r="E20" s="28">
        <f t="shared" si="11"/>
        <v>387</v>
      </c>
      <c r="F20" s="42">
        <f t="shared" si="12"/>
        <v>12.866666666666667</v>
      </c>
      <c r="G20" s="42">
        <f t="shared" si="13"/>
        <v>12.666666666666666</v>
      </c>
      <c r="H20" s="42">
        <f t="shared" si="14"/>
        <v>12.533333333333333</v>
      </c>
      <c r="I20" s="42">
        <f t="shared" si="15"/>
        <v>12.466666666666667</v>
      </c>
      <c r="J20" s="42">
        <f t="shared" si="16"/>
        <v>12.333333333333334</v>
      </c>
      <c r="K20" s="42">
        <f t="shared" si="17"/>
        <v>12.266666666666667</v>
      </c>
      <c r="L20" s="42">
        <f t="shared" si="18"/>
        <v>12.133333333333333</v>
      </c>
      <c r="M20" s="42">
        <f t="shared" si="19"/>
        <v>11.933333333333334</v>
      </c>
      <c r="O20" s="43" t="str">
        <f t="shared" si="10"/>
        <v>1,3,9,43,129,387</v>
      </c>
    </row>
    <row r="21" spans="1:15" x14ac:dyDescent="0.45">
      <c r="D21" s="27">
        <v>47</v>
      </c>
      <c r="E21" s="28">
        <f t="shared" si="11"/>
        <v>423</v>
      </c>
      <c r="F21" s="42">
        <f t="shared" si="12"/>
        <v>14.066666666666666</v>
      </c>
      <c r="G21" s="42">
        <f t="shared" si="13"/>
        <v>13.866666666666667</v>
      </c>
      <c r="H21" s="42">
        <f t="shared" si="14"/>
        <v>13.733333333333333</v>
      </c>
      <c r="I21" s="42">
        <f t="shared" si="15"/>
        <v>13.666666666666666</v>
      </c>
      <c r="J21" s="42">
        <f t="shared" si="16"/>
        <v>13.533333333333333</v>
      </c>
      <c r="K21" s="42">
        <f t="shared" si="17"/>
        <v>13.466666666666667</v>
      </c>
      <c r="L21" s="42">
        <f t="shared" si="18"/>
        <v>13.333333333333334</v>
      </c>
      <c r="M21" s="42">
        <f t="shared" si="19"/>
        <v>13.133333333333333</v>
      </c>
      <c r="O21" s="43" t="str">
        <f t="shared" si="10"/>
        <v>1,3,9,47,141,423</v>
      </c>
    </row>
    <row r="22" spans="1:15" x14ac:dyDescent="0.45">
      <c r="D22" s="27">
        <v>49</v>
      </c>
      <c r="E22" s="28">
        <f t="shared" si="11"/>
        <v>441</v>
      </c>
      <c r="F22" s="42">
        <f t="shared" si="12"/>
        <v>14.666666666666666</v>
      </c>
      <c r="G22" s="42">
        <f t="shared" si="13"/>
        <v>14.466666666666667</v>
      </c>
      <c r="H22" s="42">
        <f t="shared" si="14"/>
        <v>14.333333333333334</v>
      </c>
      <c r="I22" s="42">
        <f t="shared" si="15"/>
        <v>14.266666666666667</v>
      </c>
      <c r="J22" s="42">
        <f t="shared" si="16"/>
        <v>14.133333333333333</v>
      </c>
      <c r="K22" s="42">
        <f t="shared" si="17"/>
        <v>14.066666666666666</v>
      </c>
      <c r="L22" s="42">
        <f t="shared" si="18"/>
        <v>13.933333333333334</v>
      </c>
      <c r="M22" s="42">
        <f t="shared" si="19"/>
        <v>13.733333333333333</v>
      </c>
      <c r="O22" s="43" t="str">
        <f t="shared" si="10"/>
        <v>1,3,7,9,21,49,63,147,441</v>
      </c>
    </row>
    <row r="23" spans="1:15" x14ac:dyDescent="0.45">
      <c r="D23" s="27">
        <v>53</v>
      </c>
      <c r="E23" s="28">
        <f t="shared" si="11"/>
        <v>477</v>
      </c>
      <c r="F23" s="42">
        <f t="shared" si="12"/>
        <v>15.866666666666667</v>
      </c>
      <c r="G23" s="42">
        <f t="shared" si="13"/>
        <v>15.666666666666666</v>
      </c>
      <c r="H23" s="42">
        <f t="shared" si="14"/>
        <v>15.533333333333333</v>
      </c>
      <c r="I23" s="42">
        <f t="shared" si="15"/>
        <v>15.466666666666667</v>
      </c>
      <c r="J23" s="42">
        <f t="shared" si="16"/>
        <v>15.333333333333334</v>
      </c>
      <c r="K23" s="42">
        <f t="shared" si="17"/>
        <v>15.266666666666667</v>
      </c>
      <c r="L23" s="42">
        <f t="shared" si="18"/>
        <v>15.133333333333333</v>
      </c>
      <c r="M23" s="42">
        <f t="shared" si="19"/>
        <v>14.933333333333334</v>
      </c>
      <c r="O23" s="43" t="str">
        <f t="shared" si="10"/>
        <v>1,3,9,53,159,477</v>
      </c>
    </row>
    <row r="24" spans="1:15" x14ac:dyDescent="0.45">
      <c r="D24" s="27">
        <v>59</v>
      </c>
      <c r="E24" s="28">
        <f t="shared" si="11"/>
        <v>531</v>
      </c>
      <c r="F24" s="42">
        <f t="shared" si="12"/>
        <v>17.666666666666668</v>
      </c>
      <c r="G24" s="42">
        <f t="shared" si="13"/>
        <v>17.466666666666665</v>
      </c>
      <c r="H24" s="42">
        <f t="shared" si="14"/>
        <v>17.333333333333332</v>
      </c>
      <c r="I24" s="42">
        <f t="shared" si="15"/>
        <v>17.266666666666666</v>
      </c>
      <c r="J24" s="42">
        <f t="shared" si="16"/>
        <v>17.133333333333333</v>
      </c>
      <c r="K24" s="42">
        <f t="shared" si="17"/>
        <v>17.066666666666666</v>
      </c>
      <c r="L24" s="42">
        <f t="shared" si="18"/>
        <v>16.933333333333334</v>
      </c>
      <c r="M24" s="42">
        <f t="shared" si="19"/>
        <v>16.733333333333334</v>
      </c>
      <c r="O24" s="43" t="str">
        <f t="shared" si="10"/>
        <v>1,3,9,59,177,531</v>
      </c>
    </row>
    <row r="25" spans="1:15" ht="19.2" thickBot="1" x14ac:dyDescent="0.5"/>
    <row r="26" spans="1:15" ht="19.2" thickBot="1" x14ac:dyDescent="0.5">
      <c r="C26" s="44" t="s">
        <v>3</v>
      </c>
      <c r="E26" s="34">
        <f>E6</f>
        <v>9</v>
      </c>
      <c r="F26" s="39">
        <v>1</v>
      </c>
      <c r="G26" s="40">
        <v>7</v>
      </c>
      <c r="H26" s="40">
        <v>11</v>
      </c>
      <c r="I26" s="40">
        <v>13</v>
      </c>
      <c r="J26" s="40">
        <v>17</v>
      </c>
      <c r="K26" s="40">
        <v>19</v>
      </c>
      <c r="L26" s="40">
        <v>23</v>
      </c>
      <c r="M26" s="41">
        <v>29</v>
      </c>
      <c r="O26" s="27" t="s">
        <v>2</v>
      </c>
    </row>
    <row r="27" spans="1:15" x14ac:dyDescent="0.45">
      <c r="A27" s="29">
        <v>2</v>
      </c>
      <c r="D27" s="27">
        <v>61</v>
      </c>
      <c r="E27" s="28">
        <f>D27*$E$6</f>
        <v>549</v>
      </c>
      <c r="F27" s="42">
        <f>(E27-1)/30</f>
        <v>18.266666666666666</v>
      </c>
      <c r="G27" s="42">
        <f>($E27-7)/30</f>
        <v>18.066666666666666</v>
      </c>
      <c r="H27" s="42">
        <f>($E27-11)/30</f>
        <v>17.933333333333334</v>
      </c>
      <c r="I27" s="42">
        <f>($E27-13)/30</f>
        <v>17.866666666666667</v>
      </c>
      <c r="J27" s="42">
        <f>($E27-17)/30</f>
        <v>17.733333333333334</v>
      </c>
      <c r="K27" s="42">
        <f>($E27-19)/30</f>
        <v>17.666666666666668</v>
      </c>
      <c r="L27" s="42">
        <f>($E27-23)/30</f>
        <v>17.533333333333335</v>
      </c>
      <c r="M27" s="42">
        <f>($E27-29)/30</f>
        <v>17.333333333333332</v>
      </c>
      <c r="O27" s="43" t="str">
        <f t="shared" ref="O27:O34" si="20">FactorNumber(E27)</f>
        <v>1,3,9,61,183,549</v>
      </c>
    </row>
    <row r="28" spans="1:15" x14ac:dyDescent="0.45">
      <c r="D28" s="27">
        <v>67</v>
      </c>
      <c r="E28" s="28">
        <f t="shared" ref="E28:E34" si="21">D28*$E$6</f>
        <v>603</v>
      </c>
      <c r="F28" s="42">
        <f t="shared" ref="F28:F34" si="22">(E28-1)/30</f>
        <v>20.066666666666666</v>
      </c>
      <c r="G28" s="42">
        <f t="shared" ref="G28:G34" si="23">($E28-7)/30</f>
        <v>19.866666666666667</v>
      </c>
      <c r="H28" s="42">
        <f t="shared" ref="H28:H34" si="24">($E28-11)/30</f>
        <v>19.733333333333334</v>
      </c>
      <c r="I28" s="42">
        <f t="shared" ref="I28:I34" si="25">($E28-13)/30</f>
        <v>19.666666666666668</v>
      </c>
      <c r="J28" s="42">
        <f t="shared" ref="J28:J34" si="26">($E28-17)/30</f>
        <v>19.533333333333335</v>
      </c>
      <c r="K28" s="42">
        <f t="shared" ref="K28:K34" si="27">($E28-19)/30</f>
        <v>19.466666666666665</v>
      </c>
      <c r="L28" s="42">
        <f t="shared" ref="L28:L34" si="28">($E28-23)/30</f>
        <v>19.333333333333332</v>
      </c>
      <c r="M28" s="42">
        <f t="shared" ref="M28:M34" si="29">($E28-29)/30</f>
        <v>19.133333333333333</v>
      </c>
      <c r="O28" s="43" t="str">
        <f t="shared" si="20"/>
        <v>1,3,9,67,201,603</v>
      </c>
    </row>
    <row r="29" spans="1:15" x14ac:dyDescent="0.45">
      <c r="D29" s="27">
        <v>71</v>
      </c>
      <c r="E29" s="28">
        <f t="shared" si="21"/>
        <v>639</v>
      </c>
      <c r="F29" s="42">
        <f t="shared" si="22"/>
        <v>21.266666666666666</v>
      </c>
      <c r="G29" s="42">
        <f t="shared" si="23"/>
        <v>21.066666666666666</v>
      </c>
      <c r="H29" s="42">
        <f t="shared" si="24"/>
        <v>20.933333333333334</v>
      </c>
      <c r="I29" s="42">
        <f t="shared" si="25"/>
        <v>20.866666666666667</v>
      </c>
      <c r="J29" s="42">
        <f t="shared" si="26"/>
        <v>20.733333333333334</v>
      </c>
      <c r="K29" s="42">
        <f t="shared" si="27"/>
        <v>20.666666666666668</v>
      </c>
      <c r="L29" s="42">
        <f t="shared" si="28"/>
        <v>20.533333333333335</v>
      </c>
      <c r="M29" s="42">
        <f t="shared" si="29"/>
        <v>20.333333333333332</v>
      </c>
      <c r="O29" s="43" t="str">
        <f t="shared" si="20"/>
        <v>1,3,9,71,213,639</v>
      </c>
    </row>
    <row r="30" spans="1:15" x14ac:dyDescent="0.45">
      <c r="D30" s="27">
        <v>73</v>
      </c>
      <c r="E30" s="28">
        <f t="shared" si="21"/>
        <v>657</v>
      </c>
      <c r="F30" s="42">
        <f t="shared" si="22"/>
        <v>21.866666666666667</v>
      </c>
      <c r="G30" s="42">
        <f t="shared" si="23"/>
        <v>21.666666666666668</v>
      </c>
      <c r="H30" s="42">
        <f t="shared" si="24"/>
        <v>21.533333333333335</v>
      </c>
      <c r="I30" s="42">
        <f t="shared" si="25"/>
        <v>21.466666666666665</v>
      </c>
      <c r="J30" s="42">
        <f t="shared" si="26"/>
        <v>21.333333333333332</v>
      </c>
      <c r="K30" s="42">
        <f t="shared" si="27"/>
        <v>21.266666666666666</v>
      </c>
      <c r="L30" s="42">
        <f t="shared" si="28"/>
        <v>21.133333333333333</v>
      </c>
      <c r="M30" s="42">
        <f t="shared" si="29"/>
        <v>20.933333333333334</v>
      </c>
      <c r="O30" s="43" t="str">
        <f t="shared" si="20"/>
        <v>1,3,9,73,219,657</v>
      </c>
    </row>
    <row r="31" spans="1:15" x14ac:dyDescent="0.45">
      <c r="D31" s="27">
        <v>77</v>
      </c>
      <c r="E31" s="28">
        <f t="shared" si="21"/>
        <v>693</v>
      </c>
      <c r="F31" s="42">
        <f t="shared" si="22"/>
        <v>23.066666666666666</v>
      </c>
      <c r="G31" s="42">
        <f t="shared" si="23"/>
        <v>22.866666666666667</v>
      </c>
      <c r="H31" s="42">
        <f t="shared" si="24"/>
        <v>22.733333333333334</v>
      </c>
      <c r="I31" s="42">
        <f t="shared" si="25"/>
        <v>22.666666666666668</v>
      </c>
      <c r="J31" s="42">
        <f t="shared" si="26"/>
        <v>22.533333333333335</v>
      </c>
      <c r="K31" s="42">
        <f t="shared" si="27"/>
        <v>22.466666666666665</v>
      </c>
      <c r="L31" s="42">
        <f t="shared" si="28"/>
        <v>22.333333333333332</v>
      </c>
      <c r="M31" s="42">
        <f t="shared" si="29"/>
        <v>22.133333333333333</v>
      </c>
      <c r="O31" s="43" t="str">
        <f t="shared" si="20"/>
        <v>1,3,7,9,11,21,33,63,77,99,231,693</v>
      </c>
    </row>
    <row r="32" spans="1:15" x14ac:dyDescent="0.45">
      <c r="D32" s="27">
        <v>79</v>
      </c>
      <c r="E32" s="28">
        <f t="shared" si="21"/>
        <v>711</v>
      </c>
      <c r="F32" s="42">
        <f t="shared" si="22"/>
        <v>23.666666666666668</v>
      </c>
      <c r="G32" s="42">
        <f t="shared" si="23"/>
        <v>23.466666666666665</v>
      </c>
      <c r="H32" s="42">
        <f t="shared" si="24"/>
        <v>23.333333333333332</v>
      </c>
      <c r="I32" s="42">
        <f t="shared" si="25"/>
        <v>23.266666666666666</v>
      </c>
      <c r="J32" s="42">
        <f t="shared" si="26"/>
        <v>23.133333333333333</v>
      </c>
      <c r="K32" s="42">
        <f t="shared" si="27"/>
        <v>23.066666666666666</v>
      </c>
      <c r="L32" s="42">
        <f t="shared" si="28"/>
        <v>22.933333333333334</v>
      </c>
      <c r="M32" s="42">
        <f t="shared" si="29"/>
        <v>22.733333333333334</v>
      </c>
      <c r="O32" s="43" t="str">
        <f t="shared" si="20"/>
        <v>1,3,9,79,237,711</v>
      </c>
    </row>
    <row r="33" spans="1:15" x14ac:dyDescent="0.45">
      <c r="D33" s="27">
        <v>83</v>
      </c>
      <c r="E33" s="28">
        <f t="shared" si="21"/>
        <v>747</v>
      </c>
      <c r="F33" s="42">
        <f t="shared" si="22"/>
        <v>24.866666666666667</v>
      </c>
      <c r="G33" s="42">
        <f t="shared" si="23"/>
        <v>24.666666666666668</v>
      </c>
      <c r="H33" s="42">
        <f t="shared" si="24"/>
        <v>24.533333333333335</v>
      </c>
      <c r="I33" s="42">
        <f t="shared" si="25"/>
        <v>24.466666666666665</v>
      </c>
      <c r="J33" s="42">
        <f t="shared" si="26"/>
        <v>24.333333333333332</v>
      </c>
      <c r="K33" s="42">
        <f t="shared" si="27"/>
        <v>24.266666666666666</v>
      </c>
      <c r="L33" s="42">
        <f t="shared" si="28"/>
        <v>24.133333333333333</v>
      </c>
      <c r="M33" s="42">
        <f t="shared" si="29"/>
        <v>23.933333333333334</v>
      </c>
      <c r="O33" s="43" t="str">
        <f t="shared" si="20"/>
        <v>1,3,9,83,249,747</v>
      </c>
    </row>
    <row r="34" spans="1:15" x14ac:dyDescent="0.45">
      <c r="D34" s="27">
        <v>89</v>
      </c>
      <c r="E34" s="28">
        <f t="shared" si="21"/>
        <v>801</v>
      </c>
      <c r="F34" s="42">
        <f t="shared" si="22"/>
        <v>26.666666666666668</v>
      </c>
      <c r="G34" s="42">
        <f t="shared" si="23"/>
        <v>26.466666666666665</v>
      </c>
      <c r="H34" s="42">
        <f t="shared" si="24"/>
        <v>26.333333333333332</v>
      </c>
      <c r="I34" s="42">
        <f t="shared" si="25"/>
        <v>26.266666666666666</v>
      </c>
      <c r="J34" s="42">
        <f t="shared" si="26"/>
        <v>26.133333333333333</v>
      </c>
      <c r="K34" s="42">
        <f t="shared" si="27"/>
        <v>26.066666666666666</v>
      </c>
      <c r="L34" s="42">
        <f t="shared" si="28"/>
        <v>25.933333333333334</v>
      </c>
      <c r="M34" s="42">
        <f t="shared" si="29"/>
        <v>25.733333333333334</v>
      </c>
      <c r="O34" s="43" t="str">
        <f t="shared" si="20"/>
        <v>1,3,9,89,267,801</v>
      </c>
    </row>
    <row r="35" spans="1:15" ht="19.2" thickBot="1" x14ac:dyDescent="0.5"/>
    <row r="36" spans="1:15" ht="19.2" thickBot="1" x14ac:dyDescent="0.5">
      <c r="C36" s="44" t="s">
        <v>3</v>
      </c>
      <c r="E36" s="34">
        <f>E16</f>
        <v>9</v>
      </c>
      <c r="F36" s="39">
        <v>1</v>
      </c>
      <c r="G36" s="40">
        <v>7</v>
      </c>
      <c r="H36" s="40">
        <v>11</v>
      </c>
      <c r="I36" s="40">
        <v>13</v>
      </c>
      <c r="J36" s="40">
        <v>17</v>
      </c>
      <c r="K36" s="40">
        <v>19</v>
      </c>
      <c r="L36" s="40">
        <v>23</v>
      </c>
      <c r="M36" s="41">
        <v>29</v>
      </c>
      <c r="O36" s="27" t="s">
        <v>2</v>
      </c>
    </row>
    <row r="37" spans="1:15" x14ac:dyDescent="0.45">
      <c r="A37" s="29">
        <v>3</v>
      </c>
      <c r="D37" s="27">
        <v>91</v>
      </c>
      <c r="E37" s="28">
        <f>D37*$E$6</f>
        <v>819</v>
      </c>
      <c r="F37" s="42">
        <f>(E37-1)/30</f>
        <v>27.266666666666666</v>
      </c>
      <c r="G37" s="42">
        <f>($E37-7)/30</f>
        <v>27.066666666666666</v>
      </c>
      <c r="H37" s="42">
        <f>($E37-11)/30</f>
        <v>26.933333333333334</v>
      </c>
      <c r="I37" s="42">
        <f>($E37-13)/30</f>
        <v>26.866666666666667</v>
      </c>
      <c r="J37" s="42">
        <f>($E37-17)/30</f>
        <v>26.733333333333334</v>
      </c>
      <c r="K37" s="42">
        <f>($E37-19)/30</f>
        <v>26.666666666666668</v>
      </c>
      <c r="L37" s="42">
        <f>($E37-23)/30</f>
        <v>26.533333333333335</v>
      </c>
      <c r="M37" s="42">
        <f>($E37-29)/30</f>
        <v>26.333333333333332</v>
      </c>
      <c r="O37" s="43" t="str">
        <f t="shared" ref="O37:O44" si="30">FactorNumber(E37)</f>
        <v>1,3,7,9,13,21,39,63,91,117,273,819</v>
      </c>
    </row>
    <row r="38" spans="1:15" x14ac:dyDescent="0.45">
      <c r="D38" s="27">
        <v>97</v>
      </c>
      <c r="E38" s="28">
        <f t="shared" ref="E38:E44" si="31">D38*$E$6</f>
        <v>873</v>
      </c>
      <c r="F38" s="42">
        <f t="shared" ref="F38:F44" si="32">(E38-1)/30</f>
        <v>29.066666666666666</v>
      </c>
      <c r="G38" s="42">
        <f t="shared" ref="G38:G44" si="33">($E38-7)/30</f>
        <v>28.866666666666667</v>
      </c>
      <c r="H38" s="42">
        <f t="shared" ref="H38:H44" si="34">($E38-11)/30</f>
        <v>28.733333333333334</v>
      </c>
      <c r="I38" s="42">
        <f t="shared" ref="I38:I44" si="35">($E38-13)/30</f>
        <v>28.666666666666668</v>
      </c>
      <c r="J38" s="42">
        <f t="shared" ref="J38:J44" si="36">($E38-17)/30</f>
        <v>28.533333333333335</v>
      </c>
      <c r="K38" s="42">
        <f t="shared" ref="K38:K44" si="37">($E38-19)/30</f>
        <v>28.466666666666665</v>
      </c>
      <c r="L38" s="42">
        <f t="shared" ref="L38:L44" si="38">($E38-23)/30</f>
        <v>28.333333333333332</v>
      </c>
      <c r="M38" s="42">
        <f t="shared" ref="M38:M44" si="39">($E38-29)/30</f>
        <v>28.133333333333333</v>
      </c>
      <c r="O38" s="43" t="str">
        <f t="shared" si="30"/>
        <v>1,3,9,97,291,873</v>
      </c>
    </row>
    <row r="39" spans="1:15" x14ac:dyDescent="0.45">
      <c r="D39" s="27">
        <v>101</v>
      </c>
      <c r="E39" s="28">
        <f t="shared" si="31"/>
        <v>909</v>
      </c>
      <c r="F39" s="42">
        <f t="shared" si="32"/>
        <v>30.266666666666666</v>
      </c>
      <c r="G39" s="42">
        <f t="shared" si="33"/>
        <v>30.066666666666666</v>
      </c>
      <c r="H39" s="42">
        <f t="shared" si="34"/>
        <v>29.933333333333334</v>
      </c>
      <c r="I39" s="42">
        <f t="shared" si="35"/>
        <v>29.866666666666667</v>
      </c>
      <c r="J39" s="42">
        <f t="shared" si="36"/>
        <v>29.733333333333334</v>
      </c>
      <c r="K39" s="42">
        <f t="shared" si="37"/>
        <v>29.666666666666668</v>
      </c>
      <c r="L39" s="42">
        <f t="shared" si="38"/>
        <v>29.533333333333335</v>
      </c>
      <c r="M39" s="42">
        <f t="shared" si="39"/>
        <v>29.333333333333332</v>
      </c>
      <c r="O39" s="43" t="str">
        <f t="shared" si="30"/>
        <v>1,3,9,101,303,909</v>
      </c>
    </row>
    <row r="40" spans="1:15" x14ac:dyDescent="0.45">
      <c r="D40" s="27">
        <v>103</v>
      </c>
      <c r="E40" s="28">
        <f t="shared" si="31"/>
        <v>927</v>
      </c>
      <c r="F40" s="42">
        <f t="shared" si="32"/>
        <v>30.866666666666667</v>
      </c>
      <c r="G40" s="42">
        <f t="shared" si="33"/>
        <v>30.666666666666668</v>
      </c>
      <c r="H40" s="42">
        <f t="shared" si="34"/>
        <v>30.533333333333335</v>
      </c>
      <c r="I40" s="42">
        <f t="shared" si="35"/>
        <v>30.466666666666665</v>
      </c>
      <c r="J40" s="42">
        <f t="shared" si="36"/>
        <v>30.333333333333332</v>
      </c>
      <c r="K40" s="42">
        <f t="shared" si="37"/>
        <v>30.266666666666666</v>
      </c>
      <c r="L40" s="42">
        <f t="shared" si="38"/>
        <v>30.133333333333333</v>
      </c>
      <c r="M40" s="42">
        <f t="shared" si="39"/>
        <v>29.933333333333334</v>
      </c>
      <c r="O40" s="43" t="str">
        <f t="shared" si="30"/>
        <v>1,3,9,103,309,927</v>
      </c>
    </row>
    <row r="41" spans="1:15" x14ac:dyDescent="0.45">
      <c r="D41" s="27">
        <v>107</v>
      </c>
      <c r="E41" s="28">
        <f t="shared" si="31"/>
        <v>963</v>
      </c>
      <c r="F41" s="42">
        <f t="shared" si="32"/>
        <v>32.06666666666667</v>
      </c>
      <c r="G41" s="42">
        <f t="shared" si="33"/>
        <v>31.866666666666667</v>
      </c>
      <c r="H41" s="42">
        <f t="shared" si="34"/>
        <v>31.733333333333334</v>
      </c>
      <c r="I41" s="42">
        <f t="shared" si="35"/>
        <v>31.666666666666668</v>
      </c>
      <c r="J41" s="42">
        <f t="shared" si="36"/>
        <v>31.533333333333335</v>
      </c>
      <c r="K41" s="42">
        <f t="shared" si="37"/>
        <v>31.466666666666665</v>
      </c>
      <c r="L41" s="42">
        <f t="shared" si="38"/>
        <v>31.333333333333332</v>
      </c>
      <c r="M41" s="42">
        <f t="shared" si="39"/>
        <v>31.133333333333333</v>
      </c>
      <c r="O41" s="43" t="str">
        <f t="shared" si="30"/>
        <v>1,3,9,107,321,963</v>
      </c>
    </row>
    <row r="42" spans="1:15" x14ac:dyDescent="0.45">
      <c r="D42" s="27">
        <v>109</v>
      </c>
      <c r="E42" s="28">
        <f t="shared" si="31"/>
        <v>981</v>
      </c>
      <c r="F42" s="42">
        <f t="shared" si="32"/>
        <v>32.666666666666664</v>
      </c>
      <c r="G42" s="42">
        <f t="shared" si="33"/>
        <v>32.466666666666669</v>
      </c>
      <c r="H42" s="42">
        <f t="shared" si="34"/>
        <v>32.333333333333336</v>
      </c>
      <c r="I42" s="42">
        <f t="shared" si="35"/>
        <v>32.266666666666666</v>
      </c>
      <c r="J42" s="42">
        <f t="shared" si="36"/>
        <v>32.133333333333333</v>
      </c>
      <c r="K42" s="42">
        <f t="shared" si="37"/>
        <v>32.06666666666667</v>
      </c>
      <c r="L42" s="42">
        <f t="shared" si="38"/>
        <v>31.933333333333334</v>
      </c>
      <c r="M42" s="42">
        <f t="shared" si="39"/>
        <v>31.733333333333334</v>
      </c>
      <c r="O42" s="43" t="str">
        <f t="shared" si="30"/>
        <v>1,3,9,109,327,981</v>
      </c>
    </row>
    <row r="43" spans="1:15" x14ac:dyDescent="0.45">
      <c r="D43" s="27">
        <v>113</v>
      </c>
      <c r="E43" s="28">
        <f t="shared" si="31"/>
        <v>1017</v>
      </c>
      <c r="F43" s="42">
        <f t="shared" si="32"/>
        <v>33.866666666666667</v>
      </c>
      <c r="G43" s="42">
        <f t="shared" si="33"/>
        <v>33.666666666666664</v>
      </c>
      <c r="H43" s="42">
        <f t="shared" si="34"/>
        <v>33.533333333333331</v>
      </c>
      <c r="I43" s="42">
        <f t="shared" si="35"/>
        <v>33.466666666666669</v>
      </c>
      <c r="J43" s="42">
        <f t="shared" si="36"/>
        <v>33.333333333333336</v>
      </c>
      <c r="K43" s="42">
        <f t="shared" si="37"/>
        <v>33.266666666666666</v>
      </c>
      <c r="L43" s="42">
        <f t="shared" si="38"/>
        <v>33.133333333333333</v>
      </c>
      <c r="M43" s="42">
        <f t="shared" si="39"/>
        <v>32.93333333333333</v>
      </c>
      <c r="O43" s="43" t="str">
        <f t="shared" si="30"/>
        <v>1,3,9,113,339,1017</v>
      </c>
    </row>
    <row r="44" spans="1:15" x14ac:dyDescent="0.45">
      <c r="D44" s="27">
        <v>119</v>
      </c>
      <c r="E44" s="28">
        <f t="shared" si="31"/>
        <v>1071</v>
      </c>
      <c r="F44" s="42">
        <f t="shared" si="32"/>
        <v>35.666666666666664</v>
      </c>
      <c r="G44" s="42">
        <f t="shared" si="33"/>
        <v>35.466666666666669</v>
      </c>
      <c r="H44" s="42">
        <f t="shared" si="34"/>
        <v>35.333333333333336</v>
      </c>
      <c r="I44" s="42">
        <f t="shared" si="35"/>
        <v>35.266666666666666</v>
      </c>
      <c r="J44" s="42">
        <f t="shared" si="36"/>
        <v>35.133333333333333</v>
      </c>
      <c r="K44" s="42">
        <f t="shared" si="37"/>
        <v>35.06666666666667</v>
      </c>
      <c r="L44" s="42">
        <f t="shared" si="38"/>
        <v>34.93333333333333</v>
      </c>
      <c r="M44" s="42">
        <f t="shared" si="39"/>
        <v>34.733333333333334</v>
      </c>
      <c r="O44" s="43" t="str">
        <f t="shared" si="30"/>
        <v>1,3,7,9,17,21,51,63,119,153,357,1071</v>
      </c>
    </row>
    <row r="45" spans="1:15" ht="19.2" thickBot="1" x14ac:dyDescent="0.5"/>
    <row r="46" spans="1:15" ht="19.2" thickBot="1" x14ac:dyDescent="0.5">
      <c r="C46" s="44" t="s">
        <v>3</v>
      </c>
      <c r="E46" s="34">
        <f>E27</f>
        <v>549</v>
      </c>
      <c r="F46" s="39">
        <v>1</v>
      </c>
      <c r="G46" s="40">
        <v>7</v>
      </c>
      <c r="H46" s="40">
        <v>11</v>
      </c>
      <c r="I46" s="40">
        <v>13</v>
      </c>
      <c r="J46" s="40">
        <v>17</v>
      </c>
      <c r="K46" s="40">
        <v>19</v>
      </c>
      <c r="L46" s="40">
        <v>23</v>
      </c>
      <c r="M46" s="41">
        <v>29</v>
      </c>
      <c r="O46" s="27" t="s">
        <v>2</v>
      </c>
    </row>
    <row r="47" spans="1:15" x14ac:dyDescent="0.45">
      <c r="A47" s="29">
        <v>4</v>
      </c>
      <c r="D47" s="27">
        <v>121</v>
      </c>
      <c r="E47" s="28">
        <f>D47*$E$6</f>
        <v>1089</v>
      </c>
      <c r="F47" s="42">
        <f>(E47-1)/30</f>
        <v>36.266666666666666</v>
      </c>
      <c r="G47" s="42">
        <f>($E47-7)/30</f>
        <v>36.06666666666667</v>
      </c>
      <c r="H47" s="42">
        <f>($E47-11)/30</f>
        <v>35.93333333333333</v>
      </c>
      <c r="I47" s="42">
        <f>($E47-13)/30</f>
        <v>35.866666666666667</v>
      </c>
      <c r="J47" s="42">
        <f>($E47-17)/30</f>
        <v>35.733333333333334</v>
      </c>
      <c r="K47" s="42">
        <f>($E47-19)/30</f>
        <v>35.666666666666664</v>
      </c>
      <c r="L47" s="42">
        <f>($E47-23)/30</f>
        <v>35.533333333333331</v>
      </c>
      <c r="M47" s="42">
        <f>($E47-29)/30</f>
        <v>35.333333333333336</v>
      </c>
      <c r="O47" s="43" t="str">
        <f t="shared" ref="O47:O54" si="40">FactorNumber(E47)</f>
        <v>1,3,9,11,33,99,121,363,1089</v>
      </c>
    </row>
    <row r="48" spans="1:15" x14ac:dyDescent="0.45">
      <c r="D48" s="27">
        <v>127</v>
      </c>
      <c r="E48" s="28">
        <f t="shared" ref="E48:E54" si="41">D48*$E$6</f>
        <v>1143</v>
      </c>
      <c r="F48" s="42">
        <f t="shared" ref="F48:F54" si="42">(E48-1)/30</f>
        <v>38.06666666666667</v>
      </c>
      <c r="G48" s="42">
        <f t="shared" ref="G48:G54" si="43">($E48-7)/30</f>
        <v>37.866666666666667</v>
      </c>
      <c r="H48" s="42">
        <f t="shared" ref="H48:H54" si="44">($E48-11)/30</f>
        <v>37.733333333333334</v>
      </c>
      <c r="I48" s="42">
        <f t="shared" ref="I48:I54" si="45">($E48-13)/30</f>
        <v>37.666666666666664</v>
      </c>
      <c r="J48" s="42">
        <f t="shared" ref="J48:J54" si="46">($E48-17)/30</f>
        <v>37.533333333333331</v>
      </c>
      <c r="K48" s="42">
        <f t="shared" ref="K48:K54" si="47">($E48-19)/30</f>
        <v>37.466666666666669</v>
      </c>
      <c r="L48" s="42">
        <f t="shared" ref="L48:L54" si="48">($E48-23)/30</f>
        <v>37.333333333333336</v>
      </c>
      <c r="M48" s="42">
        <f t="shared" ref="M48:M54" si="49">($E48-29)/30</f>
        <v>37.133333333333333</v>
      </c>
      <c r="O48" s="43" t="str">
        <f t="shared" si="40"/>
        <v>1,3,9,127,381,1143</v>
      </c>
    </row>
    <row r="49" spans="1:15" x14ac:dyDescent="0.45">
      <c r="D49" s="27">
        <v>131</v>
      </c>
      <c r="E49" s="28">
        <f t="shared" si="41"/>
        <v>1179</v>
      </c>
      <c r="F49" s="42">
        <f t="shared" si="42"/>
        <v>39.266666666666666</v>
      </c>
      <c r="G49" s="42">
        <f t="shared" si="43"/>
        <v>39.06666666666667</v>
      </c>
      <c r="H49" s="42">
        <f t="shared" si="44"/>
        <v>38.93333333333333</v>
      </c>
      <c r="I49" s="42">
        <f t="shared" si="45"/>
        <v>38.866666666666667</v>
      </c>
      <c r="J49" s="42">
        <f t="shared" si="46"/>
        <v>38.733333333333334</v>
      </c>
      <c r="K49" s="42">
        <f t="shared" si="47"/>
        <v>38.666666666666664</v>
      </c>
      <c r="L49" s="42">
        <f t="shared" si="48"/>
        <v>38.533333333333331</v>
      </c>
      <c r="M49" s="42">
        <f t="shared" si="49"/>
        <v>38.333333333333336</v>
      </c>
      <c r="O49" s="43" t="str">
        <f t="shared" si="40"/>
        <v>1,3,9,131,393,1179</v>
      </c>
    </row>
    <row r="50" spans="1:15" x14ac:dyDescent="0.45">
      <c r="D50" s="27">
        <v>133</v>
      </c>
      <c r="E50" s="28">
        <f t="shared" si="41"/>
        <v>1197</v>
      </c>
      <c r="F50" s="42">
        <f t="shared" si="42"/>
        <v>39.866666666666667</v>
      </c>
      <c r="G50" s="42">
        <f t="shared" si="43"/>
        <v>39.666666666666664</v>
      </c>
      <c r="H50" s="42">
        <f t="shared" si="44"/>
        <v>39.533333333333331</v>
      </c>
      <c r="I50" s="42">
        <f t="shared" si="45"/>
        <v>39.466666666666669</v>
      </c>
      <c r="J50" s="42">
        <f t="shared" si="46"/>
        <v>39.333333333333336</v>
      </c>
      <c r="K50" s="42">
        <f t="shared" si="47"/>
        <v>39.266666666666666</v>
      </c>
      <c r="L50" s="42">
        <f t="shared" si="48"/>
        <v>39.133333333333333</v>
      </c>
      <c r="M50" s="42">
        <f t="shared" si="49"/>
        <v>38.93333333333333</v>
      </c>
      <c r="O50" s="43" t="str">
        <f t="shared" si="40"/>
        <v>1,3,7,9,19,21,57,63,133,171,399,1197</v>
      </c>
    </row>
    <row r="51" spans="1:15" x14ac:dyDescent="0.45">
      <c r="D51" s="27">
        <v>137</v>
      </c>
      <c r="E51" s="28">
        <f t="shared" si="41"/>
        <v>1233</v>
      </c>
      <c r="F51" s="42">
        <f t="shared" si="42"/>
        <v>41.06666666666667</v>
      </c>
      <c r="G51" s="42">
        <f t="shared" si="43"/>
        <v>40.866666666666667</v>
      </c>
      <c r="H51" s="42">
        <f t="shared" si="44"/>
        <v>40.733333333333334</v>
      </c>
      <c r="I51" s="42">
        <f t="shared" si="45"/>
        <v>40.666666666666664</v>
      </c>
      <c r="J51" s="42">
        <f t="shared" si="46"/>
        <v>40.533333333333331</v>
      </c>
      <c r="K51" s="42">
        <f t="shared" si="47"/>
        <v>40.466666666666669</v>
      </c>
      <c r="L51" s="42">
        <f t="shared" si="48"/>
        <v>40.333333333333336</v>
      </c>
      <c r="M51" s="42">
        <f t="shared" si="49"/>
        <v>40.133333333333333</v>
      </c>
      <c r="O51" s="43" t="str">
        <f t="shared" si="40"/>
        <v>1,3,9,137,411,1233</v>
      </c>
    </row>
    <row r="52" spans="1:15" x14ac:dyDescent="0.45">
      <c r="D52" s="27">
        <v>139</v>
      </c>
      <c r="E52" s="28">
        <f t="shared" si="41"/>
        <v>1251</v>
      </c>
      <c r="F52" s="42">
        <f t="shared" si="42"/>
        <v>41.666666666666664</v>
      </c>
      <c r="G52" s="42">
        <f t="shared" si="43"/>
        <v>41.466666666666669</v>
      </c>
      <c r="H52" s="42">
        <f t="shared" si="44"/>
        <v>41.333333333333336</v>
      </c>
      <c r="I52" s="42">
        <f t="shared" si="45"/>
        <v>41.266666666666666</v>
      </c>
      <c r="J52" s="42">
        <f t="shared" si="46"/>
        <v>41.133333333333333</v>
      </c>
      <c r="K52" s="42">
        <f t="shared" si="47"/>
        <v>41.06666666666667</v>
      </c>
      <c r="L52" s="42">
        <f t="shared" si="48"/>
        <v>40.93333333333333</v>
      </c>
      <c r="M52" s="42">
        <f t="shared" si="49"/>
        <v>40.733333333333334</v>
      </c>
      <c r="O52" s="43" t="str">
        <f t="shared" si="40"/>
        <v>1,3,9,139,417,1251</v>
      </c>
    </row>
    <row r="53" spans="1:15" x14ac:dyDescent="0.45">
      <c r="D53" s="27">
        <v>143</v>
      </c>
      <c r="E53" s="28">
        <f t="shared" si="41"/>
        <v>1287</v>
      </c>
      <c r="F53" s="42">
        <f t="shared" si="42"/>
        <v>42.866666666666667</v>
      </c>
      <c r="G53" s="42">
        <f t="shared" si="43"/>
        <v>42.666666666666664</v>
      </c>
      <c r="H53" s="42">
        <f t="shared" si="44"/>
        <v>42.533333333333331</v>
      </c>
      <c r="I53" s="42">
        <f t="shared" si="45"/>
        <v>42.466666666666669</v>
      </c>
      <c r="J53" s="42">
        <f t="shared" si="46"/>
        <v>42.333333333333336</v>
      </c>
      <c r="K53" s="42">
        <f t="shared" si="47"/>
        <v>42.266666666666666</v>
      </c>
      <c r="L53" s="42">
        <f t="shared" si="48"/>
        <v>42.133333333333333</v>
      </c>
      <c r="M53" s="42">
        <f t="shared" si="49"/>
        <v>41.93333333333333</v>
      </c>
      <c r="O53" s="43" t="str">
        <f t="shared" si="40"/>
        <v>1,3,9,11,13,33,39,99,117,143,429,1287</v>
      </c>
    </row>
    <row r="54" spans="1:15" x14ac:dyDescent="0.45">
      <c r="D54" s="27">
        <v>149</v>
      </c>
      <c r="E54" s="28">
        <f t="shared" si="41"/>
        <v>1341</v>
      </c>
      <c r="F54" s="42">
        <f t="shared" si="42"/>
        <v>44.666666666666664</v>
      </c>
      <c r="G54" s="42">
        <f t="shared" si="43"/>
        <v>44.466666666666669</v>
      </c>
      <c r="H54" s="42">
        <f t="shared" si="44"/>
        <v>44.333333333333336</v>
      </c>
      <c r="I54" s="42">
        <f t="shared" si="45"/>
        <v>44.266666666666666</v>
      </c>
      <c r="J54" s="42">
        <f t="shared" si="46"/>
        <v>44.133333333333333</v>
      </c>
      <c r="K54" s="42">
        <f t="shared" si="47"/>
        <v>44.06666666666667</v>
      </c>
      <c r="L54" s="42">
        <f t="shared" si="48"/>
        <v>43.93333333333333</v>
      </c>
      <c r="M54" s="42">
        <f t="shared" si="49"/>
        <v>43.733333333333334</v>
      </c>
      <c r="O54" s="43" t="str">
        <f t="shared" si="40"/>
        <v>1,3,9,149,447,1341</v>
      </c>
    </row>
    <row r="55" spans="1:15" ht="19.2" thickBot="1" x14ac:dyDescent="0.5">
      <c r="F55" s="42"/>
      <c r="G55" s="42"/>
      <c r="H55" s="42"/>
      <c r="I55" s="42"/>
      <c r="J55" s="42"/>
      <c r="K55" s="42"/>
      <c r="L55" s="42"/>
      <c r="M55" s="42"/>
    </row>
    <row r="56" spans="1:15" ht="19.2" thickBot="1" x14ac:dyDescent="0.5">
      <c r="C56" s="44"/>
      <c r="E56" s="34">
        <f>E37</f>
        <v>819</v>
      </c>
      <c r="F56" s="45">
        <v>1</v>
      </c>
      <c r="G56" s="46">
        <v>7</v>
      </c>
      <c r="H56" s="46">
        <v>11</v>
      </c>
      <c r="I56" s="46">
        <v>13</v>
      </c>
      <c r="J56" s="46">
        <v>17</v>
      </c>
      <c r="K56" s="46">
        <v>19</v>
      </c>
      <c r="L56" s="46">
        <v>23</v>
      </c>
      <c r="M56" s="47">
        <v>29</v>
      </c>
      <c r="O56" s="27" t="s">
        <v>2</v>
      </c>
    </row>
    <row r="57" spans="1:15" x14ac:dyDescent="0.45">
      <c r="A57" s="29">
        <v>5</v>
      </c>
      <c r="D57" s="27">
        <v>151</v>
      </c>
      <c r="E57" s="28">
        <f>D57*$E$6</f>
        <v>1359</v>
      </c>
      <c r="F57" s="42">
        <f>(E57-1)/30</f>
        <v>45.266666666666666</v>
      </c>
      <c r="G57" s="42">
        <f>($E57-7)/30</f>
        <v>45.06666666666667</v>
      </c>
      <c r="H57" s="42">
        <f>($E57-11)/30</f>
        <v>44.93333333333333</v>
      </c>
      <c r="I57" s="42">
        <f>($E57-13)/30</f>
        <v>44.866666666666667</v>
      </c>
      <c r="J57" s="42">
        <f>($E57-17)/30</f>
        <v>44.733333333333334</v>
      </c>
      <c r="K57" s="42">
        <f>($E57-19)/30</f>
        <v>44.666666666666664</v>
      </c>
      <c r="L57" s="42">
        <f>($E57-23)/30</f>
        <v>44.533333333333331</v>
      </c>
      <c r="M57" s="42">
        <f>($E57-29)/30</f>
        <v>44.333333333333336</v>
      </c>
      <c r="O57" s="43" t="str">
        <f t="shared" ref="O57:O64" si="50">FactorNumber(E57)</f>
        <v>1,3,9,151,453,1359</v>
      </c>
    </row>
    <row r="58" spans="1:15" x14ac:dyDescent="0.45">
      <c r="D58" s="27">
        <v>157</v>
      </c>
      <c r="E58" s="28">
        <f t="shared" ref="E58:E64" si="51">D58*$E$6</f>
        <v>1413</v>
      </c>
      <c r="F58" s="42">
        <f t="shared" ref="F58:F64" si="52">(E58-1)/30</f>
        <v>47.06666666666667</v>
      </c>
      <c r="G58" s="42">
        <f t="shared" ref="G58:G64" si="53">($E58-7)/30</f>
        <v>46.866666666666667</v>
      </c>
      <c r="H58" s="42">
        <f t="shared" ref="H58:H64" si="54">($E58-11)/30</f>
        <v>46.733333333333334</v>
      </c>
      <c r="I58" s="42">
        <f t="shared" ref="I58:I64" si="55">($E58-13)/30</f>
        <v>46.666666666666664</v>
      </c>
      <c r="J58" s="42">
        <f t="shared" ref="J58:J64" si="56">($E58-17)/30</f>
        <v>46.533333333333331</v>
      </c>
      <c r="K58" s="42">
        <f t="shared" ref="K58:K64" si="57">($E58-19)/30</f>
        <v>46.466666666666669</v>
      </c>
      <c r="L58" s="42">
        <f t="shared" ref="L58:L64" si="58">($E58-23)/30</f>
        <v>46.333333333333336</v>
      </c>
      <c r="M58" s="42">
        <f t="shared" ref="M58:M64" si="59">($E58-29)/30</f>
        <v>46.133333333333333</v>
      </c>
      <c r="O58" s="43" t="str">
        <f t="shared" si="50"/>
        <v>1,3,9,157,471,1413</v>
      </c>
    </row>
    <row r="59" spans="1:15" x14ac:dyDescent="0.45">
      <c r="D59" s="27">
        <v>161</v>
      </c>
      <c r="E59" s="28">
        <f t="shared" si="51"/>
        <v>1449</v>
      </c>
      <c r="F59" s="42">
        <f t="shared" si="52"/>
        <v>48.266666666666666</v>
      </c>
      <c r="G59" s="42">
        <f t="shared" si="53"/>
        <v>48.06666666666667</v>
      </c>
      <c r="H59" s="42">
        <f t="shared" si="54"/>
        <v>47.93333333333333</v>
      </c>
      <c r="I59" s="42">
        <f t="shared" si="55"/>
        <v>47.866666666666667</v>
      </c>
      <c r="J59" s="42">
        <f t="shared" si="56"/>
        <v>47.733333333333334</v>
      </c>
      <c r="K59" s="42">
        <f t="shared" si="57"/>
        <v>47.666666666666664</v>
      </c>
      <c r="L59" s="42">
        <f t="shared" si="58"/>
        <v>47.533333333333331</v>
      </c>
      <c r="M59" s="42">
        <f t="shared" si="59"/>
        <v>47.333333333333336</v>
      </c>
      <c r="O59" s="43" t="str">
        <f t="shared" si="50"/>
        <v>1,3,7,9,21,23,63,69,161,207,483,1449</v>
      </c>
    </row>
    <row r="60" spans="1:15" x14ac:dyDescent="0.45">
      <c r="D60" s="27">
        <v>163</v>
      </c>
      <c r="E60" s="28">
        <f t="shared" si="51"/>
        <v>1467</v>
      </c>
      <c r="F60" s="42">
        <f t="shared" si="52"/>
        <v>48.866666666666667</v>
      </c>
      <c r="G60" s="42">
        <f t="shared" si="53"/>
        <v>48.666666666666664</v>
      </c>
      <c r="H60" s="42">
        <f t="shared" si="54"/>
        <v>48.533333333333331</v>
      </c>
      <c r="I60" s="42">
        <f t="shared" si="55"/>
        <v>48.466666666666669</v>
      </c>
      <c r="J60" s="42">
        <f t="shared" si="56"/>
        <v>48.333333333333336</v>
      </c>
      <c r="K60" s="42">
        <f t="shared" si="57"/>
        <v>48.266666666666666</v>
      </c>
      <c r="L60" s="42">
        <f t="shared" si="58"/>
        <v>48.133333333333333</v>
      </c>
      <c r="M60" s="42">
        <f t="shared" si="59"/>
        <v>47.93333333333333</v>
      </c>
      <c r="O60" s="43" t="str">
        <f t="shared" si="50"/>
        <v>1,3,9,163,489,1467</v>
      </c>
    </row>
    <row r="61" spans="1:15" x14ac:dyDescent="0.45">
      <c r="D61" s="27">
        <v>167</v>
      </c>
      <c r="E61" s="28">
        <f t="shared" si="51"/>
        <v>1503</v>
      </c>
      <c r="F61" s="42">
        <f t="shared" si="52"/>
        <v>50.06666666666667</v>
      </c>
      <c r="G61" s="42">
        <f t="shared" si="53"/>
        <v>49.866666666666667</v>
      </c>
      <c r="H61" s="42">
        <f t="shared" si="54"/>
        <v>49.733333333333334</v>
      </c>
      <c r="I61" s="42">
        <f t="shared" si="55"/>
        <v>49.666666666666664</v>
      </c>
      <c r="J61" s="42">
        <f t="shared" si="56"/>
        <v>49.533333333333331</v>
      </c>
      <c r="K61" s="42">
        <f t="shared" si="57"/>
        <v>49.466666666666669</v>
      </c>
      <c r="L61" s="42">
        <f t="shared" si="58"/>
        <v>49.333333333333336</v>
      </c>
      <c r="M61" s="42">
        <f t="shared" si="59"/>
        <v>49.133333333333333</v>
      </c>
      <c r="O61" s="43" t="str">
        <f t="shared" si="50"/>
        <v>1,3,9,167,501,1503</v>
      </c>
    </row>
    <row r="62" spans="1:15" x14ac:dyDescent="0.45">
      <c r="D62" s="27">
        <v>169</v>
      </c>
      <c r="E62" s="28">
        <f t="shared" si="51"/>
        <v>1521</v>
      </c>
      <c r="F62" s="42">
        <f t="shared" si="52"/>
        <v>50.666666666666664</v>
      </c>
      <c r="G62" s="42">
        <f t="shared" si="53"/>
        <v>50.466666666666669</v>
      </c>
      <c r="H62" s="42">
        <f t="shared" si="54"/>
        <v>50.333333333333336</v>
      </c>
      <c r="I62" s="42">
        <f t="shared" si="55"/>
        <v>50.266666666666666</v>
      </c>
      <c r="J62" s="42">
        <f t="shared" si="56"/>
        <v>50.133333333333333</v>
      </c>
      <c r="K62" s="42">
        <f t="shared" si="57"/>
        <v>50.06666666666667</v>
      </c>
      <c r="L62" s="42">
        <f t="shared" si="58"/>
        <v>49.93333333333333</v>
      </c>
      <c r="M62" s="42">
        <f t="shared" si="59"/>
        <v>49.733333333333334</v>
      </c>
      <c r="O62" s="43" t="str">
        <f t="shared" si="50"/>
        <v>1,3,9,13,39,117,169,507,1521</v>
      </c>
    </row>
    <row r="63" spans="1:15" x14ac:dyDescent="0.45">
      <c r="D63" s="27">
        <v>173</v>
      </c>
      <c r="E63" s="28">
        <f t="shared" si="51"/>
        <v>1557</v>
      </c>
      <c r="F63" s="42">
        <f t="shared" si="52"/>
        <v>51.866666666666667</v>
      </c>
      <c r="G63" s="42">
        <f t="shared" si="53"/>
        <v>51.666666666666664</v>
      </c>
      <c r="H63" s="42">
        <f t="shared" si="54"/>
        <v>51.533333333333331</v>
      </c>
      <c r="I63" s="42">
        <f t="shared" si="55"/>
        <v>51.466666666666669</v>
      </c>
      <c r="J63" s="42">
        <f t="shared" si="56"/>
        <v>51.333333333333336</v>
      </c>
      <c r="K63" s="42">
        <f t="shared" si="57"/>
        <v>51.266666666666666</v>
      </c>
      <c r="L63" s="42">
        <f t="shared" si="58"/>
        <v>51.133333333333333</v>
      </c>
      <c r="M63" s="42">
        <f t="shared" si="59"/>
        <v>50.93333333333333</v>
      </c>
      <c r="O63" s="43" t="str">
        <f t="shared" si="50"/>
        <v>1,3,9,173,519,1557</v>
      </c>
    </row>
    <row r="64" spans="1:15" x14ac:dyDescent="0.45">
      <c r="D64" s="27">
        <v>179</v>
      </c>
      <c r="E64" s="28">
        <f t="shared" si="51"/>
        <v>1611</v>
      </c>
      <c r="F64" s="42">
        <f t="shared" si="52"/>
        <v>53.666666666666664</v>
      </c>
      <c r="G64" s="42">
        <f t="shared" si="53"/>
        <v>53.466666666666669</v>
      </c>
      <c r="H64" s="42">
        <f t="shared" si="54"/>
        <v>53.333333333333336</v>
      </c>
      <c r="I64" s="42">
        <f t="shared" si="55"/>
        <v>53.266666666666666</v>
      </c>
      <c r="J64" s="42">
        <f t="shared" si="56"/>
        <v>53.133333333333333</v>
      </c>
      <c r="K64" s="42">
        <f t="shared" si="57"/>
        <v>53.06666666666667</v>
      </c>
      <c r="L64" s="42">
        <f t="shared" si="58"/>
        <v>52.93333333333333</v>
      </c>
      <c r="M64" s="42">
        <f t="shared" si="59"/>
        <v>52.733333333333334</v>
      </c>
      <c r="O64" s="43" t="str">
        <f t="shared" si="50"/>
        <v>1,3,9,179,537,1611</v>
      </c>
    </row>
    <row r="65" spans="1:15" ht="19.2" thickBot="1" x14ac:dyDescent="0.5">
      <c r="F65" s="42"/>
      <c r="G65" s="42"/>
      <c r="H65" s="42"/>
      <c r="I65" s="42"/>
      <c r="J65" s="42"/>
      <c r="K65" s="42"/>
      <c r="L65" s="42"/>
      <c r="M65" s="42"/>
    </row>
    <row r="66" spans="1:15" ht="19.2" thickBot="1" x14ac:dyDescent="0.5">
      <c r="C66" s="44"/>
      <c r="E66" s="34">
        <f>E47</f>
        <v>1089</v>
      </c>
      <c r="F66" s="45">
        <v>1</v>
      </c>
      <c r="G66" s="46">
        <v>7</v>
      </c>
      <c r="H66" s="46">
        <v>11</v>
      </c>
      <c r="I66" s="46">
        <v>13</v>
      </c>
      <c r="J66" s="46">
        <v>17</v>
      </c>
      <c r="K66" s="46">
        <v>19</v>
      </c>
      <c r="L66" s="46">
        <v>23</v>
      </c>
      <c r="M66" s="47">
        <v>29</v>
      </c>
      <c r="O66" s="27" t="s">
        <v>2</v>
      </c>
    </row>
    <row r="67" spans="1:15" x14ac:dyDescent="0.45">
      <c r="A67" s="29">
        <v>6</v>
      </c>
      <c r="D67" s="27">
        <v>181</v>
      </c>
      <c r="E67" s="28">
        <f>D67*$E$6</f>
        <v>1629</v>
      </c>
      <c r="F67" s="42">
        <f>(E67-1)/30</f>
        <v>54.266666666666666</v>
      </c>
      <c r="G67" s="42">
        <f>($E67-7)/30</f>
        <v>54.06666666666667</v>
      </c>
      <c r="H67" s="42">
        <f>($E67-11)/30</f>
        <v>53.93333333333333</v>
      </c>
      <c r="I67" s="42">
        <f>($E67-13)/30</f>
        <v>53.866666666666667</v>
      </c>
      <c r="J67" s="42">
        <f>($E67-17)/30</f>
        <v>53.733333333333334</v>
      </c>
      <c r="K67" s="42">
        <f>($E67-19)/30</f>
        <v>53.666666666666664</v>
      </c>
      <c r="L67" s="42">
        <f>($E67-23)/30</f>
        <v>53.533333333333331</v>
      </c>
      <c r="M67" s="42">
        <f>($E67-29)/30</f>
        <v>53.333333333333336</v>
      </c>
      <c r="O67" s="43" t="str">
        <f t="shared" ref="O67:O74" si="60">FactorNumber(E67)</f>
        <v>1,3,9,181,543,1629</v>
      </c>
    </row>
    <row r="68" spans="1:15" x14ac:dyDescent="0.45">
      <c r="D68" s="27">
        <v>187</v>
      </c>
      <c r="E68" s="28">
        <f t="shared" ref="E68:E74" si="61">D68*$E$6</f>
        <v>1683</v>
      </c>
      <c r="F68" s="42">
        <f t="shared" ref="F68:F74" si="62">(E68-1)/30</f>
        <v>56.06666666666667</v>
      </c>
      <c r="G68" s="42">
        <f t="shared" ref="G68:G74" si="63">($E68-7)/30</f>
        <v>55.866666666666667</v>
      </c>
      <c r="H68" s="42">
        <f t="shared" ref="H68:H74" si="64">($E68-11)/30</f>
        <v>55.733333333333334</v>
      </c>
      <c r="I68" s="42">
        <f t="shared" ref="I68:I74" si="65">($E68-13)/30</f>
        <v>55.666666666666664</v>
      </c>
      <c r="J68" s="42">
        <f t="shared" ref="J68:J74" si="66">($E68-17)/30</f>
        <v>55.533333333333331</v>
      </c>
      <c r="K68" s="42">
        <f t="shared" ref="K68:K74" si="67">($E68-19)/30</f>
        <v>55.466666666666669</v>
      </c>
      <c r="L68" s="42">
        <f t="shared" ref="L68:L74" si="68">($E68-23)/30</f>
        <v>55.333333333333336</v>
      </c>
      <c r="M68" s="42">
        <f t="shared" ref="M68:M74" si="69">($E68-29)/30</f>
        <v>55.133333333333333</v>
      </c>
      <c r="O68" s="43" t="str">
        <f t="shared" si="60"/>
        <v>1,3,9,11,17,33,51,99,153,187,561,1683</v>
      </c>
    </row>
    <row r="69" spans="1:15" x14ac:dyDescent="0.45">
      <c r="D69" s="27">
        <v>191</v>
      </c>
      <c r="E69" s="28">
        <f t="shared" si="61"/>
        <v>1719</v>
      </c>
      <c r="F69" s="42">
        <f t="shared" si="62"/>
        <v>57.266666666666666</v>
      </c>
      <c r="G69" s="42">
        <f t="shared" si="63"/>
        <v>57.06666666666667</v>
      </c>
      <c r="H69" s="42">
        <f t="shared" si="64"/>
        <v>56.93333333333333</v>
      </c>
      <c r="I69" s="42">
        <f t="shared" si="65"/>
        <v>56.866666666666667</v>
      </c>
      <c r="J69" s="42">
        <f t="shared" si="66"/>
        <v>56.733333333333334</v>
      </c>
      <c r="K69" s="42">
        <f t="shared" si="67"/>
        <v>56.666666666666664</v>
      </c>
      <c r="L69" s="42">
        <f t="shared" si="68"/>
        <v>56.533333333333331</v>
      </c>
      <c r="M69" s="42">
        <f t="shared" si="69"/>
        <v>56.333333333333336</v>
      </c>
      <c r="O69" s="43" t="str">
        <f t="shared" si="60"/>
        <v>1,3,9,191,573,1719</v>
      </c>
    </row>
    <row r="70" spans="1:15" x14ac:dyDescent="0.45">
      <c r="D70" s="27">
        <v>193</v>
      </c>
      <c r="E70" s="28">
        <f t="shared" si="61"/>
        <v>1737</v>
      </c>
      <c r="F70" s="42">
        <f t="shared" si="62"/>
        <v>57.866666666666667</v>
      </c>
      <c r="G70" s="42">
        <f t="shared" si="63"/>
        <v>57.666666666666664</v>
      </c>
      <c r="H70" s="42">
        <f t="shared" si="64"/>
        <v>57.533333333333331</v>
      </c>
      <c r="I70" s="42">
        <f t="shared" si="65"/>
        <v>57.466666666666669</v>
      </c>
      <c r="J70" s="42">
        <f t="shared" si="66"/>
        <v>57.333333333333336</v>
      </c>
      <c r="K70" s="42">
        <f t="shared" si="67"/>
        <v>57.266666666666666</v>
      </c>
      <c r="L70" s="42">
        <f t="shared" si="68"/>
        <v>57.133333333333333</v>
      </c>
      <c r="M70" s="42">
        <f t="shared" si="69"/>
        <v>56.93333333333333</v>
      </c>
      <c r="O70" s="43" t="str">
        <f t="shared" si="60"/>
        <v>1,3,9,193,579,1737</v>
      </c>
    </row>
    <row r="71" spans="1:15" x14ac:dyDescent="0.45">
      <c r="D71" s="27">
        <v>197</v>
      </c>
      <c r="E71" s="28">
        <f t="shared" si="61"/>
        <v>1773</v>
      </c>
      <c r="F71" s="42">
        <f t="shared" si="62"/>
        <v>59.06666666666667</v>
      </c>
      <c r="G71" s="42">
        <f t="shared" si="63"/>
        <v>58.866666666666667</v>
      </c>
      <c r="H71" s="42">
        <f t="shared" si="64"/>
        <v>58.733333333333334</v>
      </c>
      <c r="I71" s="42">
        <f t="shared" si="65"/>
        <v>58.666666666666664</v>
      </c>
      <c r="J71" s="42">
        <f t="shared" si="66"/>
        <v>58.533333333333331</v>
      </c>
      <c r="K71" s="42">
        <f t="shared" si="67"/>
        <v>58.466666666666669</v>
      </c>
      <c r="L71" s="42">
        <f t="shared" si="68"/>
        <v>58.333333333333336</v>
      </c>
      <c r="M71" s="42">
        <f t="shared" si="69"/>
        <v>58.133333333333333</v>
      </c>
      <c r="O71" s="43" t="str">
        <f t="shared" si="60"/>
        <v>1,3,9,197,591,1773</v>
      </c>
    </row>
    <row r="72" spans="1:15" x14ac:dyDescent="0.45">
      <c r="D72" s="27">
        <v>199</v>
      </c>
      <c r="E72" s="28">
        <f t="shared" si="61"/>
        <v>1791</v>
      </c>
      <c r="F72" s="42">
        <f t="shared" si="62"/>
        <v>59.666666666666664</v>
      </c>
      <c r="G72" s="42">
        <f t="shared" si="63"/>
        <v>59.466666666666669</v>
      </c>
      <c r="H72" s="42">
        <f t="shared" si="64"/>
        <v>59.333333333333336</v>
      </c>
      <c r="I72" s="42">
        <f t="shared" si="65"/>
        <v>59.266666666666666</v>
      </c>
      <c r="J72" s="42">
        <f t="shared" si="66"/>
        <v>59.133333333333333</v>
      </c>
      <c r="K72" s="42">
        <f t="shared" si="67"/>
        <v>59.06666666666667</v>
      </c>
      <c r="L72" s="42">
        <f t="shared" si="68"/>
        <v>58.93333333333333</v>
      </c>
      <c r="M72" s="42">
        <f t="shared" si="69"/>
        <v>58.733333333333334</v>
      </c>
      <c r="O72" s="43" t="str">
        <f t="shared" si="60"/>
        <v>1,3,9,199,597,1791</v>
      </c>
    </row>
    <row r="73" spans="1:15" x14ac:dyDescent="0.45">
      <c r="D73" s="27">
        <v>203</v>
      </c>
      <c r="E73" s="28">
        <f t="shared" si="61"/>
        <v>1827</v>
      </c>
      <c r="F73" s="42">
        <f t="shared" si="62"/>
        <v>60.866666666666667</v>
      </c>
      <c r="G73" s="42">
        <f t="shared" si="63"/>
        <v>60.666666666666664</v>
      </c>
      <c r="H73" s="42">
        <f t="shared" si="64"/>
        <v>60.533333333333331</v>
      </c>
      <c r="I73" s="42">
        <f t="shared" si="65"/>
        <v>60.466666666666669</v>
      </c>
      <c r="J73" s="42">
        <f t="shared" si="66"/>
        <v>60.333333333333336</v>
      </c>
      <c r="K73" s="42">
        <f t="shared" si="67"/>
        <v>60.266666666666666</v>
      </c>
      <c r="L73" s="42">
        <f t="shared" si="68"/>
        <v>60.133333333333333</v>
      </c>
      <c r="M73" s="42">
        <f t="shared" si="69"/>
        <v>59.93333333333333</v>
      </c>
      <c r="O73" s="43" t="str">
        <f t="shared" si="60"/>
        <v>1,3,7,9,21,29,63,87,203,261,609,1827</v>
      </c>
    </row>
    <row r="74" spans="1:15" x14ac:dyDescent="0.45">
      <c r="D74" s="27">
        <v>209</v>
      </c>
      <c r="E74" s="28">
        <f t="shared" si="61"/>
        <v>1881</v>
      </c>
      <c r="F74" s="42">
        <f t="shared" si="62"/>
        <v>62.666666666666664</v>
      </c>
      <c r="G74" s="42">
        <f t="shared" si="63"/>
        <v>62.466666666666669</v>
      </c>
      <c r="H74" s="42">
        <f t="shared" si="64"/>
        <v>62.333333333333336</v>
      </c>
      <c r="I74" s="42">
        <f t="shared" si="65"/>
        <v>62.266666666666666</v>
      </c>
      <c r="J74" s="42">
        <f t="shared" si="66"/>
        <v>62.133333333333333</v>
      </c>
      <c r="K74" s="42">
        <f t="shared" si="67"/>
        <v>62.06666666666667</v>
      </c>
      <c r="L74" s="42">
        <f t="shared" si="68"/>
        <v>61.93333333333333</v>
      </c>
      <c r="M74" s="42">
        <f t="shared" si="69"/>
        <v>61.733333333333334</v>
      </c>
      <c r="O74" s="43" t="str">
        <f t="shared" si="60"/>
        <v>1,3,9,11,19,33,57,99,171,209,627,1881</v>
      </c>
    </row>
    <row r="75" spans="1:15" ht="19.2" thickBot="1" x14ac:dyDescent="0.5">
      <c r="F75" s="42"/>
      <c r="G75" s="42"/>
      <c r="H75" s="42"/>
      <c r="I75" s="42"/>
      <c r="J75" s="42"/>
      <c r="K75" s="42"/>
      <c r="L75" s="42"/>
      <c r="M75" s="42"/>
    </row>
    <row r="76" spans="1:15" ht="19.2" thickBot="1" x14ac:dyDescent="0.5">
      <c r="C76" s="44"/>
      <c r="E76" s="34">
        <f>E57</f>
        <v>1359</v>
      </c>
      <c r="F76" s="45">
        <v>1</v>
      </c>
      <c r="G76" s="46">
        <v>7</v>
      </c>
      <c r="H76" s="46">
        <v>11</v>
      </c>
      <c r="I76" s="46">
        <v>13</v>
      </c>
      <c r="J76" s="46">
        <v>17</v>
      </c>
      <c r="K76" s="46">
        <v>19</v>
      </c>
      <c r="L76" s="46">
        <v>23</v>
      </c>
      <c r="M76" s="47">
        <v>29</v>
      </c>
      <c r="O76" s="27" t="s">
        <v>2</v>
      </c>
    </row>
    <row r="77" spans="1:15" x14ac:dyDescent="0.45">
      <c r="A77" s="29">
        <v>7</v>
      </c>
      <c r="D77" s="27">
        <v>211</v>
      </c>
      <c r="E77" s="28">
        <f>D77*$E$6</f>
        <v>1899</v>
      </c>
      <c r="F77" s="42">
        <f>(E77-1)/30</f>
        <v>63.266666666666666</v>
      </c>
      <c r="G77" s="42">
        <f>($E77-7)/30</f>
        <v>63.06666666666667</v>
      </c>
      <c r="H77" s="42">
        <f>($E77-11)/30</f>
        <v>62.93333333333333</v>
      </c>
      <c r="I77" s="42">
        <f>($E77-13)/30</f>
        <v>62.866666666666667</v>
      </c>
      <c r="J77" s="42">
        <f>($E77-17)/30</f>
        <v>62.733333333333334</v>
      </c>
      <c r="K77" s="42">
        <f>($E77-19)/30</f>
        <v>62.666666666666664</v>
      </c>
      <c r="L77" s="42">
        <f>($E77-23)/30</f>
        <v>62.533333333333331</v>
      </c>
      <c r="M77" s="42">
        <f>($E77-29)/30</f>
        <v>62.333333333333336</v>
      </c>
      <c r="O77" s="43" t="str">
        <f t="shared" ref="O77:O84" si="70">FactorNumber(E77)</f>
        <v>1,3,9,211,633,1899</v>
      </c>
    </row>
    <row r="78" spans="1:15" x14ac:dyDescent="0.45">
      <c r="D78" s="27">
        <v>217</v>
      </c>
      <c r="E78" s="28">
        <f t="shared" ref="E78:E84" si="71">D78*$E$6</f>
        <v>1953</v>
      </c>
      <c r="F78" s="42">
        <f t="shared" ref="F78:F84" si="72">(E78-1)/30</f>
        <v>65.066666666666663</v>
      </c>
      <c r="G78" s="42">
        <f t="shared" ref="G78:G84" si="73">($E78-7)/30</f>
        <v>64.86666666666666</v>
      </c>
      <c r="H78" s="42">
        <f t="shared" ref="H78:H84" si="74">($E78-11)/30</f>
        <v>64.733333333333334</v>
      </c>
      <c r="I78" s="42">
        <f t="shared" ref="I78:I84" si="75">($E78-13)/30</f>
        <v>64.666666666666671</v>
      </c>
      <c r="J78" s="42">
        <f t="shared" ref="J78:J84" si="76">($E78-17)/30</f>
        <v>64.533333333333331</v>
      </c>
      <c r="K78" s="42">
        <f t="shared" ref="K78:K84" si="77">($E78-19)/30</f>
        <v>64.466666666666669</v>
      </c>
      <c r="L78" s="42">
        <f t="shared" ref="L78:L84" si="78">($E78-23)/30</f>
        <v>64.333333333333329</v>
      </c>
      <c r="M78" s="42">
        <f t="shared" ref="M78:M84" si="79">($E78-29)/30</f>
        <v>64.13333333333334</v>
      </c>
      <c r="O78" s="43" t="str">
        <f t="shared" si="70"/>
        <v>1,3,7,9,21,31,63,93,217,279,651,1953</v>
      </c>
    </row>
    <row r="79" spans="1:15" x14ac:dyDescent="0.45">
      <c r="D79" s="27">
        <v>221</v>
      </c>
      <c r="E79" s="28">
        <f t="shared" si="71"/>
        <v>1989</v>
      </c>
      <c r="F79" s="42">
        <f t="shared" si="72"/>
        <v>66.266666666666666</v>
      </c>
      <c r="G79" s="42">
        <f t="shared" si="73"/>
        <v>66.066666666666663</v>
      </c>
      <c r="H79" s="42">
        <f t="shared" si="74"/>
        <v>65.933333333333337</v>
      </c>
      <c r="I79" s="42">
        <f t="shared" si="75"/>
        <v>65.86666666666666</v>
      </c>
      <c r="J79" s="42">
        <f t="shared" si="76"/>
        <v>65.733333333333334</v>
      </c>
      <c r="K79" s="42">
        <f t="shared" si="77"/>
        <v>65.666666666666671</v>
      </c>
      <c r="L79" s="42">
        <f t="shared" si="78"/>
        <v>65.533333333333331</v>
      </c>
      <c r="M79" s="42">
        <f t="shared" si="79"/>
        <v>65.333333333333329</v>
      </c>
      <c r="O79" s="43" t="str">
        <f t="shared" si="70"/>
        <v>1,3,9,13,17,39,51,117,153,221,663,1989</v>
      </c>
    </row>
    <row r="80" spans="1:15" x14ac:dyDescent="0.45">
      <c r="D80" s="27">
        <v>223</v>
      </c>
      <c r="E80" s="28">
        <f t="shared" si="71"/>
        <v>2007</v>
      </c>
      <c r="F80" s="42">
        <f t="shared" si="72"/>
        <v>66.86666666666666</v>
      </c>
      <c r="G80" s="42">
        <f t="shared" si="73"/>
        <v>66.666666666666671</v>
      </c>
      <c r="H80" s="42">
        <f t="shared" si="74"/>
        <v>66.533333333333331</v>
      </c>
      <c r="I80" s="42">
        <f t="shared" si="75"/>
        <v>66.466666666666669</v>
      </c>
      <c r="J80" s="42">
        <f t="shared" si="76"/>
        <v>66.333333333333329</v>
      </c>
      <c r="K80" s="42">
        <f t="shared" si="77"/>
        <v>66.266666666666666</v>
      </c>
      <c r="L80" s="42">
        <f t="shared" si="78"/>
        <v>66.13333333333334</v>
      </c>
      <c r="M80" s="42">
        <f t="shared" si="79"/>
        <v>65.933333333333337</v>
      </c>
      <c r="O80" s="43" t="str">
        <f t="shared" si="70"/>
        <v>1,3,9,223,669,2007</v>
      </c>
    </row>
    <row r="81" spans="1:15" x14ac:dyDescent="0.45">
      <c r="D81" s="27">
        <v>227</v>
      </c>
      <c r="E81" s="28">
        <f t="shared" si="71"/>
        <v>2043</v>
      </c>
      <c r="F81" s="42">
        <f t="shared" si="72"/>
        <v>68.066666666666663</v>
      </c>
      <c r="G81" s="42">
        <f t="shared" si="73"/>
        <v>67.86666666666666</v>
      </c>
      <c r="H81" s="42">
        <f t="shared" si="74"/>
        <v>67.733333333333334</v>
      </c>
      <c r="I81" s="42">
        <f t="shared" si="75"/>
        <v>67.666666666666671</v>
      </c>
      <c r="J81" s="42">
        <f t="shared" si="76"/>
        <v>67.533333333333331</v>
      </c>
      <c r="K81" s="42">
        <f t="shared" si="77"/>
        <v>67.466666666666669</v>
      </c>
      <c r="L81" s="42">
        <f t="shared" si="78"/>
        <v>67.333333333333329</v>
      </c>
      <c r="M81" s="42">
        <f t="shared" si="79"/>
        <v>67.13333333333334</v>
      </c>
      <c r="O81" s="43" t="str">
        <f t="shared" si="70"/>
        <v>1,3,9,227,681,2043</v>
      </c>
    </row>
    <row r="82" spans="1:15" x14ac:dyDescent="0.45">
      <c r="D82" s="27">
        <v>229</v>
      </c>
      <c r="E82" s="28">
        <f t="shared" si="71"/>
        <v>2061</v>
      </c>
      <c r="F82" s="42">
        <f t="shared" si="72"/>
        <v>68.666666666666671</v>
      </c>
      <c r="G82" s="42">
        <f t="shared" si="73"/>
        <v>68.466666666666669</v>
      </c>
      <c r="H82" s="42">
        <f t="shared" si="74"/>
        <v>68.333333333333329</v>
      </c>
      <c r="I82" s="42">
        <f t="shared" si="75"/>
        <v>68.266666666666666</v>
      </c>
      <c r="J82" s="42">
        <f t="shared" si="76"/>
        <v>68.13333333333334</v>
      </c>
      <c r="K82" s="42">
        <f t="shared" si="77"/>
        <v>68.066666666666663</v>
      </c>
      <c r="L82" s="42">
        <f t="shared" si="78"/>
        <v>67.933333333333337</v>
      </c>
      <c r="M82" s="42">
        <f t="shared" si="79"/>
        <v>67.733333333333334</v>
      </c>
      <c r="O82" s="43" t="str">
        <f t="shared" si="70"/>
        <v>1,3,9,229,687,2061</v>
      </c>
    </row>
    <row r="83" spans="1:15" x14ac:dyDescent="0.45">
      <c r="D83" s="27">
        <v>233</v>
      </c>
      <c r="E83" s="28">
        <f t="shared" si="71"/>
        <v>2097</v>
      </c>
      <c r="F83" s="42">
        <f t="shared" si="72"/>
        <v>69.86666666666666</v>
      </c>
      <c r="G83" s="42">
        <f t="shared" si="73"/>
        <v>69.666666666666671</v>
      </c>
      <c r="H83" s="42">
        <f t="shared" si="74"/>
        <v>69.533333333333331</v>
      </c>
      <c r="I83" s="42">
        <f t="shared" si="75"/>
        <v>69.466666666666669</v>
      </c>
      <c r="J83" s="42">
        <f t="shared" si="76"/>
        <v>69.333333333333329</v>
      </c>
      <c r="K83" s="42">
        <f t="shared" si="77"/>
        <v>69.266666666666666</v>
      </c>
      <c r="L83" s="42">
        <f t="shared" si="78"/>
        <v>69.13333333333334</v>
      </c>
      <c r="M83" s="42">
        <f t="shared" si="79"/>
        <v>68.933333333333337</v>
      </c>
      <c r="O83" s="43" t="str">
        <f t="shared" si="70"/>
        <v>1,3,9,233,699,2097</v>
      </c>
    </row>
    <row r="84" spans="1:15" x14ac:dyDescent="0.45">
      <c r="D84" s="27">
        <v>239</v>
      </c>
      <c r="E84" s="28">
        <f t="shared" si="71"/>
        <v>2151</v>
      </c>
      <c r="F84" s="42">
        <f t="shared" si="72"/>
        <v>71.666666666666671</v>
      </c>
      <c r="G84" s="42">
        <f t="shared" si="73"/>
        <v>71.466666666666669</v>
      </c>
      <c r="H84" s="42">
        <f t="shared" si="74"/>
        <v>71.333333333333329</v>
      </c>
      <c r="I84" s="42">
        <f t="shared" si="75"/>
        <v>71.266666666666666</v>
      </c>
      <c r="J84" s="42">
        <f t="shared" si="76"/>
        <v>71.13333333333334</v>
      </c>
      <c r="K84" s="42">
        <f t="shared" si="77"/>
        <v>71.066666666666663</v>
      </c>
      <c r="L84" s="42">
        <f t="shared" si="78"/>
        <v>70.933333333333337</v>
      </c>
      <c r="M84" s="42">
        <f t="shared" si="79"/>
        <v>70.733333333333334</v>
      </c>
      <c r="O84" s="43" t="str">
        <f t="shared" si="70"/>
        <v>1,3,9,239,717,2151</v>
      </c>
    </row>
    <row r="85" spans="1:15" ht="19.2" thickBot="1" x14ac:dyDescent="0.5">
      <c r="F85" s="42"/>
      <c r="G85" s="42"/>
      <c r="H85" s="42"/>
      <c r="I85" s="42"/>
      <c r="J85" s="42"/>
      <c r="K85" s="42"/>
      <c r="L85" s="42"/>
      <c r="M85" s="42"/>
    </row>
    <row r="86" spans="1:15" ht="19.2" thickBot="1" x14ac:dyDescent="0.5">
      <c r="C86" s="44"/>
      <c r="E86" s="34">
        <f>E67</f>
        <v>1629</v>
      </c>
      <c r="F86" s="45">
        <v>1</v>
      </c>
      <c r="G86" s="46">
        <v>7</v>
      </c>
      <c r="H86" s="46">
        <v>11</v>
      </c>
      <c r="I86" s="46">
        <v>13</v>
      </c>
      <c r="J86" s="46">
        <v>17</v>
      </c>
      <c r="K86" s="46">
        <v>19</v>
      </c>
      <c r="L86" s="46">
        <v>23</v>
      </c>
      <c r="M86" s="47">
        <v>29</v>
      </c>
      <c r="O86" s="27" t="s">
        <v>2</v>
      </c>
    </row>
    <row r="87" spans="1:15" x14ac:dyDescent="0.45">
      <c r="A87" s="29">
        <v>8</v>
      </c>
      <c r="D87" s="27">
        <v>241</v>
      </c>
      <c r="E87" s="28">
        <f>D87*$E$6</f>
        <v>2169</v>
      </c>
      <c r="F87" s="42">
        <f>(E87-1)/30</f>
        <v>72.266666666666666</v>
      </c>
      <c r="G87" s="42">
        <f>($E87-7)/30</f>
        <v>72.066666666666663</v>
      </c>
      <c r="H87" s="42">
        <f>($E87-11)/30</f>
        <v>71.933333333333337</v>
      </c>
      <c r="I87" s="42">
        <f>($E87-13)/30</f>
        <v>71.86666666666666</v>
      </c>
      <c r="J87" s="42">
        <f>($E87-17)/30</f>
        <v>71.733333333333334</v>
      </c>
      <c r="K87" s="42">
        <f>($E87-19)/30</f>
        <v>71.666666666666671</v>
      </c>
      <c r="L87" s="42">
        <f>($E87-23)/30</f>
        <v>71.533333333333331</v>
      </c>
      <c r="M87" s="42">
        <f>($E87-29)/30</f>
        <v>71.333333333333329</v>
      </c>
      <c r="O87" s="43" t="str">
        <f t="shared" ref="O87:O94" si="80">FactorNumber(E87)</f>
        <v>1,3,9,241,723,2169</v>
      </c>
    </row>
    <row r="88" spans="1:15" x14ac:dyDescent="0.45">
      <c r="D88" s="27">
        <v>247</v>
      </c>
      <c r="E88" s="28">
        <f t="shared" ref="E88:E94" si="81">D88*$E$6</f>
        <v>2223</v>
      </c>
      <c r="F88" s="42">
        <f t="shared" ref="F88:F94" si="82">(E88-1)/30</f>
        <v>74.066666666666663</v>
      </c>
      <c r="G88" s="42">
        <f t="shared" ref="G88:G94" si="83">($E88-7)/30</f>
        <v>73.86666666666666</v>
      </c>
      <c r="H88" s="42">
        <f t="shared" ref="H88:H94" si="84">($E88-11)/30</f>
        <v>73.733333333333334</v>
      </c>
      <c r="I88" s="42">
        <f t="shared" ref="I88:I94" si="85">($E88-13)/30</f>
        <v>73.666666666666671</v>
      </c>
      <c r="J88" s="42">
        <f t="shared" ref="J88:J94" si="86">($E88-17)/30</f>
        <v>73.533333333333331</v>
      </c>
      <c r="K88" s="42">
        <f t="shared" ref="K88:K94" si="87">($E88-19)/30</f>
        <v>73.466666666666669</v>
      </c>
      <c r="L88" s="42">
        <f t="shared" ref="L88:L94" si="88">($E88-23)/30</f>
        <v>73.333333333333329</v>
      </c>
      <c r="M88" s="42">
        <f t="shared" ref="M88:M94" si="89">($E88-29)/30</f>
        <v>73.13333333333334</v>
      </c>
      <c r="O88" s="43" t="str">
        <f t="shared" si="80"/>
        <v>1,3,9,13,19,39,57,117,171,247,741,2223</v>
      </c>
    </row>
    <row r="89" spans="1:15" x14ac:dyDescent="0.45">
      <c r="D89" s="27">
        <v>251</v>
      </c>
      <c r="E89" s="28">
        <f t="shared" si="81"/>
        <v>2259</v>
      </c>
      <c r="F89" s="42">
        <f t="shared" si="82"/>
        <v>75.266666666666666</v>
      </c>
      <c r="G89" s="42">
        <f t="shared" si="83"/>
        <v>75.066666666666663</v>
      </c>
      <c r="H89" s="42">
        <f t="shared" si="84"/>
        <v>74.933333333333337</v>
      </c>
      <c r="I89" s="42">
        <f t="shared" si="85"/>
        <v>74.86666666666666</v>
      </c>
      <c r="J89" s="42">
        <f t="shared" si="86"/>
        <v>74.733333333333334</v>
      </c>
      <c r="K89" s="42">
        <f t="shared" si="87"/>
        <v>74.666666666666671</v>
      </c>
      <c r="L89" s="42">
        <f t="shared" si="88"/>
        <v>74.533333333333331</v>
      </c>
      <c r="M89" s="42">
        <f t="shared" si="89"/>
        <v>74.333333333333329</v>
      </c>
      <c r="O89" s="43" t="str">
        <f t="shared" si="80"/>
        <v>1,3,9,251,753,2259</v>
      </c>
    </row>
    <row r="90" spans="1:15" x14ac:dyDescent="0.45">
      <c r="D90" s="27">
        <v>253</v>
      </c>
      <c r="E90" s="28">
        <f t="shared" si="81"/>
        <v>2277</v>
      </c>
      <c r="F90" s="42">
        <f t="shared" si="82"/>
        <v>75.86666666666666</v>
      </c>
      <c r="G90" s="42">
        <f t="shared" si="83"/>
        <v>75.666666666666671</v>
      </c>
      <c r="H90" s="42">
        <f t="shared" si="84"/>
        <v>75.533333333333331</v>
      </c>
      <c r="I90" s="42">
        <f t="shared" si="85"/>
        <v>75.466666666666669</v>
      </c>
      <c r="J90" s="42">
        <f t="shared" si="86"/>
        <v>75.333333333333329</v>
      </c>
      <c r="K90" s="42">
        <f t="shared" si="87"/>
        <v>75.266666666666666</v>
      </c>
      <c r="L90" s="42">
        <f t="shared" si="88"/>
        <v>75.13333333333334</v>
      </c>
      <c r="M90" s="42">
        <f t="shared" si="89"/>
        <v>74.933333333333337</v>
      </c>
      <c r="O90" s="43" t="str">
        <f t="shared" si="80"/>
        <v>1,3,9,11,23,33,69,99,207,253,759,2277</v>
      </c>
    </row>
    <row r="91" spans="1:15" x14ac:dyDescent="0.45">
      <c r="D91" s="27">
        <v>257</v>
      </c>
      <c r="E91" s="28">
        <f t="shared" si="81"/>
        <v>2313</v>
      </c>
      <c r="F91" s="42">
        <f t="shared" si="82"/>
        <v>77.066666666666663</v>
      </c>
      <c r="G91" s="42">
        <f t="shared" si="83"/>
        <v>76.86666666666666</v>
      </c>
      <c r="H91" s="42">
        <f t="shared" si="84"/>
        <v>76.733333333333334</v>
      </c>
      <c r="I91" s="42">
        <f t="shared" si="85"/>
        <v>76.666666666666671</v>
      </c>
      <c r="J91" s="42">
        <f t="shared" si="86"/>
        <v>76.533333333333331</v>
      </c>
      <c r="K91" s="42">
        <f t="shared" si="87"/>
        <v>76.466666666666669</v>
      </c>
      <c r="L91" s="42">
        <f t="shared" si="88"/>
        <v>76.333333333333329</v>
      </c>
      <c r="M91" s="42">
        <f t="shared" si="89"/>
        <v>76.13333333333334</v>
      </c>
      <c r="O91" s="43" t="str">
        <f t="shared" si="80"/>
        <v>1,3,9,257,771,2313</v>
      </c>
    </row>
    <row r="92" spans="1:15" x14ac:dyDescent="0.45">
      <c r="D92" s="27">
        <v>259</v>
      </c>
      <c r="E92" s="28">
        <f t="shared" si="81"/>
        <v>2331</v>
      </c>
      <c r="F92" s="42">
        <f t="shared" si="82"/>
        <v>77.666666666666671</v>
      </c>
      <c r="G92" s="42">
        <f t="shared" si="83"/>
        <v>77.466666666666669</v>
      </c>
      <c r="H92" s="42">
        <f t="shared" si="84"/>
        <v>77.333333333333329</v>
      </c>
      <c r="I92" s="42">
        <f t="shared" si="85"/>
        <v>77.266666666666666</v>
      </c>
      <c r="J92" s="42">
        <f t="shared" si="86"/>
        <v>77.13333333333334</v>
      </c>
      <c r="K92" s="42">
        <f t="shared" si="87"/>
        <v>77.066666666666663</v>
      </c>
      <c r="L92" s="42">
        <f t="shared" si="88"/>
        <v>76.933333333333337</v>
      </c>
      <c r="M92" s="42">
        <f t="shared" si="89"/>
        <v>76.733333333333334</v>
      </c>
      <c r="O92" s="43" t="str">
        <f t="shared" si="80"/>
        <v>1,3,7,9,21,37,63,111,259,333,777,2331</v>
      </c>
    </row>
    <row r="93" spans="1:15" x14ac:dyDescent="0.45">
      <c r="D93" s="27">
        <v>263</v>
      </c>
      <c r="E93" s="28">
        <f t="shared" si="81"/>
        <v>2367</v>
      </c>
      <c r="F93" s="42">
        <f t="shared" si="82"/>
        <v>78.86666666666666</v>
      </c>
      <c r="G93" s="42">
        <f t="shared" si="83"/>
        <v>78.666666666666671</v>
      </c>
      <c r="H93" s="42">
        <f t="shared" si="84"/>
        <v>78.533333333333331</v>
      </c>
      <c r="I93" s="42">
        <f t="shared" si="85"/>
        <v>78.466666666666669</v>
      </c>
      <c r="J93" s="42">
        <f t="shared" si="86"/>
        <v>78.333333333333329</v>
      </c>
      <c r="K93" s="42">
        <f t="shared" si="87"/>
        <v>78.266666666666666</v>
      </c>
      <c r="L93" s="42">
        <f t="shared" si="88"/>
        <v>78.13333333333334</v>
      </c>
      <c r="M93" s="42">
        <f t="shared" si="89"/>
        <v>77.933333333333337</v>
      </c>
      <c r="O93" s="43" t="str">
        <f t="shared" si="80"/>
        <v>1,3,9,263,789,2367</v>
      </c>
    </row>
    <row r="94" spans="1:15" x14ac:dyDescent="0.45">
      <c r="D94" s="27">
        <v>269</v>
      </c>
      <c r="E94" s="28">
        <f t="shared" si="81"/>
        <v>2421</v>
      </c>
      <c r="F94" s="42">
        <f t="shared" si="82"/>
        <v>80.666666666666671</v>
      </c>
      <c r="G94" s="42">
        <f t="shared" si="83"/>
        <v>80.466666666666669</v>
      </c>
      <c r="H94" s="42">
        <f t="shared" si="84"/>
        <v>80.333333333333329</v>
      </c>
      <c r="I94" s="42">
        <f t="shared" si="85"/>
        <v>80.266666666666666</v>
      </c>
      <c r="J94" s="42">
        <f t="shared" si="86"/>
        <v>80.13333333333334</v>
      </c>
      <c r="K94" s="42">
        <f t="shared" si="87"/>
        <v>80.066666666666663</v>
      </c>
      <c r="L94" s="42">
        <f t="shared" si="88"/>
        <v>79.933333333333337</v>
      </c>
      <c r="M94" s="42">
        <f t="shared" si="89"/>
        <v>79.733333333333334</v>
      </c>
      <c r="O94" s="43" t="str">
        <f t="shared" si="80"/>
        <v>1,3,9,269,807,2421</v>
      </c>
    </row>
    <row r="95" spans="1:15" ht="19.2" thickBot="1" x14ac:dyDescent="0.5">
      <c r="F95" s="42"/>
      <c r="G95" s="42"/>
      <c r="H95" s="42"/>
      <c r="I95" s="42"/>
      <c r="J95" s="42"/>
      <c r="K95" s="42"/>
      <c r="L95" s="42"/>
      <c r="M95" s="42"/>
    </row>
    <row r="96" spans="1:15" ht="19.2" thickBot="1" x14ac:dyDescent="0.5">
      <c r="C96" s="44"/>
      <c r="E96" s="34">
        <f>E77</f>
        <v>1899</v>
      </c>
      <c r="F96" s="45">
        <v>1</v>
      </c>
      <c r="G96" s="46">
        <v>7</v>
      </c>
      <c r="H96" s="46">
        <v>11</v>
      </c>
      <c r="I96" s="46">
        <v>13</v>
      </c>
      <c r="J96" s="46">
        <v>17</v>
      </c>
      <c r="K96" s="46">
        <v>19</v>
      </c>
      <c r="L96" s="46">
        <v>23</v>
      </c>
      <c r="M96" s="47">
        <v>29</v>
      </c>
      <c r="O96" s="27" t="s">
        <v>2</v>
      </c>
    </row>
    <row r="97" spans="1:15" x14ac:dyDescent="0.45">
      <c r="A97" s="29">
        <v>9</v>
      </c>
      <c r="D97" s="27">
        <f>C87</f>
        <v>0</v>
      </c>
      <c r="E97" s="28">
        <f>D97*$E$6</f>
        <v>0</v>
      </c>
      <c r="F97" s="42">
        <f>(E97-1)/30</f>
        <v>-3.3333333333333333E-2</v>
      </c>
      <c r="G97" s="42">
        <f>($E97-7)/30</f>
        <v>-0.23333333333333334</v>
      </c>
      <c r="H97" s="42">
        <f>($E97-11)/30</f>
        <v>-0.36666666666666664</v>
      </c>
      <c r="I97" s="42">
        <f>($E97-13)/30</f>
        <v>-0.43333333333333335</v>
      </c>
      <c r="J97" s="42">
        <f>($E97-17)/30</f>
        <v>-0.56666666666666665</v>
      </c>
      <c r="K97" s="42">
        <f>($E97-19)/30</f>
        <v>-0.6333333333333333</v>
      </c>
      <c r="L97" s="42">
        <f>($E97-23)/30</f>
        <v>-0.76666666666666672</v>
      </c>
      <c r="M97" s="42">
        <f>($E97-29)/30</f>
        <v>-0.96666666666666667</v>
      </c>
      <c r="O97" s="43" t="str">
        <f t="shared" ref="O97:O104" si="90">FactorNumber(E97)</f>
        <v/>
      </c>
    </row>
    <row r="98" spans="1:15" x14ac:dyDescent="0.45">
      <c r="D98" s="27">
        <f t="shared" ref="D98:D104" si="91">C88</f>
        <v>0</v>
      </c>
      <c r="E98" s="28">
        <f t="shared" ref="E98:E104" si="92">D98*$E$6</f>
        <v>0</v>
      </c>
      <c r="F98" s="42">
        <f t="shared" ref="F98:F104" si="93">(E98-1)/30</f>
        <v>-3.3333333333333333E-2</v>
      </c>
      <c r="G98" s="42">
        <f t="shared" ref="G98:G104" si="94">($E98-7)/30</f>
        <v>-0.23333333333333334</v>
      </c>
      <c r="H98" s="42">
        <f t="shared" ref="H98:H104" si="95">($E98-11)/30</f>
        <v>-0.36666666666666664</v>
      </c>
      <c r="I98" s="42">
        <f t="shared" ref="I98:I104" si="96">($E98-13)/30</f>
        <v>-0.43333333333333335</v>
      </c>
      <c r="J98" s="42">
        <f t="shared" ref="J98:J104" si="97">($E98-17)/30</f>
        <v>-0.56666666666666665</v>
      </c>
      <c r="K98" s="42">
        <f t="shared" ref="K98:K104" si="98">($E98-19)/30</f>
        <v>-0.6333333333333333</v>
      </c>
      <c r="L98" s="42">
        <f t="shared" ref="L98:L104" si="99">($E98-23)/30</f>
        <v>-0.76666666666666672</v>
      </c>
      <c r="M98" s="42">
        <f t="shared" ref="M98:M104" si="100">($E98-29)/30</f>
        <v>-0.96666666666666667</v>
      </c>
      <c r="O98" s="43" t="str">
        <f t="shared" si="90"/>
        <v/>
      </c>
    </row>
    <row r="99" spans="1:15" x14ac:dyDescent="0.45">
      <c r="D99" s="27">
        <f t="shared" si="91"/>
        <v>0</v>
      </c>
      <c r="E99" s="28">
        <f t="shared" si="92"/>
        <v>0</v>
      </c>
      <c r="F99" s="42">
        <f t="shared" si="93"/>
        <v>-3.3333333333333333E-2</v>
      </c>
      <c r="G99" s="42">
        <f t="shared" si="94"/>
        <v>-0.23333333333333334</v>
      </c>
      <c r="H99" s="42">
        <f t="shared" si="95"/>
        <v>-0.36666666666666664</v>
      </c>
      <c r="I99" s="42">
        <f t="shared" si="96"/>
        <v>-0.43333333333333335</v>
      </c>
      <c r="J99" s="42">
        <f t="shared" si="97"/>
        <v>-0.56666666666666665</v>
      </c>
      <c r="K99" s="42">
        <f t="shared" si="98"/>
        <v>-0.6333333333333333</v>
      </c>
      <c r="L99" s="42">
        <f t="shared" si="99"/>
        <v>-0.76666666666666672</v>
      </c>
      <c r="M99" s="42">
        <f t="shared" si="100"/>
        <v>-0.96666666666666667</v>
      </c>
      <c r="O99" s="43" t="str">
        <f t="shared" si="90"/>
        <v/>
      </c>
    </row>
    <row r="100" spans="1:15" x14ac:dyDescent="0.45">
      <c r="D100" s="27">
        <f t="shared" si="91"/>
        <v>0</v>
      </c>
      <c r="E100" s="28">
        <f t="shared" si="92"/>
        <v>0</v>
      </c>
      <c r="F100" s="42">
        <f t="shared" si="93"/>
        <v>-3.3333333333333333E-2</v>
      </c>
      <c r="G100" s="42">
        <f t="shared" si="94"/>
        <v>-0.23333333333333334</v>
      </c>
      <c r="H100" s="42">
        <f t="shared" si="95"/>
        <v>-0.36666666666666664</v>
      </c>
      <c r="I100" s="42">
        <f t="shared" si="96"/>
        <v>-0.43333333333333335</v>
      </c>
      <c r="J100" s="42">
        <f t="shared" si="97"/>
        <v>-0.56666666666666665</v>
      </c>
      <c r="K100" s="42">
        <f t="shared" si="98"/>
        <v>-0.6333333333333333</v>
      </c>
      <c r="L100" s="42">
        <f t="shared" si="99"/>
        <v>-0.76666666666666672</v>
      </c>
      <c r="M100" s="42">
        <f t="shared" si="100"/>
        <v>-0.96666666666666667</v>
      </c>
      <c r="O100" s="43" t="str">
        <f t="shared" si="90"/>
        <v/>
      </c>
    </row>
    <row r="101" spans="1:15" x14ac:dyDescent="0.45">
      <c r="D101" s="27">
        <f t="shared" si="91"/>
        <v>0</v>
      </c>
      <c r="E101" s="28">
        <f t="shared" si="92"/>
        <v>0</v>
      </c>
      <c r="F101" s="42">
        <f t="shared" si="93"/>
        <v>-3.3333333333333333E-2</v>
      </c>
      <c r="G101" s="42">
        <f t="shared" si="94"/>
        <v>-0.23333333333333334</v>
      </c>
      <c r="H101" s="42">
        <f t="shared" si="95"/>
        <v>-0.36666666666666664</v>
      </c>
      <c r="I101" s="42">
        <f t="shared" si="96"/>
        <v>-0.43333333333333335</v>
      </c>
      <c r="J101" s="42">
        <f t="shared" si="97"/>
        <v>-0.56666666666666665</v>
      </c>
      <c r="K101" s="42">
        <f t="shared" si="98"/>
        <v>-0.6333333333333333</v>
      </c>
      <c r="L101" s="42">
        <f t="shared" si="99"/>
        <v>-0.76666666666666672</v>
      </c>
      <c r="M101" s="42">
        <f t="shared" si="100"/>
        <v>-0.96666666666666667</v>
      </c>
      <c r="O101" s="43" t="str">
        <f t="shared" si="90"/>
        <v/>
      </c>
    </row>
    <row r="102" spans="1:15" x14ac:dyDescent="0.45">
      <c r="D102" s="27">
        <f t="shared" si="91"/>
        <v>0</v>
      </c>
      <c r="E102" s="28">
        <f t="shared" si="92"/>
        <v>0</v>
      </c>
      <c r="F102" s="42">
        <f t="shared" si="93"/>
        <v>-3.3333333333333333E-2</v>
      </c>
      <c r="G102" s="42">
        <f t="shared" si="94"/>
        <v>-0.23333333333333334</v>
      </c>
      <c r="H102" s="42">
        <f t="shared" si="95"/>
        <v>-0.36666666666666664</v>
      </c>
      <c r="I102" s="42">
        <f t="shared" si="96"/>
        <v>-0.43333333333333335</v>
      </c>
      <c r="J102" s="42">
        <f t="shared" si="97"/>
        <v>-0.56666666666666665</v>
      </c>
      <c r="K102" s="42">
        <f t="shared" si="98"/>
        <v>-0.6333333333333333</v>
      </c>
      <c r="L102" s="42">
        <f t="shared" si="99"/>
        <v>-0.76666666666666672</v>
      </c>
      <c r="M102" s="42">
        <f t="shared" si="100"/>
        <v>-0.96666666666666667</v>
      </c>
      <c r="O102" s="43" t="str">
        <f t="shared" si="90"/>
        <v/>
      </c>
    </row>
    <row r="103" spans="1:15" x14ac:dyDescent="0.45">
      <c r="D103" s="27">
        <f t="shared" si="91"/>
        <v>0</v>
      </c>
      <c r="E103" s="28">
        <f t="shared" si="92"/>
        <v>0</v>
      </c>
      <c r="F103" s="42">
        <f t="shared" si="93"/>
        <v>-3.3333333333333333E-2</v>
      </c>
      <c r="G103" s="42">
        <f t="shared" si="94"/>
        <v>-0.23333333333333334</v>
      </c>
      <c r="H103" s="42">
        <f t="shared" si="95"/>
        <v>-0.36666666666666664</v>
      </c>
      <c r="I103" s="42">
        <f t="shared" si="96"/>
        <v>-0.43333333333333335</v>
      </c>
      <c r="J103" s="42">
        <f t="shared" si="97"/>
        <v>-0.56666666666666665</v>
      </c>
      <c r="K103" s="42">
        <f t="shared" si="98"/>
        <v>-0.6333333333333333</v>
      </c>
      <c r="L103" s="42">
        <f t="shared" si="99"/>
        <v>-0.76666666666666672</v>
      </c>
      <c r="M103" s="42">
        <f t="shared" si="100"/>
        <v>-0.96666666666666667</v>
      </c>
      <c r="O103" s="43" t="str">
        <f t="shared" si="90"/>
        <v/>
      </c>
    </row>
    <row r="104" spans="1:15" x14ac:dyDescent="0.45">
      <c r="D104" s="27">
        <f t="shared" si="91"/>
        <v>0</v>
      </c>
      <c r="E104" s="28">
        <f t="shared" si="92"/>
        <v>0</v>
      </c>
      <c r="F104" s="42">
        <f t="shared" si="93"/>
        <v>-3.3333333333333333E-2</v>
      </c>
      <c r="G104" s="42">
        <f t="shared" si="94"/>
        <v>-0.23333333333333334</v>
      </c>
      <c r="H104" s="42">
        <f t="shared" si="95"/>
        <v>-0.36666666666666664</v>
      </c>
      <c r="I104" s="42">
        <f t="shared" si="96"/>
        <v>-0.43333333333333335</v>
      </c>
      <c r="J104" s="42">
        <f t="shared" si="97"/>
        <v>-0.56666666666666665</v>
      </c>
      <c r="K104" s="42">
        <f t="shared" si="98"/>
        <v>-0.6333333333333333</v>
      </c>
      <c r="L104" s="42">
        <f t="shared" si="99"/>
        <v>-0.76666666666666672</v>
      </c>
      <c r="M104" s="42">
        <f t="shared" si="100"/>
        <v>-0.96666666666666667</v>
      </c>
      <c r="O104" s="43" t="str">
        <f t="shared" si="90"/>
        <v/>
      </c>
    </row>
    <row r="105" spans="1:15" ht="19.2" thickBot="1" x14ac:dyDescent="0.5">
      <c r="F105" s="42"/>
      <c r="G105" s="42"/>
      <c r="H105" s="42"/>
      <c r="I105" s="42"/>
      <c r="J105" s="42"/>
      <c r="K105" s="42"/>
      <c r="L105" s="42"/>
      <c r="M105" s="42"/>
    </row>
    <row r="106" spans="1:15" ht="19.2" thickBot="1" x14ac:dyDescent="0.5">
      <c r="C106" s="44"/>
      <c r="E106" s="34">
        <f>E87</f>
        <v>2169</v>
      </c>
      <c r="F106" s="45">
        <v>1</v>
      </c>
      <c r="G106" s="46">
        <v>7</v>
      </c>
      <c r="H106" s="46">
        <v>11</v>
      </c>
      <c r="I106" s="46">
        <v>13</v>
      </c>
      <c r="J106" s="46">
        <v>17</v>
      </c>
      <c r="K106" s="46">
        <v>19</v>
      </c>
      <c r="L106" s="46">
        <v>23</v>
      </c>
      <c r="M106" s="47">
        <v>29</v>
      </c>
      <c r="O106" s="27" t="s">
        <v>2</v>
      </c>
    </row>
    <row r="107" spans="1:15" x14ac:dyDescent="0.45">
      <c r="A107" s="29">
        <v>10</v>
      </c>
      <c r="D107" s="27">
        <f>C97</f>
        <v>0</v>
      </c>
      <c r="E107" s="28">
        <f>D107*$E$6</f>
        <v>0</v>
      </c>
      <c r="F107" s="42">
        <f>(E107-1)/30</f>
        <v>-3.3333333333333333E-2</v>
      </c>
      <c r="G107" s="42">
        <f>($E107-7)/30</f>
        <v>-0.23333333333333334</v>
      </c>
      <c r="H107" s="42">
        <f>($E107-11)/30</f>
        <v>-0.36666666666666664</v>
      </c>
      <c r="I107" s="42">
        <f>($E107-13)/30</f>
        <v>-0.43333333333333335</v>
      </c>
      <c r="J107" s="42">
        <f>($E107-17)/30</f>
        <v>-0.56666666666666665</v>
      </c>
      <c r="K107" s="42">
        <f>($E107-19)/30</f>
        <v>-0.6333333333333333</v>
      </c>
      <c r="L107" s="42">
        <f>($E107-23)/30</f>
        <v>-0.76666666666666672</v>
      </c>
      <c r="M107" s="42">
        <f>($E107-29)/30</f>
        <v>-0.96666666666666667</v>
      </c>
      <c r="O107" s="43" t="str">
        <f t="shared" ref="O107:O114" si="101">FactorNumber(E107)</f>
        <v/>
      </c>
    </row>
    <row r="108" spans="1:15" x14ac:dyDescent="0.45">
      <c r="D108" s="27">
        <f t="shared" ref="D108:D114" si="102">C98</f>
        <v>0</v>
      </c>
      <c r="E108" s="28">
        <f t="shared" ref="E108:E114" si="103">D108*$E$6</f>
        <v>0</v>
      </c>
      <c r="F108" s="42">
        <f t="shared" ref="F108:F114" si="104">(E108-1)/30</f>
        <v>-3.3333333333333333E-2</v>
      </c>
      <c r="G108" s="42">
        <f t="shared" ref="G108:G114" si="105">($E108-7)/30</f>
        <v>-0.23333333333333334</v>
      </c>
      <c r="H108" s="42">
        <f t="shared" ref="H108:H114" si="106">($E108-11)/30</f>
        <v>-0.36666666666666664</v>
      </c>
      <c r="I108" s="42">
        <f t="shared" ref="I108:I114" si="107">($E108-13)/30</f>
        <v>-0.43333333333333335</v>
      </c>
      <c r="J108" s="42">
        <f t="shared" ref="J108:J114" si="108">($E108-17)/30</f>
        <v>-0.56666666666666665</v>
      </c>
      <c r="K108" s="42">
        <f t="shared" ref="K108:K114" si="109">($E108-19)/30</f>
        <v>-0.6333333333333333</v>
      </c>
      <c r="L108" s="42">
        <f t="shared" ref="L108:L114" si="110">($E108-23)/30</f>
        <v>-0.76666666666666672</v>
      </c>
      <c r="M108" s="42">
        <f t="shared" ref="M108:M114" si="111">($E108-29)/30</f>
        <v>-0.96666666666666667</v>
      </c>
      <c r="O108" s="43" t="str">
        <f t="shared" si="101"/>
        <v/>
      </c>
    </row>
    <row r="109" spans="1:15" x14ac:dyDescent="0.45">
      <c r="D109" s="27">
        <f t="shared" si="102"/>
        <v>0</v>
      </c>
      <c r="E109" s="28">
        <f t="shared" si="103"/>
        <v>0</v>
      </c>
      <c r="F109" s="42">
        <f t="shared" si="104"/>
        <v>-3.3333333333333333E-2</v>
      </c>
      <c r="G109" s="42">
        <f t="shared" si="105"/>
        <v>-0.23333333333333334</v>
      </c>
      <c r="H109" s="42">
        <f t="shared" si="106"/>
        <v>-0.36666666666666664</v>
      </c>
      <c r="I109" s="42">
        <f t="shared" si="107"/>
        <v>-0.43333333333333335</v>
      </c>
      <c r="J109" s="42">
        <f t="shared" si="108"/>
        <v>-0.56666666666666665</v>
      </c>
      <c r="K109" s="42">
        <f t="shared" si="109"/>
        <v>-0.6333333333333333</v>
      </c>
      <c r="L109" s="42">
        <f t="shared" si="110"/>
        <v>-0.76666666666666672</v>
      </c>
      <c r="M109" s="42">
        <f t="shared" si="111"/>
        <v>-0.96666666666666667</v>
      </c>
      <c r="O109" s="43" t="str">
        <f t="shared" si="101"/>
        <v/>
      </c>
    </row>
    <row r="110" spans="1:15" x14ac:dyDescent="0.45">
      <c r="D110" s="27">
        <f t="shared" si="102"/>
        <v>0</v>
      </c>
      <c r="E110" s="28">
        <f t="shared" si="103"/>
        <v>0</v>
      </c>
      <c r="F110" s="42">
        <f t="shared" si="104"/>
        <v>-3.3333333333333333E-2</v>
      </c>
      <c r="G110" s="42">
        <f t="shared" si="105"/>
        <v>-0.23333333333333334</v>
      </c>
      <c r="H110" s="42">
        <f t="shared" si="106"/>
        <v>-0.36666666666666664</v>
      </c>
      <c r="I110" s="42">
        <f t="shared" si="107"/>
        <v>-0.43333333333333335</v>
      </c>
      <c r="J110" s="42">
        <f t="shared" si="108"/>
        <v>-0.56666666666666665</v>
      </c>
      <c r="K110" s="42">
        <f t="shared" si="109"/>
        <v>-0.6333333333333333</v>
      </c>
      <c r="L110" s="42">
        <f t="shared" si="110"/>
        <v>-0.76666666666666672</v>
      </c>
      <c r="M110" s="42">
        <f t="shared" si="111"/>
        <v>-0.96666666666666667</v>
      </c>
      <c r="O110" s="43" t="str">
        <f t="shared" si="101"/>
        <v/>
      </c>
    </row>
    <row r="111" spans="1:15" x14ac:dyDescent="0.45">
      <c r="D111" s="27">
        <f t="shared" si="102"/>
        <v>0</v>
      </c>
      <c r="E111" s="28">
        <f t="shared" si="103"/>
        <v>0</v>
      </c>
      <c r="F111" s="42">
        <f t="shared" si="104"/>
        <v>-3.3333333333333333E-2</v>
      </c>
      <c r="G111" s="42">
        <f t="shared" si="105"/>
        <v>-0.23333333333333334</v>
      </c>
      <c r="H111" s="42">
        <f t="shared" si="106"/>
        <v>-0.36666666666666664</v>
      </c>
      <c r="I111" s="42">
        <f t="shared" si="107"/>
        <v>-0.43333333333333335</v>
      </c>
      <c r="J111" s="42">
        <f t="shared" si="108"/>
        <v>-0.56666666666666665</v>
      </c>
      <c r="K111" s="42">
        <f t="shared" si="109"/>
        <v>-0.6333333333333333</v>
      </c>
      <c r="L111" s="42">
        <f t="shared" si="110"/>
        <v>-0.76666666666666672</v>
      </c>
      <c r="M111" s="42">
        <f t="shared" si="111"/>
        <v>-0.96666666666666667</v>
      </c>
      <c r="O111" s="43" t="str">
        <f t="shared" si="101"/>
        <v/>
      </c>
    </row>
    <row r="112" spans="1:15" x14ac:dyDescent="0.45">
      <c r="D112" s="27">
        <f t="shared" si="102"/>
        <v>0</v>
      </c>
      <c r="E112" s="28">
        <f t="shared" si="103"/>
        <v>0</v>
      </c>
      <c r="F112" s="42">
        <f t="shared" si="104"/>
        <v>-3.3333333333333333E-2</v>
      </c>
      <c r="G112" s="42">
        <f t="shared" si="105"/>
        <v>-0.23333333333333334</v>
      </c>
      <c r="H112" s="42">
        <f t="shared" si="106"/>
        <v>-0.36666666666666664</v>
      </c>
      <c r="I112" s="42">
        <f t="shared" si="107"/>
        <v>-0.43333333333333335</v>
      </c>
      <c r="J112" s="42">
        <f t="shared" si="108"/>
        <v>-0.56666666666666665</v>
      </c>
      <c r="K112" s="42">
        <f t="shared" si="109"/>
        <v>-0.6333333333333333</v>
      </c>
      <c r="L112" s="42">
        <f t="shared" si="110"/>
        <v>-0.76666666666666672</v>
      </c>
      <c r="M112" s="42">
        <f t="shared" si="111"/>
        <v>-0.96666666666666667</v>
      </c>
      <c r="O112" s="43" t="str">
        <f t="shared" si="101"/>
        <v/>
      </c>
    </row>
    <row r="113" spans="1:15" x14ac:dyDescent="0.45">
      <c r="D113" s="27">
        <f t="shared" si="102"/>
        <v>0</v>
      </c>
      <c r="E113" s="28">
        <f t="shared" si="103"/>
        <v>0</v>
      </c>
      <c r="F113" s="42">
        <f t="shared" si="104"/>
        <v>-3.3333333333333333E-2</v>
      </c>
      <c r="G113" s="42">
        <f t="shared" si="105"/>
        <v>-0.23333333333333334</v>
      </c>
      <c r="H113" s="42">
        <f t="shared" si="106"/>
        <v>-0.36666666666666664</v>
      </c>
      <c r="I113" s="42">
        <f t="shared" si="107"/>
        <v>-0.43333333333333335</v>
      </c>
      <c r="J113" s="42">
        <f t="shared" si="108"/>
        <v>-0.56666666666666665</v>
      </c>
      <c r="K113" s="42">
        <f t="shared" si="109"/>
        <v>-0.6333333333333333</v>
      </c>
      <c r="L113" s="42">
        <f t="shared" si="110"/>
        <v>-0.76666666666666672</v>
      </c>
      <c r="M113" s="42">
        <f t="shared" si="111"/>
        <v>-0.96666666666666667</v>
      </c>
      <c r="O113" s="43" t="str">
        <f t="shared" si="101"/>
        <v/>
      </c>
    </row>
    <row r="114" spans="1:15" x14ac:dyDescent="0.45">
      <c r="D114" s="27">
        <f t="shared" si="102"/>
        <v>0</v>
      </c>
      <c r="E114" s="28">
        <f t="shared" si="103"/>
        <v>0</v>
      </c>
      <c r="F114" s="42">
        <f t="shared" si="104"/>
        <v>-3.3333333333333333E-2</v>
      </c>
      <c r="G114" s="42">
        <f t="shared" si="105"/>
        <v>-0.23333333333333334</v>
      </c>
      <c r="H114" s="42">
        <f t="shared" si="106"/>
        <v>-0.36666666666666664</v>
      </c>
      <c r="I114" s="42">
        <f t="shared" si="107"/>
        <v>-0.43333333333333335</v>
      </c>
      <c r="J114" s="42">
        <f t="shared" si="108"/>
        <v>-0.56666666666666665</v>
      </c>
      <c r="K114" s="42">
        <f t="shared" si="109"/>
        <v>-0.6333333333333333</v>
      </c>
      <c r="L114" s="42">
        <f t="shared" si="110"/>
        <v>-0.76666666666666672</v>
      </c>
      <c r="M114" s="42">
        <f t="shared" si="111"/>
        <v>-0.96666666666666667</v>
      </c>
      <c r="O114" s="43" t="str">
        <f t="shared" si="101"/>
        <v/>
      </c>
    </row>
    <row r="115" spans="1:15" ht="19.2" thickBot="1" x14ac:dyDescent="0.5">
      <c r="F115" s="42"/>
      <c r="G115" s="42"/>
      <c r="H115" s="42"/>
      <c r="I115" s="42"/>
      <c r="J115" s="42"/>
      <c r="K115" s="42"/>
      <c r="L115" s="42"/>
      <c r="M115" s="42"/>
    </row>
    <row r="116" spans="1:15" ht="19.2" thickBot="1" x14ac:dyDescent="0.5">
      <c r="C116" s="44"/>
      <c r="E116" s="34">
        <f>E97</f>
        <v>0</v>
      </c>
      <c r="F116" s="45">
        <v>1</v>
      </c>
      <c r="G116" s="46">
        <v>7</v>
      </c>
      <c r="H116" s="46">
        <v>11</v>
      </c>
      <c r="I116" s="46">
        <v>13</v>
      </c>
      <c r="J116" s="46">
        <v>17</v>
      </c>
      <c r="K116" s="46">
        <v>19</v>
      </c>
      <c r="L116" s="46">
        <v>23</v>
      </c>
      <c r="M116" s="47">
        <v>29</v>
      </c>
      <c r="O116" s="27" t="s">
        <v>2</v>
      </c>
    </row>
    <row r="117" spans="1:15" x14ac:dyDescent="0.45">
      <c r="A117" s="29">
        <v>11</v>
      </c>
      <c r="D117" s="27">
        <f>C107</f>
        <v>0</v>
      </c>
      <c r="E117" s="28">
        <f>D117*$E$6</f>
        <v>0</v>
      </c>
      <c r="F117" s="42">
        <f>(E117-1)/30</f>
        <v>-3.3333333333333333E-2</v>
      </c>
      <c r="G117" s="42">
        <f>($E117-7)/30</f>
        <v>-0.23333333333333334</v>
      </c>
      <c r="H117" s="42">
        <f>($E117-11)/30</f>
        <v>-0.36666666666666664</v>
      </c>
      <c r="I117" s="42">
        <f>($E117-13)/30</f>
        <v>-0.43333333333333335</v>
      </c>
      <c r="J117" s="42">
        <f>($E117-17)/30</f>
        <v>-0.56666666666666665</v>
      </c>
      <c r="K117" s="42">
        <f>($E117-19)/30</f>
        <v>-0.6333333333333333</v>
      </c>
      <c r="L117" s="42">
        <f>($E117-23)/30</f>
        <v>-0.76666666666666672</v>
      </c>
      <c r="M117" s="42">
        <f>($E117-29)/30</f>
        <v>-0.96666666666666667</v>
      </c>
      <c r="O117" s="43" t="str">
        <f t="shared" ref="O117:O124" si="112">FactorNumber(E117)</f>
        <v/>
      </c>
    </row>
    <row r="118" spans="1:15" x14ac:dyDescent="0.45">
      <c r="D118" s="27">
        <f t="shared" ref="D118:D124" si="113">C108</f>
        <v>0</v>
      </c>
      <c r="E118" s="28">
        <f t="shared" ref="E118:E124" si="114">D118*$E$6</f>
        <v>0</v>
      </c>
      <c r="F118" s="42">
        <f t="shared" ref="F118:F124" si="115">(E118-1)/30</f>
        <v>-3.3333333333333333E-2</v>
      </c>
      <c r="G118" s="42">
        <f t="shared" ref="G118:G124" si="116">($E118-7)/30</f>
        <v>-0.23333333333333334</v>
      </c>
      <c r="H118" s="42">
        <f t="shared" ref="H118:H124" si="117">($E118-11)/30</f>
        <v>-0.36666666666666664</v>
      </c>
      <c r="I118" s="42">
        <f t="shared" ref="I118:I124" si="118">($E118-13)/30</f>
        <v>-0.43333333333333335</v>
      </c>
      <c r="J118" s="42">
        <f t="shared" ref="J118:J124" si="119">($E118-17)/30</f>
        <v>-0.56666666666666665</v>
      </c>
      <c r="K118" s="42">
        <f t="shared" ref="K118:K124" si="120">($E118-19)/30</f>
        <v>-0.6333333333333333</v>
      </c>
      <c r="L118" s="42">
        <f t="shared" ref="L118:L124" si="121">($E118-23)/30</f>
        <v>-0.76666666666666672</v>
      </c>
      <c r="M118" s="42">
        <f t="shared" ref="M118:M124" si="122">($E118-29)/30</f>
        <v>-0.96666666666666667</v>
      </c>
      <c r="O118" s="43" t="str">
        <f t="shared" si="112"/>
        <v/>
      </c>
    </row>
    <row r="119" spans="1:15" x14ac:dyDescent="0.45">
      <c r="D119" s="27">
        <f t="shared" si="113"/>
        <v>0</v>
      </c>
      <c r="E119" s="28">
        <f t="shared" si="114"/>
        <v>0</v>
      </c>
      <c r="F119" s="42">
        <f t="shared" si="115"/>
        <v>-3.3333333333333333E-2</v>
      </c>
      <c r="G119" s="42">
        <f t="shared" si="116"/>
        <v>-0.23333333333333334</v>
      </c>
      <c r="H119" s="42">
        <f t="shared" si="117"/>
        <v>-0.36666666666666664</v>
      </c>
      <c r="I119" s="42">
        <f t="shared" si="118"/>
        <v>-0.43333333333333335</v>
      </c>
      <c r="J119" s="42">
        <f t="shared" si="119"/>
        <v>-0.56666666666666665</v>
      </c>
      <c r="K119" s="42">
        <f t="shared" si="120"/>
        <v>-0.6333333333333333</v>
      </c>
      <c r="L119" s="42">
        <f t="shared" si="121"/>
        <v>-0.76666666666666672</v>
      </c>
      <c r="M119" s="42">
        <f t="shared" si="122"/>
        <v>-0.96666666666666667</v>
      </c>
      <c r="O119" s="43" t="str">
        <f t="shared" si="112"/>
        <v/>
      </c>
    </row>
    <row r="120" spans="1:15" x14ac:dyDescent="0.45">
      <c r="D120" s="27">
        <f t="shared" si="113"/>
        <v>0</v>
      </c>
      <c r="E120" s="28">
        <f t="shared" si="114"/>
        <v>0</v>
      </c>
      <c r="F120" s="42">
        <f t="shared" si="115"/>
        <v>-3.3333333333333333E-2</v>
      </c>
      <c r="G120" s="42">
        <f t="shared" si="116"/>
        <v>-0.23333333333333334</v>
      </c>
      <c r="H120" s="42">
        <f t="shared" si="117"/>
        <v>-0.36666666666666664</v>
      </c>
      <c r="I120" s="42">
        <f t="shared" si="118"/>
        <v>-0.43333333333333335</v>
      </c>
      <c r="J120" s="42">
        <f t="shared" si="119"/>
        <v>-0.56666666666666665</v>
      </c>
      <c r="K120" s="42">
        <f t="shared" si="120"/>
        <v>-0.6333333333333333</v>
      </c>
      <c r="L120" s="42">
        <f t="shared" si="121"/>
        <v>-0.76666666666666672</v>
      </c>
      <c r="M120" s="42">
        <f t="shared" si="122"/>
        <v>-0.96666666666666667</v>
      </c>
      <c r="O120" s="43" t="str">
        <f t="shared" si="112"/>
        <v/>
      </c>
    </row>
    <row r="121" spans="1:15" x14ac:dyDescent="0.45">
      <c r="D121" s="27">
        <f t="shared" si="113"/>
        <v>0</v>
      </c>
      <c r="E121" s="28">
        <f t="shared" si="114"/>
        <v>0</v>
      </c>
      <c r="F121" s="42">
        <f t="shared" si="115"/>
        <v>-3.3333333333333333E-2</v>
      </c>
      <c r="G121" s="42">
        <f t="shared" si="116"/>
        <v>-0.23333333333333334</v>
      </c>
      <c r="H121" s="42">
        <f t="shared" si="117"/>
        <v>-0.36666666666666664</v>
      </c>
      <c r="I121" s="42">
        <f t="shared" si="118"/>
        <v>-0.43333333333333335</v>
      </c>
      <c r="J121" s="42">
        <f t="shared" si="119"/>
        <v>-0.56666666666666665</v>
      </c>
      <c r="K121" s="42">
        <f t="shared" si="120"/>
        <v>-0.6333333333333333</v>
      </c>
      <c r="L121" s="42">
        <f t="shared" si="121"/>
        <v>-0.76666666666666672</v>
      </c>
      <c r="M121" s="42">
        <f t="shared" si="122"/>
        <v>-0.96666666666666667</v>
      </c>
      <c r="O121" s="43" t="str">
        <f t="shared" si="112"/>
        <v/>
      </c>
    </row>
    <row r="122" spans="1:15" x14ac:dyDescent="0.45">
      <c r="D122" s="27">
        <f t="shared" si="113"/>
        <v>0</v>
      </c>
      <c r="E122" s="28">
        <f t="shared" si="114"/>
        <v>0</v>
      </c>
      <c r="F122" s="42">
        <f t="shared" si="115"/>
        <v>-3.3333333333333333E-2</v>
      </c>
      <c r="G122" s="42">
        <f t="shared" si="116"/>
        <v>-0.23333333333333334</v>
      </c>
      <c r="H122" s="42">
        <f t="shared" si="117"/>
        <v>-0.36666666666666664</v>
      </c>
      <c r="I122" s="42">
        <f t="shared" si="118"/>
        <v>-0.43333333333333335</v>
      </c>
      <c r="J122" s="42">
        <f t="shared" si="119"/>
        <v>-0.56666666666666665</v>
      </c>
      <c r="K122" s="42">
        <f t="shared" si="120"/>
        <v>-0.6333333333333333</v>
      </c>
      <c r="L122" s="42">
        <f t="shared" si="121"/>
        <v>-0.76666666666666672</v>
      </c>
      <c r="M122" s="42">
        <f t="shared" si="122"/>
        <v>-0.96666666666666667</v>
      </c>
      <c r="O122" s="43" t="str">
        <f t="shared" si="112"/>
        <v/>
      </c>
    </row>
    <row r="123" spans="1:15" x14ac:dyDescent="0.45">
      <c r="D123" s="27">
        <f t="shared" si="113"/>
        <v>0</v>
      </c>
      <c r="E123" s="28">
        <f t="shared" si="114"/>
        <v>0</v>
      </c>
      <c r="F123" s="42">
        <f t="shared" si="115"/>
        <v>-3.3333333333333333E-2</v>
      </c>
      <c r="G123" s="42">
        <f t="shared" si="116"/>
        <v>-0.23333333333333334</v>
      </c>
      <c r="H123" s="42">
        <f t="shared" si="117"/>
        <v>-0.36666666666666664</v>
      </c>
      <c r="I123" s="42">
        <f t="shared" si="118"/>
        <v>-0.43333333333333335</v>
      </c>
      <c r="J123" s="42">
        <f t="shared" si="119"/>
        <v>-0.56666666666666665</v>
      </c>
      <c r="K123" s="42">
        <f t="shared" si="120"/>
        <v>-0.6333333333333333</v>
      </c>
      <c r="L123" s="42">
        <f t="shared" si="121"/>
        <v>-0.76666666666666672</v>
      </c>
      <c r="M123" s="42">
        <f t="shared" si="122"/>
        <v>-0.96666666666666667</v>
      </c>
      <c r="O123" s="43" t="str">
        <f t="shared" si="112"/>
        <v/>
      </c>
    </row>
    <row r="124" spans="1:15" x14ac:dyDescent="0.45">
      <c r="D124" s="27">
        <f t="shared" si="113"/>
        <v>0</v>
      </c>
      <c r="E124" s="28">
        <f t="shared" si="114"/>
        <v>0</v>
      </c>
      <c r="F124" s="42">
        <f t="shared" si="115"/>
        <v>-3.3333333333333333E-2</v>
      </c>
      <c r="G124" s="42">
        <f t="shared" si="116"/>
        <v>-0.23333333333333334</v>
      </c>
      <c r="H124" s="42">
        <f t="shared" si="117"/>
        <v>-0.36666666666666664</v>
      </c>
      <c r="I124" s="42">
        <f t="shared" si="118"/>
        <v>-0.43333333333333335</v>
      </c>
      <c r="J124" s="42">
        <f t="shared" si="119"/>
        <v>-0.56666666666666665</v>
      </c>
      <c r="K124" s="42">
        <f t="shared" si="120"/>
        <v>-0.6333333333333333</v>
      </c>
      <c r="L124" s="42">
        <f t="shared" si="121"/>
        <v>-0.76666666666666672</v>
      </c>
      <c r="M124" s="42">
        <f t="shared" si="122"/>
        <v>-0.96666666666666667</v>
      </c>
      <c r="O124" s="43" t="str">
        <f t="shared" si="112"/>
        <v/>
      </c>
    </row>
    <row r="125" spans="1:15" ht="19.2" thickBot="1" x14ac:dyDescent="0.5">
      <c r="F125" s="42"/>
      <c r="G125" s="42"/>
      <c r="H125" s="42"/>
      <c r="I125" s="42"/>
      <c r="J125" s="42"/>
      <c r="K125" s="42"/>
      <c r="L125" s="42"/>
      <c r="M125" s="42"/>
    </row>
    <row r="126" spans="1:15" ht="19.2" thickBot="1" x14ac:dyDescent="0.5">
      <c r="C126" s="44"/>
      <c r="E126" s="34">
        <f>E107</f>
        <v>0</v>
      </c>
      <c r="F126" s="45">
        <v>1</v>
      </c>
      <c r="G126" s="46">
        <v>7</v>
      </c>
      <c r="H126" s="46">
        <v>11</v>
      </c>
      <c r="I126" s="46">
        <v>13</v>
      </c>
      <c r="J126" s="46">
        <v>17</v>
      </c>
      <c r="K126" s="46">
        <v>19</v>
      </c>
      <c r="L126" s="46">
        <v>23</v>
      </c>
      <c r="M126" s="47">
        <v>29</v>
      </c>
      <c r="O126" s="27" t="s">
        <v>2</v>
      </c>
    </row>
    <row r="127" spans="1:15" x14ac:dyDescent="0.45">
      <c r="A127" s="29">
        <v>12</v>
      </c>
      <c r="D127" s="27">
        <f>C117</f>
        <v>0</v>
      </c>
      <c r="E127" s="28">
        <f>D127*$E$6</f>
        <v>0</v>
      </c>
      <c r="F127" s="42">
        <f>(E127-1)/30</f>
        <v>-3.3333333333333333E-2</v>
      </c>
      <c r="G127" s="42">
        <f>($E127-7)/30</f>
        <v>-0.23333333333333334</v>
      </c>
      <c r="H127" s="42">
        <f>($E127-11)/30</f>
        <v>-0.36666666666666664</v>
      </c>
      <c r="I127" s="42">
        <f>($E127-13)/30</f>
        <v>-0.43333333333333335</v>
      </c>
      <c r="J127" s="42">
        <f>($E127-17)/30</f>
        <v>-0.56666666666666665</v>
      </c>
      <c r="K127" s="42">
        <f>($E127-19)/30</f>
        <v>-0.6333333333333333</v>
      </c>
      <c r="L127" s="42">
        <f>($E127-23)/30</f>
        <v>-0.76666666666666672</v>
      </c>
      <c r="M127" s="42">
        <f>($E127-29)/30</f>
        <v>-0.96666666666666667</v>
      </c>
      <c r="O127" s="43" t="str">
        <f t="shared" ref="O127:O134" si="123">FactorNumber(E127)</f>
        <v/>
      </c>
    </row>
    <row r="128" spans="1:15" x14ac:dyDescent="0.45">
      <c r="D128" s="27">
        <f t="shared" ref="D128:D134" si="124">C118</f>
        <v>0</v>
      </c>
      <c r="E128" s="28">
        <f t="shared" ref="E128:E134" si="125">D128*$E$6</f>
        <v>0</v>
      </c>
      <c r="F128" s="42">
        <f t="shared" ref="F128:F134" si="126">(E128-1)/30</f>
        <v>-3.3333333333333333E-2</v>
      </c>
      <c r="G128" s="42">
        <f t="shared" ref="G128:G134" si="127">($E128-7)/30</f>
        <v>-0.23333333333333334</v>
      </c>
      <c r="H128" s="42">
        <f t="shared" ref="H128:H134" si="128">($E128-11)/30</f>
        <v>-0.36666666666666664</v>
      </c>
      <c r="I128" s="42">
        <f t="shared" ref="I128:I134" si="129">($E128-13)/30</f>
        <v>-0.43333333333333335</v>
      </c>
      <c r="J128" s="42">
        <f t="shared" ref="J128:J134" si="130">($E128-17)/30</f>
        <v>-0.56666666666666665</v>
      </c>
      <c r="K128" s="42">
        <f t="shared" ref="K128:K134" si="131">($E128-19)/30</f>
        <v>-0.6333333333333333</v>
      </c>
      <c r="L128" s="42">
        <f t="shared" ref="L128:L134" si="132">($E128-23)/30</f>
        <v>-0.76666666666666672</v>
      </c>
      <c r="M128" s="42">
        <f t="shared" ref="M128:M134" si="133">($E128-29)/30</f>
        <v>-0.96666666666666667</v>
      </c>
      <c r="O128" s="43" t="str">
        <f t="shared" si="123"/>
        <v/>
      </c>
    </row>
    <row r="129" spans="1:15" x14ac:dyDescent="0.45">
      <c r="D129" s="27">
        <f t="shared" si="124"/>
        <v>0</v>
      </c>
      <c r="E129" s="28">
        <f t="shared" si="125"/>
        <v>0</v>
      </c>
      <c r="F129" s="42">
        <f t="shared" si="126"/>
        <v>-3.3333333333333333E-2</v>
      </c>
      <c r="G129" s="42">
        <f t="shared" si="127"/>
        <v>-0.23333333333333334</v>
      </c>
      <c r="H129" s="42">
        <f t="shared" si="128"/>
        <v>-0.36666666666666664</v>
      </c>
      <c r="I129" s="42">
        <f t="shared" si="129"/>
        <v>-0.43333333333333335</v>
      </c>
      <c r="J129" s="42">
        <f t="shared" si="130"/>
        <v>-0.56666666666666665</v>
      </c>
      <c r="K129" s="42">
        <f t="shared" si="131"/>
        <v>-0.6333333333333333</v>
      </c>
      <c r="L129" s="42">
        <f t="shared" si="132"/>
        <v>-0.76666666666666672</v>
      </c>
      <c r="M129" s="42">
        <f t="shared" si="133"/>
        <v>-0.96666666666666667</v>
      </c>
      <c r="O129" s="43" t="str">
        <f t="shared" si="123"/>
        <v/>
      </c>
    </row>
    <row r="130" spans="1:15" x14ac:dyDescent="0.45">
      <c r="D130" s="27">
        <f t="shared" si="124"/>
        <v>0</v>
      </c>
      <c r="E130" s="28">
        <f t="shared" si="125"/>
        <v>0</v>
      </c>
      <c r="F130" s="42">
        <f t="shared" si="126"/>
        <v>-3.3333333333333333E-2</v>
      </c>
      <c r="G130" s="42">
        <f t="shared" si="127"/>
        <v>-0.23333333333333334</v>
      </c>
      <c r="H130" s="42">
        <f t="shared" si="128"/>
        <v>-0.36666666666666664</v>
      </c>
      <c r="I130" s="42">
        <f t="shared" si="129"/>
        <v>-0.43333333333333335</v>
      </c>
      <c r="J130" s="42">
        <f t="shared" si="130"/>
        <v>-0.56666666666666665</v>
      </c>
      <c r="K130" s="42">
        <f t="shared" si="131"/>
        <v>-0.6333333333333333</v>
      </c>
      <c r="L130" s="42">
        <f t="shared" si="132"/>
        <v>-0.76666666666666672</v>
      </c>
      <c r="M130" s="42">
        <f t="shared" si="133"/>
        <v>-0.96666666666666667</v>
      </c>
      <c r="O130" s="43" t="str">
        <f t="shared" si="123"/>
        <v/>
      </c>
    </row>
    <row r="131" spans="1:15" x14ac:dyDescent="0.45">
      <c r="D131" s="27">
        <f t="shared" si="124"/>
        <v>0</v>
      </c>
      <c r="E131" s="28">
        <f t="shared" si="125"/>
        <v>0</v>
      </c>
      <c r="F131" s="42">
        <f t="shared" si="126"/>
        <v>-3.3333333333333333E-2</v>
      </c>
      <c r="G131" s="42">
        <f t="shared" si="127"/>
        <v>-0.23333333333333334</v>
      </c>
      <c r="H131" s="42">
        <f t="shared" si="128"/>
        <v>-0.36666666666666664</v>
      </c>
      <c r="I131" s="42">
        <f t="shared" si="129"/>
        <v>-0.43333333333333335</v>
      </c>
      <c r="J131" s="42">
        <f t="shared" si="130"/>
        <v>-0.56666666666666665</v>
      </c>
      <c r="K131" s="42">
        <f t="shared" si="131"/>
        <v>-0.6333333333333333</v>
      </c>
      <c r="L131" s="42">
        <f t="shared" si="132"/>
        <v>-0.76666666666666672</v>
      </c>
      <c r="M131" s="42">
        <f t="shared" si="133"/>
        <v>-0.96666666666666667</v>
      </c>
      <c r="O131" s="43" t="str">
        <f t="shared" si="123"/>
        <v/>
      </c>
    </row>
    <row r="132" spans="1:15" x14ac:dyDescent="0.45">
      <c r="D132" s="27">
        <f t="shared" si="124"/>
        <v>0</v>
      </c>
      <c r="E132" s="28">
        <f t="shared" si="125"/>
        <v>0</v>
      </c>
      <c r="F132" s="42">
        <f t="shared" si="126"/>
        <v>-3.3333333333333333E-2</v>
      </c>
      <c r="G132" s="42">
        <f t="shared" si="127"/>
        <v>-0.23333333333333334</v>
      </c>
      <c r="H132" s="42">
        <f t="shared" si="128"/>
        <v>-0.36666666666666664</v>
      </c>
      <c r="I132" s="42">
        <f t="shared" si="129"/>
        <v>-0.43333333333333335</v>
      </c>
      <c r="J132" s="42">
        <f t="shared" si="130"/>
        <v>-0.56666666666666665</v>
      </c>
      <c r="K132" s="42">
        <f t="shared" si="131"/>
        <v>-0.6333333333333333</v>
      </c>
      <c r="L132" s="42">
        <f t="shared" si="132"/>
        <v>-0.76666666666666672</v>
      </c>
      <c r="M132" s="42">
        <f t="shared" si="133"/>
        <v>-0.96666666666666667</v>
      </c>
      <c r="O132" s="43" t="str">
        <f t="shared" si="123"/>
        <v/>
      </c>
    </row>
    <row r="133" spans="1:15" x14ac:dyDescent="0.45">
      <c r="D133" s="27">
        <f t="shared" si="124"/>
        <v>0</v>
      </c>
      <c r="E133" s="28">
        <f t="shared" si="125"/>
        <v>0</v>
      </c>
      <c r="F133" s="42">
        <f t="shared" si="126"/>
        <v>-3.3333333333333333E-2</v>
      </c>
      <c r="G133" s="42">
        <f t="shared" si="127"/>
        <v>-0.23333333333333334</v>
      </c>
      <c r="H133" s="42">
        <f t="shared" si="128"/>
        <v>-0.36666666666666664</v>
      </c>
      <c r="I133" s="42">
        <f t="shared" si="129"/>
        <v>-0.43333333333333335</v>
      </c>
      <c r="J133" s="42">
        <f t="shared" si="130"/>
        <v>-0.56666666666666665</v>
      </c>
      <c r="K133" s="42">
        <f t="shared" si="131"/>
        <v>-0.6333333333333333</v>
      </c>
      <c r="L133" s="42">
        <f t="shared" si="132"/>
        <v>-0.76666666666666672</v>
      </c>
      <c r="M133" s="42">
        <f t="shared" si="133"/>
        <v>-0.96666666666666667</v>
      </c>
      <c r="O133" s="43" t="str">
        <f t="shared" si="123"/>
        <v/>
      </c>
    </row>
    <row r="134" spans="1:15" x14ac:dyDescent="0.45">
      <c r="D134" s="27">
        <f t="shared" si="124"/>
        <v>0</v>
      </c>
      <c r="E134" s="28">
        <f t="shared" si="125"/>
        <v>0</v>
      </c>
      <c r="F134" s="42">
        <f t="shared" si="126"/>
        <v>-3.3333333333333333E-2</v>
      </c>
      <c r="G134" s="42">
        <f t="shared" si="127"/>
        <v>-0.23333333333333334</v>
      </c>
      <c r="H134" s="42">
        <f t="shared" si="128"/>
        <v>-0.36666666666666664</v>
      </c>
      <c r="I134" s="42">
        <f t="shared" si="129"/>
        <v>-0.43333333333333335</v>
      </c>
      <c r="J134" s="42">
        <f t="shared" si="130"/>
        <v>-0.56666666666666665</v>
      </c>
      <c r="K134" s="42">
        <f t="shared" si="131"/>
        <v>-0.6333333333333333</v>
      </c>
      <c r="L134" s="42">
        <f t="shared" si="132"/>
        <v>-0.76666666666666672</v>
      </c>
      <c r="M134" s="42">
        <f t="shared" si="133"/>
        <v>-0.96666666666666667</v>
      </c>
      <c r="O134" s="43" t="str">
        <f t="shared" si="123"/>
        <v/>
      </c>
    </row>
    <row r="135" spans="1:15" ht="19.2" thickBot="1" x14ac:dyDescent="0.5">
      <c r="F135" s="42"/>
      <c r="G135" s="42"/>
      <c r="H135" s="42"/>
      <c r="I135" s="42"/>
      <c r="J135" s="42"/>
      <c r="K135" s="42"/>
      <c r="L135" s="42"/>
      <c r="M135" s="42"/>
    </row>
    <row r="136" spans="1:15" ht="19.2" thickBot="1" x14ac:dyDescent="0.5">
      <c r="C136" s="44"/>
      <c r="E136" s="34">
        <f>E117</f>
        <v>0</v>
      </c>
      <c r="F136" s="45">
        <v>1</v>
      </c>
      <c r="G136" s="46">
        <v>7</v>
      </c>
      <c r="H136" s="46">
        <v>11</v>
      </c>
      <c r="I136" s="46">
        <v>13</v>
      </c>
      <c r="J136" s="46">
        <v>17</v>
      </c>
      <c r="K136" s="46">
        <v>19</v>
      </c>
      <c r="L136" s="46">
        <v>23</v>
      </c>
      <c r="M136" s="47">
        <v>29</v>
      </c>
      <c r="O136" s="27" t="s">
        <v>2</v>
      </c>
    </row>
    <row r="137" spans="1:15" x14ac:dyDescent="0.45">
      <c r="A137" s="29">
        <v>13</v>
      </c>
      <c r="D137" s="27">
        <f>C127</f>
        <v>0</v>
      </c>
      <c r="E137" s="28">
        <f>D137*$E$6</f>
        <v>0</v>
      </c>
      <c r="F137" s="42">
        <f>(E137-1)/30</f>
        <v>-3.3333333333333333E-2</v>
      </c>
      <c r="G137" s="42">
        <f>($E137-7)/30</f>
        <v>-0.23333333333333334</v>
      </c>
      <c r="H137" s="42">
        <f>($E137-11)/30</f>
        <v>-0.36666666666666664</v>
      </c>
      <c r="I137" s="42">
        <f>($E137-13)/30</f>
        <v>-0.43333333333333335</v>
      </c>
      <c r="J137" s="42">
        <f>($E137-17)/30</f>
        <v>-0.56666666666666665</v>
      </c>
      <c r="K137" s="42">
        <f>($E137-19)/30</f>
        <v>-0.6333333333333333</v>
      </c>
      <c r="L137" s="42">
        <f>($E137-23)/30</f>
        <v>-0.76666666666666672</v>
      </c>
      <c r="M137" s="42">
        <f>($E137-29)/30</f>
        <v>-0.96666666666666667</v>
      </c>
      <c r="O137" s="43" t="str">
        <f t="shared" ref="O137:O144" si="134">FactorNumber(E137)</f>
        <v/>
      </c>
    </row>
    <row r="138" spans="1:15" x14ac:dyDescent="0.45">
      <c r="D138" s="27">
        <f t="shared" ref="D138:D144" si="135">C128</f>
        <v>0</v>
      </c>
      <c r="E138" s="28">
        <f t="shared" ref="E138:E144" si="136">D138*$E$6</f>
        <v>0</v>
      </c>
      <c r="F138" s="42">
        <f t="shared" ref="F138:F144" si="137">(E138-1)/30</f>
        <v>-3.3333333333333333E-2</v>
      </c>
      <c r="G138" s="42">
        <f t="shared" ref="G138:G144" si="138">($E138-7)/30</f>
        <v>-0.23333333333333334</v>
      </c>
      <c r="H138" s="42">
        <f t="shared" ref="H138:H144" si="139">($E138-11)/30</f>
        <v>-0.36666666666666664</v>
      </c>
      <c r="I138" s="42">
        <f t="shared" ref="I138:I144" si="140">($E138-13)/30</f>
        <v>-0.43333333333333335</v>
      </c>
      <c r="J138" s="42">
        <f t="shared" ref="J138:J144" si="141">($E138-17)/30</f>
        <v>-0.56666666666666665</v>
      </c>
      <c r="K138" s="42">
        <f t="shared" ref="K138:K144" si="142">($E138-19)/30</f>
        <v>-0.6333333333333333</v>
      </c>
      <c r="L138" s="42">
        <f t="shared" ref="L138:L144" si="143">($E138-23)/30</f>
        <v>-0.76666666666666672</v>
      </c>
      <c r="M138" s="42">
        <f t="shared" ref="M138:M144" si="144">($E138-29)/30</f>
        <v>-0.96666666666666667</v>
      </c>
      <c r="O138" s="43" t="str">
        <f t="shared" si="134"/>
        <v/>
      </c>
    </row>
    <row r="139" spans="1:15" x14ac:dyDescent="0.45">
      <c r="D139" s="27">
        <f t="shared" si="135"/>
        <v>0</v>
      </c>
      <c r="E139" s="28">
        <f t="shared" si="136"/>
        <v>0</v>
      </c>
      <c r="F139" s="42">
        <f t="shared" si="137"/>
        <v>-3.3333333333333333E-2</v>
      </c>
      <c r="G139" s="42">
        <f t="shared" si="138"/>
        <v>-0.23333333333333334</v>
      </c>
      <c r="H139" s="42">
        <f t="shared" si="139"/>
        <v>-0.36666666666666664</v>
      </c>
      <c r="I139" s="42">
        <f t="shared" si="140"/>
        <v>-0.43333333333333335</v>
      </c>
      <c r="J139" s="42">
        <f t="shared" si="141"/>
        <v>-0.56666666666666665</v>
      </c>
      <c r="K139" s="42">
        <f t="shared" si="142"/>
        <v>-0.6333333333333333</v>
      </c>
      <c r="L139" s="42">
        <f t="shared" si="143"/>
        <v>-0.76666666666666672</v>
      </c>
      <c r="M139" s="42">
        <f t="shared" si="144"/>
        <v>-0.96666666666666667</v>
      </c>
      <c r="O139" s="43" t="str">
        <f t="shared" si="134"/>
        <v/>
      </c>
    </row>
    <row r="140" spans="1:15" x14ac:dyDescent="0.45">
      <c r="D140" s="27">
        <f t="shared" si="135"/>
        <v>0</v>
      </c>
      <c r="E140" s="28">
        <f t="shared" si="136"/>
        <v>0</v>
      </c>
      <c r="F140" s="42">
        <f t="shared" si="137"/>
        <v>-3.3333333333333333E-2</v>
      </c>
      <c r="G140" s="42">
        <f t="shared" si="138"/>
        <v>-0.23333333333333334</v>
      </c>
      <c r="H140" s="42">
        <f t="shared" si="139"/>
        <v>-0.36666666666666664</v>
      </c>
      <c r="I140" s="42">
        <f t="shared" si="140"/>
        <v>-0.43333333333333335</v>
      </c>
      <c r="J140" s="42">
        <f t="shared" si="141"/>
        <v>-0.56666666666666665</v>
      </c>
      <c r="K140" s="42">
        <f t="shared" si="142"/>
        <v>-0.6333333333333333</v>
      </c>
      <c r="L140" s="42">
        <f t="shared" si="143"/>
        <v>-0.76666666666666672</v>
      </c>
      <c r="M140" s="42">
        <f t="shared" si="144"/>
        <v>-0.96666666666666667</v>
      </c>
      <c r="O140" s="43" t="str">
        <f t="shared" si="134"/>
        <v/>
      </c>
    </row>
    <row r="141" spans="1:15" x14ac:dyDescent="0.45">
      <c r="D141" s="27">
        <f t="shared" si="135"/>
        <v>0</v>
      </c>
      <c r="E141" s="28">
        <f t="shared" si="136"/>
        <v>0</v>
      </c>
      <c r="F141" s="42">
        <f t="shared" si="137"/>
        <v>-3.3333333333333333E-2</v>
      </c>
      <c r="G141" s="42">
        <f t="shared" si="138"/>
        <v>-0.23333333333333334</v>
      </c>
      <c r="H141" s="42">
        <f t="shared" si="139"/>
        <v>-0.36666666666666664</v>
      </c>
      <c r="I141" s="42">
        <f t="shared" si="140"/>
        <v>-0.43333333333333335</v>
      </c>
      <c r="J141" s="42">
        <f t="shared" si="141"/>
        <v>-0.56666666666666665</v>
      </c>
      <c r="K141" s="42">
        <f t="shared" si="142"/>
        <v>-0.6333333333333333</v>
      </c>
      <c r="L141" s="42">
        <f t="shared" si="143"/>
        <v>-0.76666666666666672</v>
      </c>
      <c r="M141" s="42">
        <f t="shared" si="144"/>
        <v>-0.96666666666666667</v>
      </c>
      <c r="O141" s="43" t="str">
        <f t="shared" si="134"/>
        <v/>
      </c>
    </row>
    <row r="142" spans="1:15" x14ac:dyDescent="0.45">
      <c r="D142" s="27">
        <f t="shared" si="135"/>
        <v>0</v>
      </c>
      <c r="E142" s="28">
        <f t="shared" si="136"/>
        <v>0</v>
      </c>
      <c r="F142" s="42">
        <f t="shared" si="137"/>
        <v>-3.3333333333333333E-2</v>
      </c>
      <c r="G142" s="42">
        <f t="shared" si="138"/>
        <v>-0.23333333333333334</v>
      </c>
      <c r="H142" s="42">
        <f t="shared" si="139"/>
        <v>-0.36666666666666664</v>
      </c>
      <c r="I142" s="42">
        <f t="shared" si="140"/>
        <v>-0.43333333333333335</v>
      </c>
      <c r="J142" s="42">
        <f t="shared" si="141"/>
        <v>-0.56666666666666665</v>
      </c>
      <c r="K142" s="42">
        <f t="shared" si="142"/>
        <v>-0.6333333333333333</v>
      </c>
      <c r="L142" s="42">
        <f t="shared" si="143"/>
        <v>-0.76666666666666672</v>
      </c>
      <c r="M142" s="42">
        <f t="shared" si="144"/>
        <v>-0.96666666666666667</v>
      </c>
      <c r="O142" s="43" t="str">
        <f t="shared" si="134"/>
        <v/>
      </c>
    </row>
    <row r="143" spans="1:15" x14ac:dyDescent="0.45">
      <c r="D143" s="27">
        <f t="shared" si="135"/>
        <v>0</v>
      </c>
      <c r="E143" s="28">
        <f t="shared" si="136"/>
        <v>0</v>
      </c>
      <c r="F143" s="42">
        <f t="shared" si="137"/>
        <v>-3.3333333333333333E-2</v>
      </c>
      <c r="G143" s="42">
        <f t="shared" si="138"/>
        <v>-0.23333333333333334</v>
      </c>
      <c r="H143" s="42">
        <f t="shared" si="139"/>
        <v>-0.36666666666666664</v>
      </c>
      <c r="I143" s="42">
        <f t="shared" si="140"/>
        <v>-0.43333333333333335</v>
      </c>
      <c r="J143" s="42">
        <f t="shared" si="141"/>
        <v>-0.56666666666666665</v>
      </c>
      <c r="K143" s="42">
        <f t="shared" si="142"/>
        <v>-0.6333333333333333</v>
      </c>
      <c r="L143" s="42">
        <f t="shared" si="143"/>
        <v>-0.76666666666666672</v>
      </c>
      <c r="M143" s="42">
        <f t="shared" si="144"/>
        <v>-0.96666666666666667</v>
      </c>
      <c r="O143" s="43" t="str">
        <f t="shared" si="134"/>
        <v/>
      </c>
    </row>
    <row r="144" spans="1:15" x14ac:dyDescent="0.45">
      <c r="D144" s="27">
        <f t="shared" si="135"/>
        <v>0</v>
      </c>
      <c r="E144" s="28">
        <f t="shared" si="136"/>
        <v>0</v>
      </c>
      <c r="F144" s="42">
        <f t="shared" si="137"/>
        <v>-3.3333333333333333E-2</v>
      </c>
      <c r="G144" s="42">
        <f t="shared" si="138"/>
        <v>-0.23333333333333334</v>
      </c>
      <c r="H144" s="42">
        <f t="shared" si="139"/>
        <v>-0.36666666666666664</v>
      </c>
      <c r="I144" s="42">
        <f t="shared" si="140"/>
        <v>-0.43333333333333335</v>
      </c>
      <c r="J144" s="42">
        <f t="shared" si="141"/>
        <v>-0.56666666666666665</v>
      </c>
      <c r="K144" s="42">
        <f t="shared" si="142"/>
        <v>-0.6333333333333333</v>
      </c>
      <c r="L144" s="42">
        <f t="shared" si="143"/>
        <v>-0.76666666666666672</v>
      </c>
      <c r="M144" s="42">
        <f t="shared" si="144"/>
        <v>-0.96666666666666667</v>
      </c>
      <c r="O144" s="43" t="str">
        <f t="shared" si="134"/>
        <v/>
      </c>
    </row>
    <row r="145" spans="1:15" ht="19.2" thickBot="1" x14ac:dyDescent="0.5">
      <c r="F145" s="42"/>
      <c r="G145" s="42"/>
      <c r="H145" s="42"/>
      <c r="I145" s="42"/>
      <c r="J145" s="42"/>
      <c r="K145" s="42"/>
      <c r="L145" s="42"/>
      <c r="M145" s="42"/>
    </row>
    <row r="146" spans="1:15" ht="19.2" thickBot="1" x14ac:dyDescent="0.5">
      <c r="C146" s="44"/>
      <c r="E146" s="34">
        <f>E127</f>
        <v>0</v>
      </c>
      <c r="F146" s="45">
        <v>1</v>
      </c>
      <c r="G146" s="46">
        <v>7</v>
      </c>
      <c r="H146" s="46">
        <v>11</v>
      </c>
      <c r="I146" s="46">
        <v>13</v>
      </c>
      <c r="J146" s="46">
        <v>17</v>
      </c>
      <c r="K146" s="46">
        <v>19</v>
      </c>
      <c r="L146" s="46">
        <v>23</v>
      </c>
      <c r="M146" s="47">
        <v>29</v>
      </c>
      <c r="O146" s="27" t="s">
        <v>2</v>
      </c>
    </row>
    <row r="147" spans="1:15" x14ac:dyDescent="0.45">
      <c r="A147" s="29">
        <v>14</v>
      </c>
      <c r="D147" s="27">
        <f>C137</f>
        <v>0</v>
      </c>
      <c r="E147" s="28">
        <f>D147*$E$6</f>
        <v>0</v>
      </c>
      <c r="F147" s="42">
        <f>(E147-1)/30</f>
        <v>-3.3333333333333333E-2</v>
      </c>
      <c r="G147" s="42">
        <f>($E147-7)/30</f>
        <v>-0.23333333333333334</v>
      </c>
      <c r="H147" s="42">
        <f>($E147-11)/30</f>
        <v>-0.36666666666666664</v>
      </c>
      <c r="I147" s="42">
        <f>($E147-13)/30</f>
        <v>-0.43333333333333335</v>
      </c>
      <c r="J147" s="42">
        <f>($E147-17)/30</f>
        <v>-0.56666666666666665</v>
      </c>
      <c r="K147" s="42">
        <f>($E147-19)/30</f>
        <v>-0.6333333333333333</v>
      </c>
      <c r="L147" s="42">
        <f>($E147-23)/30</f>
        <v>-0.76666666666666672</v>
      </c>
      <c r="M147" s="42">
        <f>($E147-29)/30</f>
        <v>-0.96666666666666667</v>
      </c>
      <c r="O147" s="43" t="str">
        <f t="shared" ref="O147:O154" si="145">FactorNumber(E147)</f>
        <v/>
      </c>
    </row>
    <row r="148" spans="1:15" x14ac:dyDescent="0.45">
      <c r="D148" s="27">
        <f t="shared" ref="D148:D154" si="146">C138</f>
        <v>0</v>
      </c>
      <c r="E148" s="28">
        <f t="shared" ref="E148:E154" si="147">D148*$E$6</f>
        <v>0</v>
      </c>
      <c r="F148" s="42">
        <f t="shared" ref="F148:F154" si="148">(E148-1)/30</f>
        <v>-3.3333333333333333E-2</v>
      </c>
      <c r="G148" s="42">
        <f t="shared" ref="G148:G154" si="149">($E148-7)/30</f>
        <v>-0.23333333333333334</v>
      </c>
      <c r="H148" s="42">
        <f t="shared" ref="H148:H154" si="150">($E148-11)/30</f>
        <v>-0.36666666666666664</v>
      </c>
      <c r="I148" s="42">
        <f t="shared" ref="I148:I154" si="151">($E148-13)/30</f>
        <v>-0.43333333333333335</v>
      </c>
      <c r="J148" s="42">
        <f t="shared" ref="J148:J154" si="152">($E148-17)/30</f>
        <v>-0.56666666666666665</v>
      </c>
      <c r="K148" s="42">
        <f t="shared" ref="K148:K154" si="153">($E148-19)/30</f>
        <v>-0.6333333333333333</v>
      </c>
      <c r="L148" s="42">
        <f t="shared" ref="L148:L154" si="154">($E148-23)/30</f>
        <v>-0.76666666666666672</v>
      </c>
      <c r="M148" s="42">
        <f t="shared" ref="M148:M154" si="155">($E148-29)/30</f>
        <v>-0.96666666666666667</v>
      </c>
      <c r="O148" s="43" t="str">
        <f t="shared" si="145"/>
        <v/>
      </c>
    </row>
    <row r="149" spans="1:15" x14ac:dyDescent="0.45">
      <c r="D149" s="27">
        <f t="shared" si="146"/>
        <v>0</v>
      </c>
      <c r="E149" s="28">
        <f t="shared" si="147"/>
        <v>0</v>
      </c>
      <c r="F149" s="42">
        <f t="shared" si="148"/>
        <v>-3.3333333333333333E-2</v>
      </c>
      <c r="G149" s="42">
        <f t="shared" si="149"/>
        <v>-0.23333333333333334</v>
      </c>
      <c r="H149" s="42">
        <f t="shared" si="150"/>
        <v>-0.36666666666666664</v>
      </c>
      <c r="I149" s="42">
        <f t="shared" si="151"/>
        <v>-0.43333333333333335</v>
      </c>
      <c r="J149" s="42">
        <f t="shared" si="152"/>
        <v>-0.56666666666666665</v>
      </c>
      <c r="K149" s="42">
        <f t="shared" si="153"/>
        <v>-0.6333333333333333</v>
      </c>
      <c r="L149" s="42">
        <f t="shared" si="154"/>
        <v>-0.76666666666666672</v>
      </c>
      <c r="M149" s="42">
        <f t="shared" si="155"/>
        <v>-0.96666666666666667</v>
      </c>
      <c r="O149" s="43" t="str">
        <f t="shared" si="145"/>
        <v/>
      </c>
    </row>
    <row r="150" spans="1:15" x14ac:dyDescent="0.45">
      <c r="D150" s="27">
        <f t="shared" si="146"/>
        <v>0</v>
      </c>
      <c r="E150" s="28">
        <f t="shared" si="147"/>
        <v>0</v>
      </c>
      <c r="F150" s="42">
        <f t="shared" si="148"/>
        <v>-3.3333333333333333E-2</v>
      </c>
      <c r="G150" s="42">
        <f t="shared" si="149"/>
        <v>-0.23333333333333334</v>
      </c>
      <c r="H150" s="42">
        <f t="shared" si="150"/>
        <v>-0.36666666666666664</v>
      </c>
      <c r="I150" s="42">
        <f t="shared" si="151"/>
        <v>-0.43333333333333335</v>
      </c>
      <c r="J150" s="42">
        <f t="shared" si="152"/>
        <v>-0.56666666666666665</v>
      </c>
      <c r="K150" s="42">
        <f t="shared" si="153"/>
        <v>-0.6333333333333333</v>
      </c>
      <c r="L150" s="42">
        <f t="shared" si="154"/>
        <v>-0.76666666666666672</v>
      </c>
      <c r="M150" s="42">
        <f t="shared" si="155"/>
        <v>-0.96666666666666667</v>
      </c>
      <c r="O150" s="43" t="str">
        <f t="shared" si="145"/>
        <v/>
      </c>
    </row>
    <row r="151" spans="1:15" x14ac:dyDescent="0.45">
      <c r="D151" s="27">
        <f t="shared" si="146"/>
        <v>0</v>
      </c>
      <c r="E151" s="28">
        <f t="shared" si="147"/>
        <v>0</v>
      </c>
      <c r="F151" s="42">
        <f t="shared" si="148"/>
        <v>-3.3333333333333333E-2</v>
      </c>
      <c r="G151" s="42">
        <f t="shared" si="149"/>
        <v>-0.23333333333333334</v>
      </c>
      <c r="H151" s="42">
        <f t="shared" si="150"/>
        <v>-0.36666666666666664</v>
      </c>
      <c r="I151" s="42">
        <f t="shared" si="151"/>
        <v>-0.43333333333333335</v>
      </c>
      <c r="J151" s="42">
        <f t="shared" si="152"/>
        <v>-0.56666666666666665</v>
      </c>
      <c r="K151" s="42">
        <f t="shared" si="153"/>
        <v>-0.6333333333333333</v>
      </c>
      <c r="L151" s="42">
        <f t="shared" si="154"/>
        <v>-0.76666666666666672</v>
      </c>
      <c r="M151" s="42">
        <f t="shared" si="155"/>
        <v>-0.96666666666666667</v>
      </c>
      <c r="O151" s="43" t="str">
        <f t="shared" si="145"/>
        <v/>
      </c>
    </row>
    <row r="152" spans="1:15" x14ac:dyDescent="0.45">
      <c r="D152" s="27">
        <f t="shared" si="146"/>
        <v>0</v>
      </c>
      <c r="E152" s="28">
        <f t="shared" si="147"/>
        <v>0</v>
      </c>
      <c r="F152" s="42">
        <f t="shared" si="148"/>
        <v>-3.3333333333333333E-2</v>
      </c>
      <c r="G152" s="42">
        <f t="shared" si="149"/>
        <v>-0.23333333333333334</v>
      </c>
      <c r="H152" s="42">
        <f t="shared" si="150"/>
        <v>-0.36666666666666664</v>
      </c>
      <c r="I152" s="42">
        <f t="shared" si="151"/>
        <v>-0.43333333333333335</v>
      </c>
      <c r="J152" s="42">
        <f t="shared" si="152"/>
        <v>-0.56666666666666665</v>
      </c>
      <c r="K152" s="42">
        <f t="shared" si="153"/>
        <v>-0.6333333333333333</v>
      </c>
      <c r="L152" s="42">
        <f t="shared" si="154"/>
        <v>-0.76666666666666672</v>
      </c>
      <c r="M152" s="42">
        <f t="shared" si="155"/>
        <v>-0.96666666666666667</v>
      </c>
      <c r="O152" s="43" t="str">
        <f t="shared" si="145"/>
        <v/>
      </c>
    </row>
    <row r="153" spans="1:15" x14ac:dyDescent="0.45">
      <c r="D153" s="27">
        <f t="shared" si="146"/>
        <v>0</v>
      </c>
      <c r="E153" s="28">
        <f t="shared" si="147"/>
        <v>0</v>
      </c>
      <c r="F153" s="42">
        <f t="shared" si="148"/>
        <v>-3.3333333333333333E-2</v>
      </c>
      <c r="G153" s="42">
        <f t="shared" si="149"/>
        <v>-0.23333333333333334</v>
      </c>
      <c r="H153" s="42">
        <f t="shared" si="150"/>
        <v>-0.36666666666666664</v>
      </c>
      <c r="I153" s="42">
        <f t="shared" si="151"/>
        <v>-0.43333333333333335</v>
      </c>
      <c r="J153" s="42">
        <f t="shared" si="152"/>
        <v>-0.56666666666666665</v>
      </c>
      <c r="K153" s="42">
        <f t="shared" si="153"/>
        <v>-0.6333333333333333</v>
      </c>
      <c r="L153" s="42">
        <f t="shared" si="154"/>
        <v>-0.76666666666666672</v>
      </c>
      <c r="M153" s="42">
        <f t="shared" si="155"/>
        <v>-0.96666666666666667</v>
      </c>
      <c r="O153" s="43" t="str">
        <f t="shared" si="145"/>
        <v/>
      </c>
    </row>
    <row r="154" spans="1:15" x14ac:dyDescent="0.45">
      <c r="D154" s="27">
        <f t="shared" si="146"/>
        <v>0</v>
      </c>
      <c r="E154" s="28">
        <f t="shared" si="147"/>
        <v>0</v>
      </c>
      <c r="F154" s="42">
        <f t="shared" si="148"/>
        <v>-3.3333333333333333E-2</v>
      </c>
      <c r="G154" s="42">
        <f t="shared" si="149"/>
        <v>-0.23333333333333334</v>
      </c>
      <c r="H154" s="42">
        <f t="shared" si="150"/>
        <v>-0.36666666666666664</v>
      </c>
      <c r="I154" s="42">
        <f t="shared" si="151"/>
        <v>-0.43333333333333335</v>
      </c>
      <c r="J154" s="42">
        <f t="shared" si="152"/>
        <v>-0.56666666666666665</v>
      </c>
      <c r="K154" s="42">
        <f t="shared" si="153"/>
        <v>-0.6333333333333333</v>
      </c>
      <c r="L154" s="42">
        <f t="shared" si="154"/>
        <v>-0.76666666666666672</v>
      </c>
      <c r="M154" s="42">
        <f t="shared" si="155"/>
        <v>-0.96666666666666667</v>
      </c>
      <c r="O154" s="43" t="str">
        <f t="shared" si="145"/>
        <v/>
      </c>
    </row>
    <row r="155" spans="1:15" ht="19.2" thickBot="1" x14ac:dyDescent="0.5">
      <c r="F155" s="42"/>
      <c r="G155" s="42"/>
      <c r="H155" s="42"/>
      <c r="I155" s="42"/>
      <c r="J155" s="42"/>
      <c r="K155" s="42"/>
      <c r="L155" s="42"/>
      <c r="M155" s="42"/>
    </row>
    <row r="156" spans="1:15" ht="19.2" thickBot="1" x14ac:dyDescent="0.5">
      <c r="C156" s="44"/>
      <c r="E156" s="34">
        <f>E137</f>
        <v>0</v>
      </c>
      <c r="F156" s="45">
        <v>1</v>
      </c>
      <c r="G156" s="46">
        <v>7</v>
      </c>
      <c r="H156" s="46">
        <v>11</v>
      </c>
      <c r="I156" s="46">
        <v>13</v>
      </c>
      <c r="J156" s="46">
        <v>17</v>
      </c>
      <c r="K156" s="46">
        <v>19</v>
      </c>
      <c r="L156" s="46">
        <v>23</v>
      </c>
      <c r="M156" s="47">
        <v>29</v>
      </c>
      <c r="O156" s="27" t="s">
        <v>2</v>
      </c>
    </row>
    <row r="157" spans="1:15" x14ac:dyDescent="0.45">
      <c r="A157" s="29">
        <v>15</v>
      </c>
      <c r="D157" s="27">
        <f>C147</f>
        <v>0</v>
      </c>
      <c r="E157" s="28">
        <f>D157*$E$6</f>
        <v>0</v>
      </c>
      <c r="F157" s="42">
        <f>(E157-1)/30</f>
        <v>-3.3333333333333333E-2</v>
      </c>
      <c r="G157" s="42">
        <f>($E157-7)/30</f>
        <v>-0.23333333333333334</v>
      </c>
      <c r="H157" s="42">
        <f>($E157-11)/30</f>
        <v>-0.36666666666666664</v>
      </c>
      <c r="I157" s="42">
        <f>($E157-13)/30</f>
        <v>-0.43333333333333335</v>
      </c>
      <c r="J157" s="42">
        <f>($E157-17)/30</f>
        <v>-0.56666666666666665</v>
      </c>
      <c r="K157" s="42">
        <f>($E157-19)/30</f>
        <v>-0.6333333333333333</v>
      </c>
      <c r="L157" s="42">
        <f>($E157-23)/30</f>
        <v>-0.76666666666666672</v>
      </c>
      <c r="M157" s="42">
        <f>($E157-29)/30</f>
        <v>-0.96666666666666667</v>
      </c>
      <c r="O157" s="43" t="str">
        <f t="shared" ref="O157:O164" si="156">FactorNumber(E157)</f>
        <v/>
      </c>
    </row>
    <row r="158" spans="1:15" x14ac:dyDescent="0.45">
      <c r="D158" s="27">
        <f t="shared" ref="D158:D164" si="157">C148</f>
        <v>0</v>
      </c>
      <c r="E158" s="28">
        <f t="shared" ref="E158:E164" si="158">D158*$E$6</f>
        <v>0</v>
      </c>
      <c r="F158" s="42">
        <f t="shared" ref="F158:F164" si="159">(E158-1)/30</f>
        <v>-3.3333333333333333E-2</v>
      </c>
      <c r="G158" s="42">
        <f t="shared" ref="G158:G164" si="160">($E158-7)/30</f>
        <v>-0.23333333333333334</v>
      </c>
      <c r="H158" s="42">
        <f t="shared" ref="H158:H164" si="161">($E158-11)/30</f>
        <v>-0.36666666666666664</v>
      </c>
      <c r="I158" s="42">
        <f t="shared" ref="I158:I164" si="162">($E158-13)/30</f>
        <v>-0.43333333333333335</v>
      </c>
      <c r="J158" s="42">
        <f t="shared" ref="J158:J164" si="163">($E158-17)/30</f>
        <v>-0.56666666666666665</v>
      </c>
      <c r="K158" s="42">
        <f t="shared" ref="K158:K164" si="164">($E158-19)/30</f>
        <v>-0.6333333333333333</v>
      </c>
      <c r="L158" s="42">
        <f t="shared" ref="L158:L164" si="165">($E158-23)/30</f>
        <v>-0.76666666666666672</v>
      </c>
      <c r="M158" s="42">
        <f t="shared" ref="M158:M164" si="166">($E158-29)/30</f>
        <v>-0.96666666666666667</v>
      </c>
      <c r="O158" s="43" t="str">
        <f t="shared" si="156"/>
        <v/>
      </c>
    </row>
    <row r="159" spans="1:15" x14ac:dyDescent="0.45">
      <c r="D159" s="27">
        <f t="shared" si="157"/>
        <v>0</v>
      </c>
      <c r="E159" s="28">
        <f t="shared" si="158"/>
        <v>0</v>
      </c>
      <c r="F159" s="42">
        <f t="shared" si="159"/>
        <v>-3.3333333333333333E-2</v>
      </c>
      <c r="G159" s="42">
        <f t="shared" si="160"/>
        <v>-0.23333333333333334</v>
      </c>
      <c r="H159" s="42">
        <f t="shared" si="161"/>
        <v>-0.36666666666666664</v>
      </c>
      <c r="I159" s="42">
        <f t="shared" si="162"/>
        <v>-0.43333333333333335</v>
      </c>
      <c r="J159" s="42">
        <f t="shared" si="163"/>
        <v>-0.56666666666666665</v>
      </c>
      <c r="K159" s="42">
        <f t="shared" si="164"/>
        <v>-0.6333333333333333</v>
      </c>
      <c r="L159" s="42">
        <f t="shared" si="165"/>
        <v>-0.76666666666666672</v>
      </c>
      <c r="M159" s="42">
        <f t="shared" si="166"/>
        <v>-0.96666666666666667</v>
      </c>
      <c r="O159" s="43" t="str">
        <f t="shared" si="156"/>
        <v/>
      </c>
    </row>
    <row r="160" spans="1:15" x14ac:dyDescent="0.45">
      <c r="D160" s="27">
        <f t="shared" si="157"/>
        <v>0</v>
      </c>
      <c r="E160" s="28">
        <f t="shared" si="158"/>
        <v>0</v>
      </c>
      <c r="F160" s="42">
        <f t="shared" si="159"/>
        <v>-3.3333333333333333E-2</v>
      </c>
      <c r="G160" s="42">
        <f t="shared" si="160"/>
        <v>-0.23333333333333334</v>
      </c>
      <c r="H160" s="42">
        <f t="shared" si="161"/>
        <v>-0.36666666666666664</v>
      </c>
      <c r="I160" s="42">
        <f t="shared" si="162"/>
        <v>-0.43333333333333335</v>
      </c>
      <c r="J160" s="42">
        <f t="shared" si="163"/>
        <v>-0.56666666666666665</v>
      </c>
      <c r="K160" s="42">
        <f t="shared" si="164"/>
        <v>-0.6333333333333333</v>
      </c>
      <c r="L160" s="42">
        <f t="shared" si="165"/>
        <v>-0.76666666666666672</v>
      </c>
      <c r="M160" s="42">
        <f t="shared" si="166"/>
        <v>-0.96666666666666667</v>
      </c>
      <c r="O160" s="43" t="str">
        <f t="shared" si="156"/>
        <v/>
      </c>
    </row>
    <row r="161" spans="1:15" x14ac:dyDescent="0.45">
      <c r="D161" s="27">
        <f t="shared" si="157"/>
        <v>0</v>
      </c>
      <c r="E161" s="28">
        <f t="shared" si="158"/>
        <v>0</v>
      </c>
      <c r="F161" s="42">
        <f t="shared" si="159"/>
        <v>-3.3333333333333333E-2</v>
      </c>
      <c r="G161" s="42">
        <f t="shared" si="160"/>
        <v>-0.23333333333333334</v>
      </c>
      <c r="H161" s="42">
        <f t="shared" si="161"/>
        <v>-0.36666666666666664</v>
      </c>
      <c r="I161" s="42">
        <f t="shared" si="162"/>
        <v>-0.43333333333333335</v>
      </c>
      <c r="J161" s="42">
        <f t="shared" si="163"/>
        <v>-0.56666666666666665</v>
      </c>
      <c r="K161" s="42">
        <f t="shared" si="164"/>
        <v>-0.6333333333333333</v>
      </c>
      <c r="L161" s="42">
        <f t="shared" si="165"/>
        <v>-0.76666666666666672</v>
      </c>
      <c r="M161" s="42">
        <f t="shared" si="166"/>
        <v>-0.96666666666666667</v>
      </c>
      <c r="O161" s="43" t="str">
        <f t="shared" si="156"/>
        <v/>
      </c>
    </row>
    <row r="162" spans="1:15" x14ac:dyDescent="0.45">
      <c r="D162" s="27">
        <f t="shared" si="157"/>
        <v>0</v>
      </c>
      <c r="E162" s="28">
        <f t="shared" si="158"/>
        <v>0</v>
      </c>
      <c r="F162" s="42">
        <f t="shared" si="159"/>
        <v>-3.3333333333333333E-2</v>
      </c>
      <c r="G162" s="42">
        <f t="shared" si="160"/>
        <v>-0.23333333333333334</v>
      </c>
      <c r="H162" s="42">
        <f t="shared" si="161"/>
        <v>-0.36666666666666664</v>
      </c>
      <c r="I162" s="42">
        <f t="shared" si="162"/>
        <v>-0.43333333333333335</v>
      </c>
      <c r="J162" s="42">
        <f t="shared" si="163"/>
        <v>-0.56666666666666665</v>
      </c>
      <c r="K162" s="42">
        <f t="shared" si="164"/>
        <v>-0.6333333333333333</v>
      </c>
      <c r="L162" s="42">
        <f t="shared" si="165"/>
        <v>-0.76666666666666672</v>
      </c>
      <c r="M162" s="42">
        <f t="shared" si="166"/>
        <v>-0.96666666666666667</v>
      </c>
      <c r="O162" s="43" t="str">
        <f t="shared" si="156"/>
        <v/>
      </c>
    </row>
    <row r="163" spans="1:15" x14ac:dyDescent="0.45">
      <c r="D163" s="27">
        <f t="shared" si="157"/>
        <v>0</v>
      </c>
      <c r="E163" s="28">
        <f t="shared" si="158"/>
        <v>0</v>
      </c>
      <c r="F163" s="42">
        <f t="shared" si="159"/>
        <v>-3.3333333333333333E-2</v>
      </c>
      <c r="G163" s="42">
        <f t="shared" si="160"/>
        <v>-0.23333333333333334</v>
      </c>
      <c r="H163" s="42">
        <f t="shared" si="161"/>
        <v>-0.36666666666666664</v>
      </c>
      <c r="I163" s="42">
        <f t="shared" si="162"/>
        <v>-0.43333333333333335</v>
      </c>
      <c r="J163" s="42">
        <f t="shared" si="163"/>
        <v>-0.56666666666666665</v>
      </c>
      <c r="K163" s="42">
        <f t="shared" si="164"/>
        <v>-0.6333333333333333</v>
      </c>
      <c r="L163" s="42">
        <f t="shared" si="165"/>
        <v>-0.76666666666666672</v>
      </c>
      <c r="M163" s="42">
        <f t="shared" si="166"/>
        <v>-0.96666666666666667</v>
      </c>
      <c r="O163" s="43" t="str">
        <f t="shared" si="156"/>
        <v/>
      </c>
    </row>
    <row r="164" spans="1:15" x14ac:dyDescent="0.45">
      <c r="D164" s="27">
        <f t="shared" si="157"/>
        <v>0</v>
      </c>
      <c r="E164" s="28">
        <f t="shared" si="158"/>
        <v>0</v>
      </c>
      <c r="F164" s="42">
        <f t="shared" si="159"/>
        <v>-3.3333333333333333E-2</v>
      </c>
      <c r="G164" s="42">
        <f t="shared" si="160"/>
        <v>-0.23333333333333334</v>
      </c>
      <c r="H164" s="42">
        <f t="shared" si="161"/>
        <v>-0.36666666666666664</v>
      </c>
      <c r="I164" s="42">
        <f t="shared" si="162"/>
        <v>-0.43333333333333335</v>
      </c>
      <c r="J164" s="42">
        <f t="shared" si="163"/>
        <v>-0.56666666666666665</v>
      </c>
      <c r="K164" s="42">
        <f t="shared" si="164"/>
        <v>-0.6333333333333333</v>
      </c>
      <c r="L164" s="42">
        <f t="shared" si="165"/>
        <v>-0.76666666666666672</v>
      </c>
      <c r="M164" s="42">
        <f t="shared" si="166"/>
        <v>-0.96666666666666667</v>
      </c>
      <c r="O164" s="43" t="str">
        <f t="shared" si="156"/>
        <v/>
      </c>
    </row>
    <row r="165" spans="1:15" ht="19.2" thickBot="1" x14ac:dyDescent="0.5">
      <c r="F165" s="42"/>
      <c r="G165" s="42"/>
      <c r="H165" s="42"/>
      <c r="I165" s="42"/>
      <c r="J165" s="42"/>
      <c r="K165" s="42"/>
      <c r="L165" s="42"/>
      <c r="M165" s="42"/>
    </row>
    <row r="166" spans="1:15" ht="19.2" thickBot="1" x14ac:dyDescent="0.5">
      <c r="C166" s="44"/>
      <c r="E166" s="34">
        <f>E147</f>
        <v>0</v>
      </c>
      <c r="F166" s="45">
        <v>1</v>
      </c>
      <c r="G166" s="46">
        <v>7</v>
      </c>
      <c r="H166" s="46">
        <v>11</v>
      </c>
      <c r="I166" s="46">
        <v>13</v>
      </c>
      <c r="J166" s="46">
        <v>17</v>
      </c>
      <c r="K166" s="46">
        <v>19</v>
      </c>
      <c r="L166" s="46">
        <v>23</v>
      </c>
      <c r="M166" s="47">
        <v>29</v>
      </c>
      <c r="O166" s="27" t="s">
        <v>2</v>
      </c>
    </row>
    <row r="167" spans="1:15" x14ac:dyDescent="0.45">
      <c r="A167" s="29">
        <v>16</v>
      </c>
      <c r="D167" s="27">
        <f>C157</f>
        <v>0</v>
      </c>
      <c r="E167" s="28">
        <f>D167*$E$6</f>
        <v>0</v>
      </c>
      <c r="F167" s="42">
        <f>(E167-1)/30</f>
        <v>-3.3333333333333333E-2</v>
      </c>
      <c r="G167" s="42">
        <f>($E167-7)/30</f>
        <v>-0.23333333333333334</v>
      </c>
      <c r="H167" s="42">
        <f>($E167-11)/30</f>
        <v>-0.36666666666666664</v>
      </c>
      <c r="I167" s="42">
        <f>($E167-13)/30</f>
        <v>-0.43333333333333335</v>
      </c>
      <c r="J167" s="42">
        <f>($E167-17)/30</f>
        <v>-0.56666666666666665</v>
      </c>
      <c r="K167" s="42">
        <f>($E167-19)/30</f>
        <v>-0.6333333333333333</v>
      </c>
      <c r="L167" s="42">
        <f>($E167-23)/30</f>
        <v>-0.76666666666666672</v>
      </c>
      <c r="M167" s="42">
        <f>($E167-29)/30</f>
        <v>-0.96666666666666667</v>
      </c>
      <c r="O167" s="43" t="str">
        <f t="shared" ref="O167:O174" si="167">FactorNumber(E167)</f>
        <v/>
      </c>
    </row>
    <row r="168" spans="1:15" x14ac:dyDescent="0.45">
      <c r="D168" s="27">
        <f t="shared" ref="D168:D174" si="168">C158</f>
        <v>0</v>
      </c>
      <c r="E168" s="28">
        <f t="shared" ref="E168:E174" si="169">D168*$E$6</f>
        <v>0</v>
      </c>
      <c r="F168" s="42">
        <f t="shared" ref="F168:F174" si="170">(E168-1)/30</f>
        <v>-3.3333333333333333E-2</v>
      </c>
      <c r="G168" s="42">
        <f t="shared" ref="G168:G174" si="171">($E168-7)/30</f>
        <v>-0.23333333333333334</v>
      </c>
      <c r="H168" s="42">
        <f t="shared" ref="H168:H174" si="172">($E168-11)/30</f>
        <v>-0.36666666666666664</v>
      </c>
      <c r="I168" s="42">
        <f t="shared" ref="I168:I174" si="173">($E168-13)/30</f>
        <v>-0.43333333333333335</v>
      </c>
      <c r="J168" s="42">
        <f t="shared" ref="J168:J174" si="174">($E168-17)/30</f>
        <v>-0.56666666666666665</v>
      </c>
      <c r="K168" s="42">
        <f t="shared" ref="K168:K174" si="175">($E168-19)/30</f>
        <v>-0.6333333333333333</v>
      </c>
      <c r="L168" s="42">
        <f t="shared" ref="L168:L174" si="176">($E168-23)/30</f>
        <v>-0.76666666666666672</v>
      </c>
      <c r="M168" s="42">
        <f t="shared" ref="M168:M174" si="177">($E168-29)/30</f>
        <v>-0.96666666666666667</v>
      </c>
      <c r="O168" s="43" t="str">
        <f t="shared" si="167"/>
        <v/>
      </c>
    </row>
    <row r="169" spans="1:15" x14ac:dyDescent="0.45">
      <c r="D169" s="27">
        <f t="shared" si="168"/>
        <v>0</v>
      </c>
      <c r="E169" s="28">
        <f t="shared" si="169"/>
        <v>0</v>
      </c>
      <c r="F169" s="42">
        <f t="shared" si="170"/>
        <v>-3.3333333333333333E-2</v>
      </c>
      <c r="G169" s="42">
        <f t="shared" si="171"/>
        <v>-0.23333333333333334</v>
      </c>
      <c r="H169" s="42">
        <f t="shared" si="172"/>
        <v>-0.36666666666666664</v>
      </c>
      <c r="I169" s="42">
        <f t="shared" si="173"/>
        <v>-0.43333333333333335</v>
      </c>
      <c r="J169" s="42">
        <f t="shared" si="174"/>
        <v>-0.56666666666666665</v>
      </c>
      <c r="K169" s="42">
        <f t="shared" si="175"/>
        <v>-0.6333333333333333</v>
      </c>
      <c r="L169" s="42">
        <f t="shared" si="176"/>
        <v>-0.76666666666666672</v>
      </c>
      <c r="M169" s="42">
        <f t="shared" si="177"/>
        <v>-0.96666666666666667</v>
      </c>
      <c r="O169" s="43" t="str">
        <f t="shared" si="167"/>
        <v/>
      </c>
    </row>
    <row r="170" spans="1:15" x14ac:dyDescent="0.45">
      <c r="D170" s="27">
        <f t="shared" si="168"/>
        <v>0</v>
      </c>
      <c r="E170" s="28">
        <f t="shared" si="169"/>
        <v>0</v>
      </c>
      <c r="F170" s="42">
        <f t="shared" si="170"/>
        <v>-3.3333333333333333E-2</v>
      </c>
      <c r="G170" s="42">
        <f t="shared" si="171"/>
        <v>-0.23333333333333334</v>
      </c>
      <c r="H170" s="42">
        <f t="shared" si="172"/>
        <v>-0.36666666666666664</v>
      </c>
      <c r="I170" s="42">
        <f t="shared" si="173"/>
        <v>-0.43333333333333335</v>
      </c>
      <c r="J170" s="42">
        <f t="shared" si="174"/>
        <v>-0.56666666666666665</v>
      </c>
      <c r="K170" s="42">
        <f t="shared" si="175"/>
        <v>-0.6333333333333333</v>
      </c>
      <c r="L170" s="42">
        <f t="shared" si="176"/>
        <v>-0.76666666666666672</v>
      </c>
      <c r="M170" s="42">
        <f t="shared" si="177"/>
        <v>-0.96666666666666667</v>
      </c>
      <c r="O170" s="43" t="str">
        <f t="shared" si="167"/>
        <v/>
      </c>
    </row>
    <row r="171" spans="1:15" x14ac:dyDescent="0.45">
      <c r="D171" s="27">
        <f t="shared" si="168"/>
        <v>0</v>
      </c>
      <c r="E171" s="28">
        <f t="shared" si="169"/>
        <v>0</v>
      </c>
      <c r="F171" s="42">
        <f t="shared" si="170"/>
        <v>-3.3333333333333333E-2</v>
      </c>
      <c r="G171" s="42">
        <f t="shared" si="171"/>
        <v>-0.23333333333333334</v>
      </c>
      <c r="H171" s="42">
        <f t="shared" si="172"/>
        <v>-0.36666666666666664</v>
      </c>
      <c r="I171" s="42">
        <f t="shared" si="173"/>
        <v>-0.43333333333333335</v>
      </c>
      <c r="J171" s="42">
        <f t="shared" si="174"/>
        <v>-0.56666666666666665</v>
      </c>
      <c r="K171" s="42">
        <f t="shared" si="175"/>
        <v>-0.6333333333333333</v>
      </c>
      <c r="L171" s="42">
        <f t="shared" si="176"/>
        <v>-0.76666666666666672</v>
      </c>
      <c r="M171" s="42">
        <f t="shared" si="177"/>
        <v>-0.96666666666666667</v>
      </c>
      <c r="O171" s="43" t="str">
        <f t="shared" si="167"/>
        <v/>
      </c>
    </row>
    <row r="172" spans="1:15" x14ac:dyDescent="0.45">
      <c r="D172" s="27">
        <f t="shared" si="168"/>
        <v>0</v>
      </c>
      <c r="E172" s="28">
        <f t="shared" si="169"/>
        <v>0</v>
      </c>
      <c r="F172" s="42">
        <f t="shared" si="170"/>
        <v>-3.3333333333333333E-2</v>
      </c>
      <c r="G172" s="42">
        <f t="shared" si="171"/>
        <v>-0.23333333333333334</v>
      </c>
      <c r="H172" s="42">
        <f t="shared" si="172"/>
        <v>-0.36666666666666664</v>
      </c>
      <c r="I172" s="42">
        <f t="shared" si="173"/>
        <v>-0.43333333333333335</v>
      </c>
      <c r="J172" s="42">
        <f t="shared" si="174"/>
        <v>-0.56666666666666665</v>
      </c>
      <c r="K172" s="42">
        <f t="shared" si="175"/>
        <v>-0.6333333333333333</v>
      </c>
      <c r="L172" s="42">
        <f t="shared" si="176"/>
        <v>-0.76666666666666672</v>
      </c>
      <c r="M172" s="42">
        <f t="shared" si="177"/>
        <v>-0.96666666666666667</v>
      </c>
      <c r="O172" s="43" t="str">
        <f t="shared" si="167"/>
        <v/>
      </c>
    </row>
    <row r="173" spans="1:15" x14ac:dyDescent="0.45">
      <c r="D173" s="27">
        <f t="shared" si="168"/>
        <v>0</v>
      </c>
      <c r="E173" s="28">
        <f t="shared" si="169"/>
        <v>0</v>
      </c>
      <c r="F173" s="42">
        <f t="shared" si="170"/>
        <v>-3.3333333333333333E-2</v>
      </c>
      <c r="G173" s="42">
        <f t="shared" si="171"/>
        <v>-0.23333333333333334</v>
      </c>
      <c r="H173" s="42">
        <f t="shared" si="172"/>
        <v>-0.36666666666666664</v>
      </c>
      <c r="I173" s="42">
        <f t="shared" si="173"/>
        <v>-0.43333333333333335</v>
      </c>
      <c r="J173" s="42">
        <f t="shared" si="174"/>
        <v>-0.56666666666666665</v>
      </c>
      <c r="K173" s="42">
        <f t="shared" si="175"/>
        <v>-0.6333333333333333</v>
      </c>
      <c r="L173" s="42">
        <f t="shared" si="176"/>
        <v>-0.76666666666666672</v>
      </c>
      <c r="M173" s="42">
        <f t="shared" si="177"/>
        <v>-0.96666666666666667</v>
      </c>
      <c r="O173" s="43" t="str">
        <f t="shared" si="167"/>
        <v/>
      </c>
    </row>
    <row r="174" spans="1:15" x14ac:dyDescent="0.45">
      <c r="D174" s="27">
        <f t="shared" si="168"/>
        <v>0</v>
      </c>
      <c r="E174" s="28">
        <f t="shared" si="169"/>
        <v>0</v>
      </c>
      <c r="F174" s="42">
        <f t="shared" si="170"/>
        <v>-3.3333333333333333E-2</v>
      </c>
      <c r="G174" s="42">
        <f t="shared" si="171"/>
        <v>-0.23333333333333334</v>
      </c>
      <c r="H174" s="42">
        <f t="shared" si="172"/>
        <v>-0.36666666666666664</v>
      </c>
      <c r="I174" s="42">
        <f t="shared" si="173"/>
        <v>-0.43333333333333335</v>
      </c>
      <c r="J174" s="42">
        <f t="shared" si="174"/>
        <v>-0.56666666666666665</v>
      </c>
      <c r="K174" s="42">
        <f t="shared" si="175"/>
        <v>-0.6333333333333333</v>
      </c>
      <c r="L174" s="42">
        <f t="shared" si="176"/>
        <v>-0.76666666666666672</v>
      </c>
      <c r="M174" s="42">
        <f t="shared" si="177"/>
        <v>-0.96666666666666667</v>
      </c>
      <c r="O174" s="43" t="str">
        <f t="shared" si="167"/>
        <v/>
      </c>
    </row>
    <row r="175" spans="1:15" ht="19.2" thickBot="1" x14ac:dyDescent="0.5">
      <c r="F175" s="42"/>
      <c r="G175" s="42"/>
      <c r="H175" s="42"/>
      <c r="I175" s="42"/>
      <c r="J175" s="42"/>
      <c r="K175" s="42"/>
      <c r="L175" s="42"/>
      <c r="M175" s="42"/>
    </row>
    <row r="176" spans="1:15" ht="19.2" thickBot="1" x14ac:dyDescent="0.5">
      <c r="C176" s="44"/>
      <c r="E176" s="34">
        <f>E157</f>
        <v>0</v>
      </c>
      <c r="F176" s="45">
        <v>1</v>
      </c>
      <c r="G176" s="46">
        <v>7</v>
      </c>
      <c r="H176" s="46">
        <v>11</v>
      </c>
      <c r="I176" s="46">
        <v>13</v>
      </c>
      <c r="J176" s="46">
        <v>17</v>
      </c>
      <c r="K176" s="46">
        <v>19</v>
      </c>
      <c r="L176" s="46">
        <v>23</v>
      </c>
      <c r="M176" s="47">
        <v>29</v>
      </c>
      <c r="O176" s="27" t="s">
        <v>2</v>
      </c>
    </row>
    <row r="177" spans="1:15" x14ac:dyDescent="0.45">
      <c r="A177" s="29">
        <v>17</v>
      </c>
      <c r="D177" s="27">
        <f>C167</f>
        <v>0</v>
      </c>
      <c r="E177" s="28">
        <f>D177*$E$6</f>
        <v>0</v>
      </c>
      <c r="F177" s="42">
        <f>(E177-1)/30</f>
        <v>-3.3333333333333333E-2</v>
      </c>
      <c r="G177" s="42">
        <f>($E177-7)/30</f>
        <v>-0.23333333333333334</v>
      </c>
      <c r="H177" s="42">
        <f>($E177-11)/30</f>
        <v>-0.36666666666666664</v>
      </c>
      <c r="I177" s="42">
        <f>($E177-13)/30</f>
        <v>-0.43333333333333335</v>
      </c>
      <c r="J177" s="42">
        <f>($E177-17)/30</f>
        <v>-0.56666666666666665</v>
      </c>
      <c r="K177" s="42">
        <f>($E177-19)/30</f>
        <v>-0.6333333333333333</v>
      </c>
      <c r="L177" s="42">
        <f>($E177-23)/30</f>
        <v>-0.76666666666666672</v>
      </c>
      <c r="M177" s="42">
        <f>($E177-29)/30</f>
        <v>-0.96666666666666667</v>
      </c>
      <c r="O177" s="43" t="str">
        <f t="shared" ref="O177:O184" si="178">FactorNumber(E177)</f>
        <v/>
      </c>
    </row>
    <row r="178" spans="1:15" x14ac:dyDescent="0.45">
      <c r="D178" s="27">
        <f t="shared" ref="D178:D184" si="179">C168</f>
        <v>0</v>
      </c>
      <c r="E178" s="28">
        <f t="shared" ref="E178:E184" si="180">D178*$E$6</f>
        <v>0</v>
      </c>
      <c r="F178" s="42">
        <f t="shared" ref="F178:F184" si="181">(E178-1)/30</f>
        <v>-3.3333333333333333E-2</v>
      </c>
      <c r="G178" s="42">
        <f t="shared" ref="G178:G184" si="182">($E178-7)/30</f>
        <v>-0.23333333333333334</v>
      </c>
      <c r="H178" s="42">
        <f t="shared" ref="H178:H184" si="183">($E178-11)/30</f>
        <v>-0.36666666666666664</v>
      </c>
      <c r="I178" s="42">
        <f t="shared" ref="I178:I184" si="184">($E178-13)/30</f>
        <v>-0.43333333333333335</v>
      </c>
      <c r="J178" s="42">
        <f t="shared" ref="J178:J184" si="185">($E178-17)/30</f>
        <v>-0.56666666666666665</v>
      </c>
      <c r="K178" s="42">
        <f t="shared" ref="K178:K184" si="186">($E178-19)/30</f>
        <v>-0.6333333333333333</v>
      </c>
      <c r="L178" s="42">
        <f t="shared" ref="L178:L184" si="187">($E178-23)/30</f>
        <v>-0.76666666666666672</v>
      </c>
      <c r="M178" s="42">
        <f t="shared" ref="M178:M184" si="188">($E178-29)/30</f>
        <v>-0.96666666666666667</v>
      </c>
      <c r="O178" s="43" t="str">
        <f t="shared" si="178"/>
        <v/>
      </c>
    </row>
    <row r="179" spans="1:15" x14ac:dyDescent="0.45">
      <c r="D179" s="27">
        <f t="shared" si="179"/>
        <v>0</v>
      </c>
      <c r="E179" s="28">
        <f t="shared" si="180"/>
        <v>0</v>
      </c>
      <c r="F179" s="42">
        <f t="shared" si="181"/>
        <v>-3.3333333333333333E-2</v>
      </c>
      <c r="G179" s="42">
        <f t="shared" si="182"/>
        <v>-0.23333333333333334</v>
      </c>
      <c r="H179" s="42">
        <f t="shared" si="183"/>
        <v>-0.36666666666666664</v>
      </c>
      <c r="I179" s="42">
        <f t="shared" si="184"/>
        <v>-0.43333333333333335</v>
      </c>
      <c r="J179" s="42">
        <f t="shared" si="185"/>
        <v>-0.56666666666666665</v>
      </c>
      <c r="K179" s="42">
        <f t="shared" si="186"/>
        <v>-0.6333333333333333</v>
      </c>
      <c r="L179" s="42">
        <f t="shared" si="187"/>
        <v>-0.76666666666666672</v>
      </c>
      <c r="M179" s="42">
        <f t="shared" si="188"/>
        <v>-0.96666666666666667</v>
      </c>
      <c r="O179" s="43" t="str">
        <f t="shared" si="178"/>
        <v/>
      </c>
    </row>
    <row r="180" spans="1:15" x14ac:dyDescent="0.45">
      <c r="D180" s="27">
        <f t="shared" si="179"/>
        <v>0</v>
      </c>
      <c r="E180" s="28">
        <f t="shared" si="180"/>
        <v>0</v>
      </c>
      <c r="F180" s="42">
        <f t="shared" si="181"/>
        <v>-3.3333333333333333E-2</v>
      </c>
      <c r="G180" s="42">
        <f t="shared" si="182"/>
        <v>-0.23333333333333334</v>
      </c>
      <c r="H180" s="42">
        <f t="shared" si="183"/>
        <v>-0.36666666666666664</v>
      </c>
      <c r="I180" s="42">
        <f t="shared" si="184"/>
        <v>-0.43333333333333335</v>
      </c>
      <c r="J180" s="42">
        <f t="shared" si="185"/>
        <v>-0.56666666666666665</v>
      </c>
      <c r="K180" s="42">
        <f t="shared" si="186"/>
        <v>-0.6333333333333333</v>
      </c>
      <c r="L180" s="42">
        <f t="shared" si="187"/>
        <v>-0.76666666666666672</v>
      </c>
      <c r="M180" s="42">
        <f t="shared" si="188"/>
        <v>-0.96666666666666667</v>
      </c>
      <c r="O180" s="43" t="str">
        <f t="shared" si="178"/>
        <v/>
      </c>
    </row>
    <row r="181" spans="1:15" x14ac:dyDescent="0.45">
      <c r="D181" s="27">
        <f t="shared" si="179"/>
        <v>0</v>
      </c>
      <c r="E181" s="28">
        <f t="shared" si="180"/>
        <v>0</v>
      </c>
      <c r="F181" s="42">
        <f t="shared" si="181"/>
        <v>-3.3333333333333333E-2</v>
      </c>
      <c r="G181" s="42">
        <f t="shared" si="182"/>
        <v>-0.23333333333333334</v>
      </c>
      <c r="H181" s="42">
        <f t="shared" si="183"/>
        <v>-0.36666666666666664</v>
      </c>
      <c r="I181" s="42">
        <f t="shared" si="184"/>
        <v>-0.43333333333333335</v>
      </c>
      <c r="J181" s="42">
        <f t="shared" si="185"/>
        <v>-0.56666666666666665</v>
      </c>
      <c r="K181" s="42">
        <f t="shared" si="186"/>
        <v>-0.6333333333333333</v>
      </c>
      <c r="L181" s="42">
        <f t="shared" si="187"/>
        <v>-0.76666666666666672</v>
      </c>
      <c r="M181" s="42">
        <f t="shared" si="188"/>
        <v>-0.96666666666666667</v>
      </c>
      <c r="O181" s="43" t="str">
        <f t="shared" si="178"/>
        <v/>
      </c>
    </row>
    <row r="182" spans="1:15" x14ac:dyDescent="0.45">
      <c r="D182" s="27">
        <f t="shared" si="179"/>
        <v>0</v>
      </c>
      <c r="E182" s="28">
        <f t="shared" si="180"/>
        <v>0</v>
      </c>
      <c r="F182" s="42">
        <f t="shared" si="181"/>
        <v>-3.3333333333333333E-2</v>
      </c>
      <c r="G182" s="42">
        <f t="shared" si="182"/>
        <v>-0.23333333333333334</v>
      </c>
      <c r="H182" s="42">
        <f t="shared" si="183"/>
        <v>-0.36666666666666664</v>
      </c>
      <c r="I182" s="42">
        <f t="shared" si="184"/>
        <v>-0.43333333333333335</v>
      </c>
      <c r="J182" s="42">
        <f t="shared" si="185"/>
        <v>-0.56666666666666665</v>
      </c>
      <c r="K182" s="42">
        <f t="shared" si="186"/>
        <v>-0.6333333333333333</v>
      </c>
      <c r="L182" s="42">
        <f t="shared" si="187"/>
        <v>-0.76666666666666672</v>
      </c>
      <c r="M182" s="42">
        <f t="shared" si="188"/>
        <v>-0.96666666666666667</v>
      </c>
      <c r="O182" s="43" t="str">
        <f t="shared" si="178"/>
        <v/>
      </c>
    </row>
    <row r="183" spans="1:15" x14ac:dyDescent="0.45">
      <c r="D183" s="27">
        <f t="shared" si="179"/>
        <v>0</v>
      </c>
      <c r="E183" s="28">
        <f t="shared" si="180"/>
        <v>0</v>
      </c>
      <c r="F183" s="42">
        <f t="shared" si="181"/>
        <v>-3.3333333333333333E-2</v>
      </c>
      <c r="G183" s="42">
        <f t="shared" si="182"/>
        <v>-0.23333333333333334</v>
      </c>
      <c r="H183" s="42">
        <f t="shared" si="183"/>
        <v>-0.36666666666666664</v>
      </c>
      <c r="I183" s="42">
        <f t="shared" si="184"/>
        <v>-0.43333333333333335</v>
      </c>
      <c r="J183" s="42">
        <f t="shared" si="185"/>
        <v>-0.56666666666666665</v>
      </c>
      <c r="K183" s="42">
        <f t="shared" si="186"/>
        <v>-0.6333333333333333</v>
      </c>
      <c r="L183" s="42">
        <f t="shared" si="187"/>
        <v>-0.76666666666666672</v>
      </c>
      <c r="M183" s="42">
        <f t="shared" si="188"/>
        <v>-0.96666666666666667</v>
      </c>
      <c r="O183" s="43" t="str">
        <f t="shared" si="178"/>
        <v/>
      </c>
    </row>
    <row r="184" spans="1:15" x14ac:dyDescent="0.45">
      <c r="D184" s="27">
        <f t="shared" si="179"/>
        <v>0</v>
      </c>
      <c r="E184" s="28">
        <f t="shared" si="180"/>
        <v>0</v>
      </c>
      <c r="F184" s="42">
        <f t="shared" si="181"/>
        <v>-3.3333333333333333E-2</v>
      </c>
      <c r="G184" s="42">
        <f t="shared" si="182"/>
        <v>-0.23333333333333334</v>
      </c>
      <c r="H184" s="42">
        <f t="shared" si="183"/>
        <v>-0.36666666666666664</v>
      </c>
      <c r="I184" s="42">
        <f t="shared" si="184"/>
        <v>-0.43333333333333335</v>
      </c>
      <c r="J184" s="42">
        <f t="shared" si="185"/>
        <v>-0.56666666666666665</v>
      </c>
      <c r="K184" s="42">
        <f t="shared" si="186"/>
        <v>-0.6333333333333333</v>
      </c>
      <c r="L184" s="42">
        <f t="shared" si="187"/>
        <v>-0.76666666666666672</v>
      </c>
      <c r="M184" s="42">
        <f t="shared" si="188"/>
        <v>-0.96666666666666667</v>
      </c>
      <c r="O184" s="43" t="str">
        <f t="shared" si="178"/>
        <v/>
      </c>
    </row>
    <row r="185" spans="1:15" ht="19.2" thickBot="1" x14ac:dyDescent="0.5">
      <c r="F185" s="42"/>
      <c r="G185" s="42"/>
      <c r="H185" s="42"/>
      <c r="I185" s="42"/>
      <c r="J185" s="42"/>
      <c r="K185" s="42"/>
      <c r="L185" s="42"/>
      <c r="M185" s="42"/>
    </row>
    <row r="186" spans="1:15" ht="19.2" thickBot="1" x14ac:dyDescent="0.5">
      <c r="C186" s="44"/>
      <c r="E186" s="34">
        <f>E167</f>
        <v>0</v>
      </c>
      <c r="F186" s="45">
        <v>1</v>
      </c>
      <c r="G186" s="46">
        <v>7</v>
      </c>
      <c r="H186" s="46">
        <v>11</v>
      </c>
      <c r="I186" s="46">
        <v>13</v>
      </c>
      <c r="J186" s="46">
        <v>17</v>
      </c>
      <c r="K186" s="46">
        <v>19</v>
      </c>
      <c r="L186" s="46">
        <v>23</v>
      </c>
      <c r="M186" s="47">
        <v>29</v>
      </c>
      <c r="O186" s="27" t="s">
        <v>2</v>
      </c>
    </row>
    <row r="187" spans="1:15" x14ac:dyDescent="0.45">
      <c r="A187" s="29">
        <v>18</v>
      </c>
      <c r="D187" s="27">
        <f>C177</f>
        <v>0</v>
      </c>
      <c r="E187" s="28">
        <f>D187*$E$6</f>
        <v>0</v>
      </c>
      <c r="F187" s="42">
        <f>(E187-1)/30</f>
        <v>-3.3333333333333333E-2</v>
      </c>
      <c r="G187" s="42">
        <f>($E187-7)/30</f>
        <v>-0.23333333333333334</v>
      </c>
      <c r="H187" s="42">
        <f>($E187-11)/30</f>
        <v>-0.36666666666666664</v>
      </c>
      <c r="I187" s="42">
        <f>($E187-13)/30</f>
        <v>-0.43333333333333335</v>
      </c>
      <c r="J187" s="42">
        <f>($E187-17)/30</f>
        <v>-0.56666666666666665</v>
      </c>
      <c r="K187" s="42">
        <f>($E187-19)/30</f>
        <v>-0.6333333333333333</v>
      </c>
      <c r="L187" s="42">
        <f>($E187-23)/30</f>
        <v>-0.76666666666666672</v>
      </c>
      <c r="M187" s="42">
        <f>($E187-29)/30</f>
        <v>-0.96666666666666667</v>
      </c>
      <c r="O187" s="43" t="str">
        <f t="shared" ref="O187:O194" si="189">FactorNumber(E187)</f>
        <v/>
      </c>
    </row>
    <row r="188" spans="1:15" x14ac:dyDescent="0.45">
      <c r="D188" s="27">
        <f t="shared" ref="D188:D194" si="190">C178</f>
        <v>0</v>
      </c>
      <c r="E188" s="28">
        <f t="shared" ref="E188:E194" si="191">D188*$E$6</f>
        <v>0</v>
      </c>
      <c r="F188" s="42">
        <f t="shared" ref="F188:F194" si="192">(E188-1)/30</f>
        <v>-3.3333333333333333E-2</v>
      </c>
      <c r="G188" s="42">
        <f t="shared" ref="G188:G194" si="193">($E188-7)/30</f>
        <v>-0.23333333333333334</v>
      </c>
      <c r="H188" s="42">
        <f t="shared" ref="H188:H194" si="194">($E188-11)/30</f>
        <v>-0.36666666666666664</v>
      </c>
      <c r="I188" s="42">
        <f t="shared" ref="I188:I194" si="195">($E188-13)/30</f>
        <v>-0.43333333333333335</v>
      </c>
      <c r="J188" s="42">
        <f t="shared" ref="J188:J194" si="196">($E188-17)/30</f>
        <v>-0.56666666666666665</v>
      </c>
      <c r="K188" s="42">
        <f t="shared" ref="K188:K194" si="197">($E188-19)/30</f>
        <v>-0.6333333333333333</v>
      </c>
      <c r="L188" s="42">
        <f t="shared" ref="L188:L194" si="198">($E188-23)/30</f>
        <v>-0.76666666666666672</v>
      </c>
      <c r="M188" s="42">
        <f t="shared" ref="M188:M194" si="199">($E188-29)/30</f>
        <v>-0.96666666666666667</v>
      </c>
      <c r="O188" s="43" t="str">
        <f t="shared" si="189"/>
        <v/>
      </c>
    </row>
    <row r="189" spans="1:15" x14ac:dyDescent="0.45">
      <c r="D189" s="27">
        <f t="shared" si="190"/>
        <v>0</v>
      </c>
      <c r="E189" s="28">
        <f t="shared" si="191"/>
        <v>0</v>
      </c>
      <c r="F189" s="42">
        <f t="shared" si="192"/>
        <v>-3.3333333333333333E-2</v>
      </c>
      <c r="G189" s="42">
        <f t="shared" si="193"/>
        <v>-0.23333333333333334</v>
      </c>
      <c r="H189" s="42">
        <f t="shared" si="194"/>
        <v>-0.36666666666666664</v>
      </c>
      <c r="I189" s="42">
        <f t="shared" si="195"/>
        <v>-0.43333333333333335</v>
      </c>
      <c r="J189" s="42">
        <f t="shared" si="196"/>
        <v>-0.56666666666666665</v>
      </c>
      <c r="K189" s="42">
        <f t="shared" si="197"/>
        <v>-0.6333333333333333</v>
      </c>
      <c r="L189" s="42">
        <f t="shared" si="198"/>
        <v>-0.76666666666666672</v>
      </c>
      <c r="M189" s="42">
        <f t="shared" si="199"/>
        <v>-0.96666666666666667</v>
      </c>
      <c r="O189" s="43" t="str">
        <f t="shared" si="189"/>
        <v/>
      </c>
    </row>
    <row r="190" spans="1:15" x14ac:dyDescent="0.45">
      <c r="D190" s="27">
        <f t="shared" si="190"/>
        <v>0</v>
      </c>
      <c r="E190" s="28">
        <f t="shared" si="191"/>
        <v>0</v>
      </c>
      <c r="F190" s="42">
        <f t="shared" si="192"/>
        <v>-3.3333333333333333E-2</v>
      </c>
      <c r="G190" s="42">
        <f t="shared" si="193"/>
        <v>-0.23333333333333334</v>
      </c>
      <c r="H190" s="42">
        <f t="shared" si="194"/>
        <v>-0.36666666666666664</v>
      </c>
      <c r="I190" s="42">
        <f t="shared" si="195"/>
        <v>-0.43333333333333335</v>
      </c>
      <c r="J190" s="42">
        <f t="shared" si="196"/>
        <v>-0.56666666666666665</v>
      </c>
      <c r="K190" s="42">
        <f t="shared" si="197"/>
        <v>-0.6333333333333333</v>
      </c>
      <c r="L190" s="42">
        <f t="shared" si="198"/>
        <v>-0.76666666666666672</v>
      </c>
      <c r="M190" s="42">
        <f t="shared" si="199"/>
        <v>-0.96666666666666667</v>
      </c>
      <c r="O190" s="43" t="str">
        <f t="shared" si="189"/>
        <v/>
      </c>
    </row>
    <row r="191" spans="1:15" x14ac:dyDescent="0.45">
      <c r="D191" s="27">
        <f t="shared" si="190"/>
        <v>0</v>
      </c>
      <c r="E191" s="28">
        <f t="shared" si="191"/>
        <v>0</v>
      </c>
      <c r="F191" s="42">
        <f t="shared" si="192"/>
        <v>-3.3333333333333333E-2</v>
      </c>
      <c r="G191" s="42">
        <f t="shared" si="193"/>
        <v>-0.23333333333333334</v>
      </c>
      <c r="H191" s="42">
        <f t="shared" si="194"/>
        <v>-0.36666666666666664</v>
      </c>
      <c r="I191" s="42">
        <f t="shared" si="195"/>
        <v>-0.43333333333333335</v>
      </c>
      <c r="J191" s="42">
        <f t="shared" si="196"/>
        <v>-0.56666666666666665</v>
      </c>
      <c r="K191" s="42">
        <f t="shared" si="197"/>
        <v>-0.6333333333333333</v>
      </c>
      <c r="L191" s="42">
        <f t="shared" si="198"/>
        <v>-0.76666666666666672</v>
      </c>
      <c r="M191" s="42">
        <f t="shared" si="199"/>
        <v>-0.96666666666666667</v>
      </c>
      <c r="O191" s="43" t="str">
        <f t="shared" si="189"/>
        <v/>
      </c>
    </row>
    <row r="192" spans="1:15" x14ac:dyDescent="0.45">
      <c r="D192" s="27">
        <f t="shared" si="190"/>
        <v>0</v>
      </c>
      <c r="E192" s="28">
        <f t="shared" si="191"/>
        <v>0</v>
      </c>
      <c r="F192" s="42">
        <f t="shared" si="192"/>
        <v>-3.3333333333333333E-2</v>
      </c>
      <c r="G192" s="42">
        <f t="shared" si="193"/>
        <v>-0.23333333333333334</v>
      </c>
      <c r="H192" s="42">
        <f t="shared" si="194"/>
        <v>-0.36666666666666664</v>
      </c>
      <c r="I192" s="42">
        <f t="shared" si="195"/>
        <v>-0.43333333333333335</v>
      </c>
      <c r="J192" s="42">
        <f t="shared" si="196"/>
        <v>-0.56666666666666665</v>
      </c>
      <c r="K192" s="42">
        <f t="shared" si="197"/>
        <v>-0.6333333333333333</v>
      </c>
      <c r="L192" s="42">
        <f t="shared" si="198"/>
        <v>-0.76666666666666672</v>
      </c>
      <c r="M192" s="42">
        <f t="shared" si="199"/>
        <v>-0.96666666666666667</v>
      </c>
      <c r="O192" s="43" t="str">
        <f t="shared" si="189"/>
        <v/>
      </c>
    </row>
    <row r="193" spans="1:15" x14ac:dyDescent="0.45">
      <c r="D193" s="27">
        <f t="shared" si="190"/>
        <v>0</v>
      </c>
      <c r="E193" s="28">
        <f t="shared" si="191"/>
        <v>0</v>
      </c>
      <c r="F193" s="42">
        <f t="shared" si="192"/>
        <v>-3.3333333333333333E-2</v>
      </c>
      <c r="G193" s="42">
        <f t="shared" si="193"/>
        <v>-0.23333333333333334</v>
      </c>
      <c r="H193" s="42">
        <f t="shared" si="194"/>
        <v>-0.36666666666666664</v>
      </c>
      <c r="I193" s="42">
        <f t="shared" si="195"/>
        <v>-0.43333333333333335</v>
      </c>
      <c r="J193" s="42">
        <f t="shared" si="196"/>
        <v>-0.56666666666666665</v>
      </c>
      <c r="K193" s="42">
        <f t="shared" si="197"/>
        <v>-0.6333333333333333</v>
      </c>
      <c r="L193" s="42">
        <f t="shared" si="198"/>
        <v>-0.76666666666666672</v>
      </c>
      <c r="M193" s="42">
        <f t="shared" si="199"/>
        <v>-0.96666666666666667</v>
      </c>
      <c r="O193" s="43" t="str">
        <f t="shared" si="189"/>
        <v/>
      </c>
    </row>
    <row r="194" spans="1:15" x14ac:dyDescent="0.45">
      <c r="D194" s="27">
        <f t="shared" si="190"/>
        <v>0</v>
      </c>
      <c r="E194" s="28">
        <f t="shared" si="191"/>
        <v>0</v>
      </c>
      <c r="F194" s="42">
        <f t="shared" si="192"/>
        <v>-3.3333333333333333E-2</v>
      </c>
      <c r="G194" s="42">
        <f t="shared" si="193"/>
        <v>-0.23333333333333334</v>
      </c>
      <c r="H194" s="42">
        <f t="shared" si="194"/>
        <v>-0.36666666666666664</v>
      </c>
      <c r="I194" s="42">
        <f t="shared" si="195"/>
        <v>-0.43333333333333335</v>
      </c>
      <c r="J194" s="42">
        <f t="shared" si="196"/>
        <v>-0.56666666666666665</v>
      </c>
      <c r="K194" s="42">
        <f t="shared" si="197"/>
        <v>-0.6333333333333333</v>
      </c>
      <c r="L194" s="42">
        <f t="shared" si="198"/>
        <v>-0.76666666666666672</v>
      </c>
      <c r="M194" s="42">
        <f t="shared" si="199"/>
        <v>-0.96666666666666667</v>
      </c>
      <c r="O194" s="43" t="str">
        <f t="shared" si="189"/>
        <v/>
      </c>
    </row>
    <row r="195" spans="1:15" ht="19.2" thickBot="1" x14ac:dyDescent="0.5">
      <c r="F195" s="42"/>
      <c r="G195" s="42"/>
      <c r="H195" s="42"/>
      <c r="I195" s="42"/>
      <c r="J195" s="42"/>
      <c r="K195" s="42"/>
      <c r="L195" s="42"/>
      <c r="M195" s="42"/>
    </row>
    <row r="196" spans="1:15" ht="19.2" thickBot="1" x14ac:dyDescent="0.5">
      <c r="C196" s="44"/>
      <c r="E196" s="34">
        <f>E177</f>
        <v>0</v>
      </c>
      <c r="F196" s="45">
        <v>1</v>
      </c>
      <c r="G196" s="46">
        <v>7</v>
      </c>
      <c r="H196" s="46">
        <v>11</v>
      </c>
      <c r="I196" s="46">
        <v>13</v>
      </c>
      <c r="J196" s="46">
        <v>17</v>
      </c>
      <c r="K196" s="46">
        <v>19</v>
      </c>
      <c r="L196" s="46">
        <v>23</v>
      </c>
      <c r="M196" s="47">
        <v>29</v>
      </c>
      <c r="O196" s="27" t="s">
        <v>2</v>
      </c>
    </row>
    <row r="197" spans="1:15" x14ac:dyDescent="0.45">
      <c r="A197" s="29">
        <v>19</v>
      </c>
      <c r="D197" s="27">
        <f>C187</f>
        <v>0</v>
      </c>
      <c r="E197" s="28">
        <f>D197*$E$6</f>
        <v>0</v>
      </c>
      <c r="F197" s="42">
        <f>(E197-1)/30</f>
        <v>-3.3333333333333333E-2</v>
      </c>
      <c r="G197" s="42">
        <f>($E197-7)/30</f>
        <v>-0.23333333333333334</v>
      </c>
      <c r="H197" s="42">
        <f>($E197-11)/30</f>
        <v>-0.36666666666666664</v>
      </c>
      <c r="I197" s="42">
        <f>($E197-13)/30</f>
        <v>-0.43333333333333335</v>
      </c>
      <c r="J197" s="42">
        <f>($E197-17)/30</f>
        <v>-0.56666666666666665</v>
      </c>
      <c r="K197" s="42">
        <f>($E197-19)/30</f>
        <v>-0.6333333333333333</v>
      </c>
      <c r="L197" s="42">
        <f>($E197-23)/30</f>
        <v>-0.76666666666666672</v>
      </c>
      <c r="M197" s="42">
        <f>($E197-29)/30</f>
        <v>-0.96666666666666667</v>
      </c>
      <c r="O197" s="43" t="str">
        <f t="shared" ref="O197:O204" si="200">FactorNumber(E197)</f>
        <v/>
      </c>
    </row>
    <row r="198" spans="1:15" x14ac:dyDescent="0.45">
      <c r="D198" s="27">
        <f t="shared" ref="D198:D204" si="201">C188</f>
        <v>0</v>
      </c>
      <c r="E198" s="28">
        <f t="shared" ref="E198:E204" si="202">D198*$E$6</f>
        <v>0</v>
      </c>
      <c r="F198" s="42">
        <f t="shared" ref="F198:F204" si="203">(E198-1)/30</f>
        <v>-3.3333333333333333E-2</v>
      </c>
      <c r="G198" s="42">
        <f t="shared" ref="G198:G204" si="204">($E198-7)/30</f>
        <v>-0.23333333333333334</v>
      </c>
      <c r="H198" s="42">
        <f t="shared" ref="H198:H204" si="205">($E198-11)/30</f>
        <v>-0.36666666666666664</v>
      </c>
      <c r="I198" s="42">
        <f t="shared" ref="I198:I204" si="206">($E198-13)/30</f>
        <v>-0.43333333333333335</v>
      </c>
      <c r="J198" s="42">
        <f t="shared" ref="J198:J204" si="207">($E198-17)/30</f>
        <v>-0.56666666666666665</v>
      </c>
      <c r="K198" s="42">
        <f t="shared" ref="K198:K204" si="208">($E198-19)/30</f>
        <v>-0.6333333333333333</v>
      </c>
      <c r="L198" s="42">
        <f t="shared" ref="L198:L204" si="209">($E198-23)/30</f>
        <v>-0.76666666666666672</v>
      </c>
      <c r="M198" s="42">
        <f t="shared" ref="M198:M204" si="210">($E198-29)/30</f>
        <v>-0.96666666666666667</v>
      </c>
      <c r="O198" s="43" t="str">
        <f t="shared" si="200"/>
        <v/>
      </c>
    </row>
    <row r="199" spans="1:15" x14ac:dyDescent="0.45">
      <c r="D199" s="27">
        <f t="shared" si="201"/>
        <v>0</v>
      </c>
      <c r="E199" s="28">
        <f t="shared" si="202"/>
        <v>0</v>
      </c>
      <c r="F199" s="42">
        <f t="shared" si="203"/>
        <v>-3.3333333333333333E-2</v>
      </c>
      <c r="G199" s="42">
        <f t="shared" si="204"/>
        <v>-0.23333333333333334</v>
      </c>
      <c r="H199" s="42">
        <f t="shared" si="205"/>
        <v>-0.36666666666666664</v>
      </c>
      <c r="I199" s="42">
        <f t="shared" si="206"/>
        <v>-0.43333333333333335</v>
      </c>
      <c r="J199" s="42">
        <f t="shared" si="207"/>
        <v>-0.56666666666666665</v>
      </c>
      <c r="K199" s="42">
        <f t="shared" si="208"/>
        <v>-0.6333333333333333</v>
      </c>
      <c r="L199" s="42">
        <f t="shared" si="209"/>
        <v>-0.76666666666666672</v>
      </c>
      <c r="M199" s="42">
        <f t="shared" si="210"/>
        <v>-0.96666666666666667</v>
      </c>
      <c r="O199" s="43" t="str">
        <f t="shared" si="200"/>
        <v/>
      </c>
    </row>
    <row r="200" spans="1:15" x14ac:dyDescent="0.45">
      <c r="D200" s="27">
        <f t="shared" si="201"/>
        <v>0</v>
      </c>
      <c r="E200" s="28">
        <f t="shared" si="202"/>
        <v>0</v>
      </c>
      <c r="F200" s="42">
        <f t="shared" si="203"/>
        <v>-3.3333333333333333E-2</v>
      </c>
      <c r="G200" s="42">
        <f t="shared" si="204"/>
        <v>-0.23333333333333334</v>
      </c>
      <c r="H200" s="42">
        <f t="shared" si="205"/>
        <v>-0.36666666666666664</v>
      </c>
      <c r="I200" s="42">
        <f t="shared" si="206"/>
        <v>-0.43333333333333335</v>
      </c>
      <c r="J200" s="42">
        <f t="shared" si="207"/>
        <v>-0.56666666666666665</v>
      </c>
      <c r="K200" s="42">
        <f t="shared" si="208"/>
        <v>-0.6333333333333333</v>
      </c>
      <c r="L200" s="42">
        <f t="shared" si="209"/>
        <v>-0.76666666666666672</v>
      </c>
      <c r="M200" s="42">
        <f t="shared" si="210"/>
        <v>-0.96666666666666667</v>
      </c>
      <c r="O200" s="43" t="str">
        <f t="shared" si="200"/>
        <v/>
      </c>
    </row>
    <row r="201" spans="1:15" x14ac:dyDescent="0.45">
      <c r="D201" s="27">
        <f t="shared" si="201"/>
        <v>0</v>
      </c>
      <c r="E201" s="28">
        <f t="shared" si="202"/>
        <v>0</v>
      </c>
      <c r="F201" s="42">
        <f t="shared" si="203"/>
        <v>-3.3333333333333333E-2</v>
      </c>
      <c r="G201" s="42">
        <f t="shared" si="204"/>
        <v>-0.23333333333333334</v>
      </c>
      <c r="H201" s="42">
        <f t="shared" si="205"/>
        <v>-0.36666666666666664</v>
      </c>
      <c r="I201" s="42">
        <f t="shared" si="206"/>
        <v>-0.43333333333333335</v>
      </c>
      <c r="J201" s="42">
        <f t="shared" si="207"/>
        <v>-0.56666666666666665</v>
      </c>
      <c r="K201" s="42">
        <f t="shared" si="208"/>
        <v>-0.6333333333333333</v>
      </c>
      <c r="L201" s="42">
        <f t="shared" si="209"/>
        <v>-0.76666666666666672</v>
      </c>
      <c r="M201" s="42">
        <f t="shared" si="210"/>
        <v>-0.96666666666666667</v>
      </c>
      <c r="O201" s="43" t="str">
        <f t="shared" si="200"/>
        <v/>
      </c>
    </row>
    <row r="202" spans="1:15" x14ac:dyDescent="0.45">
      <c r="D202" s="27">
        <f t="shared" si="201"/>
        <v>0</v>
      </c>
      <c r="E202" s="28">
        <f t="shared" si="202"/>
        <v>0</v>
      </c>
      <c r="F202" s="42">
        <f t="shared" si="203"/>
        <v>-3.3333333333333333E-2</v>
      </c>
      <c r="G202" s="42">
        <f t="shared" si="204"/>
        <v>-0.23333333333333334</v>
      </c>
      <c r="H202" s="42">
        <f t="shared" si="205"/>
        <v>-0.36666666666666664</v>
      </c>
      <c r="I202" s="42">
        <f t="shared" si="206"/>
        <v>-0.43333333333333335</v>
      </c>
      <c r="J202" s="42">
        <f t="shared" si="207"/>
        <v>-0.56666666666666665</v>
      </c>
      <c r="K202" s="42">
        <f t="shared" si="208"/>
        <v>-0.6333333333333333</v>
      </c>
      <c r="L202" s="42">
        <f t="shared" si="209"/>
        <v>-0.76666666666666672</v>
      </c>
      <c r="M202" s="42">
        <f t="shared" si="210"/>
        <v>-0.96666666666666667</v>
      </c>
      <c r="O202" s="43" t="str">
        <f t="shared" si="200"/>
        <v/>
      </c>
    </row>
    <row r="203" spans="1:15" x14ac:dyDescent="0.45">
      <c r="D203" s="27">
        <f t="shared" si="201"/>
        <v>0</v>
      </c>
      <c r="E203" s="28">
        <f t="shared" si="202"/>
        <v>0</v>
      </c>
      <c r="F203" s="42">
        <f t="shared" si="203"/>
        <v>-3.3333333333333333E-2</v>
      </c>
      <c r="G203" s="42">
        <f t="shared" si="204"/>
        <v>-0.23333333333333334</v>
      </c>
      <c r="H203" s="42">
        <f t="shared" si="205"/>
        <v>-0.36666666666666664</v>
      </c>
      <c r="I203" s="42">
        <f t="shared" si="206"/>
        <v>-0.43333333333333335</v>
      </c>
      <c r="J203" s="42">
        <f t="shared" si="207"/>
        <v>-0.56666666666666665</v>
      </c>
      <c r="K203" s="42">
        <f t="shared" si="208"/>
        <v>-0.6333333333333333</v>
      </c>
      <c r="L203" s="42">
        <f t="shared" si="209"/>
        <v>-0.76666666666666672</v>
      </c>
      <c r="M203" s="42">
        <f t="shared" si="210"/>
        <v>-0.96666666666666667</v>
      </c>
      <c r="O203" s="43" t="str">
        <f t="shared" si="200"/>
        <v/>
      </c>
    </row>
    <row r="204" spans="1:15" x14ac:dyDescent="0.45">
      <c r="D204" s="27">
        <f t="shared" si="201"/>
        <v>0</v>
      </c>
      <c r="E204" s="28">
        <f t="shared" si="202"/>
        <v>0</v>
      </c>
      <c r="F204" s="42">
        <f t="shared" si="203"/>
        <v>-3.3333333333333333E-2</v>
      </c>
      <c r="G204" s="42">
        <f t="shared" si="204"/>
        <v>-0.23333333333333334</v>
      </c>
      <c r="H204" s="42">
        <f t="shared" si="205"/>
        <v>-0.36666666666666664</v>
      </c>
      <c r="I204" s="42">
        <f t="shared" si="206"/>
        <v>-0.43333333333333335</v>
      </c>
      <c r="J204" s="42">
        <f t="shared" si="207"/>
        <v>-0.56666666666666665</v>
      </c>
      <c r="K204" s="42">
        <f t="shared" si="208"/>
        <v>-0.6333333333333333</v>
      </c>
      <c r="L204" s="42">
        <f t="shared" si="209"/>
        <v>-0.76666666666666672</v>
      </c>
      <c r="M204" s="42">
        <f t="shared" si="210"/>
        <v>-0.96666666666666667</v>
      </c>
      <c r="O204" s="43" t="str">
        <f t="shared" si="200"/>
        <v/>
      </c>
    </row>
    <row r="205" spans="1:15" ht="19.2" thickBot="1" x14ac:dyDescent="0.5">
      <c r="F205" s="42"/>
      <c r="G205" s="42"/>
      <c r="H205" s="42"/>
      <c r="I205" s="42"/>
      <c r="J205" s="42"/>
      <c r="K205" s="42"/>
      <c r="L205" s="42"/>
      <c r="M205" s="42"/>
    </row>
    <row r="206" spans="1:15" ht="19.2" thickBot="1" x14ac:dyDescent="0.5">
      <c r="C206" s="44"/>
      <c r="E206" s="34">
        <f>E187</f>
        <v>0</v>
      </c>
      <c r="F206" s="45">
        <v>1</v>
      </c>
      <c r="G206" s="46">
        <v>7</v>
      </c>
      <c r="H206" s="46">
        <v>11</v>
      </c>
      <c r="I206" s="46">
        <v>13</v>
      </c>
      <c r="J206" s="46">
        <v>17</v>
      </c>
      <c r="K206" s="46">
        <v>19</v>
      </c>
      <c r="L206" s="46">
        <v>23</v>
      </c>
      <c r="M206" s="47">
        <v>29</v>
      </c>
      <c r="O206" s="27" t="s">
        <v>2</v>
      </c>
    </row>
    <row r="207" spans="1:15" x14ac:dyDescent="0.45">
      <c r="A207" s="29">
        <v>20</v>
      </c>
      <c r="D207" s="27">
        <f>C197</f>
        <v>0</v>
      </c>
      <c r="E207" s="28">
        <f>D207*$E$6</f>
        <v>0</v>
      </c>
      <c r="F207" s="42">
        <f>(E207-1)/30</f>
        <v>-3.3333333333333333E-2</v>
      </c>
      <c r="G207" s="42">
        <f>($E207-7)/30</f>
        <v>-0.23333333333333334</v>
      </c>
      <c r="H207" s="42">
        <f>($E207-11)/30</f>
        <v>-0.36666666666666664</v>
      </c>
      <c r="I207" s="42">
        <f>($E207-13)/30</f>
        <v>-0.43333333333333335</v>
      </c>
      <c r="J207" s="42">
        <f>($E207-17)/30</f>
        <v>-0.56666666666666665</v>
      </c>
      <c r="K207" s="42">
        <f>($E207-19)/30</f>
        <v>-0.6333333333333333</v>
      </c>
      <c r="L207" s="42">
        <f>($E207-23)/30</f>
        <v>-0.76666666666666672</v>
      </c>
      <c r="M207" s="42">
        <f>($E207-29)/30</f>
        <v>-0.96666666666666667</v>
      </c>
      <c r="O207" s="43" t="str">
        <f t="shared" ref="O207:O214" si="211">FactorNumber(E207)</f>
        <v/>
      </c>
    </row>
    <row r="208" spans="1:15" x14ac:dyDescent="0.45">
      <c r="D208" s="27">
        <f t="shared" ref="D208:D214" si="212">C198</f>
        <v>0</v>
      </c>
      <c r="E208" s="28">
        <f t="shared" ref="E208:E214" si="213">D208*$E$6</f>
        <v>0</v>
      </c>
      <c r="F208" s="42">
        <f t="shared" ref="F208:F214" si="214">(E208-1)/30</f>
        <v>-3.3333333333333333E-2</v>
      </c>
      <c r="G208" s="42">
        <f t="shared" ref="G208:G214" si="215">($E208-7)/30</f>
        <v>-0.23333333333333334</v>
      </c>
      <c r="H208" s="42">
        <f t="shared" ref="H208:H214" si="216">($E208-11)/30</f>
        <v>-0.36666666666666664</v>
      </c>
      <c r="I208" s="42">
        <f t="shared" ref="I208:I214" si="217">($E208-13)/30</f>
        <v>-0.43333333333333335</v>
      </c>
      <c r="J208" s="42">
        <f t="shared" ref="J208:J214" si="218">($E208-17)/30</f>
        <v>-0.56666666666666665</v>
      </c>
      <c r="K208" s="42">
        <f t="shared" ref="K208:K214" si="219">($E208-19)/30</f>
        <v>-0.6333333333333333</v>
      </c>
      <c r="L208" s="42">
        <f t="shared" ref="L208:L214" si="220">($E208-23)/30</f>
        <v>-0.76666666666666672</v>
      </c>
      <c r="M208" s="42">
        <f t="shared" ref="M208:M214" si="221">($E208-29)/30</f>
        <v>-0.96666666666666667</v>
      </c>
      <c r="O208" s="43" t="str">
        <f t="shared" si="211"/>
        <v/>
      </c>
    </row>
    <row r="209" spans="1:15" x14ac:dyDescent="0.45">
      <c r="D209" s="27">
        <f t="shared" si="212"/>
        <v>0</v>
      </c>
      <c r="E209" s="28">
        <f t="shared" si="213"/>
        <v>0</v>
      </c>
      <c r="F209" s="42">
        <f t="shared" si="214"/>
        <v>-3.3333333333333333E-2</v>
      </c>
      <c r="G209" s="42">
        <f t="shared" si="215"/>
        <v>-0.23333333333333334</v>
      </c>
      <c r="H209" s="42">
        <f t="shared" si="216"/>
        <v>-0.36666666666666664</v>
      </c>
      <c r="I209" s="42">
        <f t="shared" si="217"/>
        <v>-0.43333333333333335</v>
      </c>
      <c r="J209" s="42">
        <f t="shared" si="218"/>
        <v>-0.56666666666666665</v>
      </c>
      <c r="K209" s="42">
        <f t="shared" si="219"/>
        <v>-0.6333333333333333</v>
      </c>
      <c r="L209" s="42">
        <f t="shared" si="220"/>
        <v>-0.76666666666666672</v>
      </c>
      <c r="M209" s="42">
        <f t="shared" si="221"/>
        <v>-0.96666666666666667</v>
      </c>
      <c r="O209" s="43" t="str">
        <f t="shared" si="211"/>
        <v/>
      </c>
    </row>
    <row r="210" spans="1:15" x14ac:dyDescent="0.45">
      <c r="D210" s="27">
        <f t="shared" si="212"/>
        <v>0</v>
      </c>
      <c r="E210" s="28">
        <f t="shared" si="213"/>
        <v>0</v>
      </c>
      <c r="F210" s="42">
        <f t="shared" si="214"/>
        <v>-3.3333333333333333E-2</v>
      </c>
      <c r="G210" s="42">
        <f t="shared" si="215"/>
        <v>-0.23333333333333334</v>
      </c>
      <c r="H210" s="42">
        <f t="shared" si="216"/>
        <v>-0.36666666666666664</v>
      </c>
      <c r="I210" s="42">
        <f t="shared" si="217"/>
        <v>-0.43333333333333335</v>
      </c>
      <c r="J210" s="42">
        <f t="shared" si="218"/>
        <v>-0.56666666666666665</v>
      </c>
      <c r="K210" s="42">
        <f t="shared" si="219"/>
        <v>-0.6333333333333333</v>
      </c>
      <c r="L210" s="42">
        <f t="shared" si="220"/>
        <v>-0.76666666666666672</v>
      </c>
      <c r="M210" s="42">
        <f t="shared" si="221"/>
        <v>-0.96666666666666667</v>
      </c>
      <c r="O210" s="43" t="str">
        <f t="shared" si="211"/>
        <v/>
      </c>
    </row>
    <row r="211" spans="1:15" x14ac:dyDescent="0.45">
      <c r="D211" s="27">
        <f t="shared" si="212"/>
        <v>0</v>
      </c>
      <c r="E211" s="28">
        <f t="shared" si="213"/>
        <v>0</v>
      </c>
      <c r="F211" s="42">
        <f t="shared" si="214"/>
        <v>-3.3333333333333333E-2</v>
      </c>
      <c r="G211" s="42">
        <f t="shared" si="215"/>
        <v>-0.23333333333333334</v>
      </c>
      <c r="H211" s="42">
        <f t="shared" si="216"/>
        <v>-0.36666666666666664</v>
      </c>
      <c r="I211" s="42">
        <f t="shared" si="217"/>
        <v>-0.43333333333333335</v>
      </c>
      <c r="J211" s="42">
        <f t="shared" si="218"/>
        <v>-0.56666666666666665</v>
      </c>
      <c r="K211" s="42">
        <f t="shared" si="219"/>
        <v>-0.6333333333333333</v>
      </c>
      <c r="L211" s="42">
        <f t="shared" si="220"/>
        <v>-0.76666666666666672</v>
      </c>
      <c r="M211" s="42">
        <f t="shared" si="221"/>
        <v>-0.96666666666666667</v>
      </c>
      <c r="O211" s="43" t="str">
        <f t="shared" si="211"/>
        <v/>
      </c>
    </row>
    <row r="212" spans="1:15" x14ac:dyDescent="0.45">
      <c r="D212" s="27">
        <f t="shared" si="212"/>
        <v>0</v>
      </c>
      <c r="E212" s="28">
        <f t="shared" si="213"/>
        <v>0</v>
      </c>
      <c r="F212" s="42">
        <f t="shared" si="214"/>
        <v>-3.3333333333333333E-2</v>
      </c>
      <c r="G212" s="42">
        <f t="shared" si="215"/>
        <v>-0.23333333333333334</v>
      </c>
      <c r="H212" s="42">
        <f t="shared" si="216"/>
        <v>-0.36666666666666664</v>
      </c>
      <c r="I212" s="42">
        <f t="shared" si="217"/>
        <v>-0.43333333333333335</v>
      </c>
      <c r="J212" s="42">
        <f t="shared" si="218"/>
        <v>-0.56666666666666665</v>
      </c>
      <c r="K212" s="42">
        <f t="shared" si="219"/>
        <v>-0.6333333333333333</v>
      </c>
      <c r="L212" s="42">
        <f t="shared" si="220"/>
        <v>-0.76666666666666672</v>
      </c>
      <c r="M212" s="42">
        <f t="shared" si="221"/>
        <v>-0.96666666666666667</v>
      </c>
      <c r="O212" s="43" t="str">
        <f t="shared" si="211"/>
        <v/>
      </c>
    </row>
    <row r="213" spans="1:15" x14ac:dyDescent="0.45">
      <c r="D213" s="27">
        <f t="shared" si="212"/>
        <v>0</v>
      </c>
      <c r="E213" s="28">
        <f t="shared" si="213"/>
        <v>0</v>
      </c>
      <c r="F213" s="42">
        <f t="shared" si="214"/>
        <v>-3.3333333333333333E-2</v>
      </c>
      <c r="G213" s="42">
        <f t="shared" si="215"/>
        <v>-0.23333333333333334</v>
      </c>
      <c r="H213" s="42">
        <f t="shared" si="216"/>
        <v>-0.36666666666666664</v>
      </c>
      <c r="I213" s="42">
        <f t="shared" si="217"/>
        <v>-0.43333333333333335</v>
      </c>
      <c r="J213" s="42">
        <f t="shared" si="218"/>
        <v>-0.56666666666666665</v>
      </c>
      <c r="K213" s="42">
        <f t="shared" si="219"/>
        <v>-0.6333333333333333</v>
      </c>
      <c r="L213" s="42">
        <f t="shared" si="220"/>
        <v>-0.76666666666666672</v>
      </c>
      <c r="M213" s="42">
        <f t="shared" si="221"/>
        <v>-0.96666666666666667</v>
      </c>
      <c r="O213" s="43" t="str">
        <f t="shared" si="211"/>
        <v/>
      </c>
    </row>
    <row r="214" spans="1:15" x14ac:dyDescent="0.45">
      <c r="D214" s="27">
        <f t="shared" si="212"/>
        <v>0</v>
      </c>
      <c r="E214" s="28">
        <f t="shared" si="213"/>
        <v>0</v>
      </c>
      <c r="F214" s="42">
        <f t="shared" si="214"/>
        <v>-3.3333333333333333E-2</v>
      </c>
      <c r="G214" s="42">
        <f t="shared" si="215"/>
        <v>-0.23333333333333334</v>
      </c>
      <c r="H214" s="42">
        <f t="shared" si="216"/>
        <v>-0.36666666666666664</v>
      </c>
      <c r="I214" s="42">
        <f t="shared" si="217"/>
        <v>-0.43333333333333335</v>
      </c>
      <c r="J214" s="42">
        <f t="shared" si="218"/>
        <v>-0.56666666666666665</v>
      </c>
      <c r="K214" s="42">
        <f t="shared" si="219"/>
        <v>-0.6333333333333333</v>
      </c>
      <c r="L214" s="42">
        <f t="shared" si="220"/>
        <v>-0.76666666666666672</v>
      </c>
      <c r="M214" s="42">
        <f t="shared" si="221"/>
        <v>-0.96666666666666667</v>
      </c>
      <c r="O214" s="43" t="str">
        <f t="shared" si="211"/>
        <v/>
      </c>
    </row>
    <row r="215" spans="1:15" ht="19.2" thickBot="1" x14ac:dyDescent="0.5">
      <c r="F215" s="42"/>
      <c r="G215" s="42"/>
      <c r="H215" s="42"/>
      <c r="I215" s="42"/>
      <c r="J215" s="42"/>
      <c r="K215" s="42"/>
      <c r="L215" s="42"/>
      <c r="M215" s="42"/>
    </row>
    <row r="216" spans="1:15" ht="19.2" thickBot="1" x14ac:dyDescent="0.5">
      <c r="C216" s="44"/>
      <c r="E216" s="34">
        <f>E197</f>
        <v>0</v>
      </c>
      <c r="F216" s="45">
        <v>1</v>
      </c>
      <c r="G216" s="46">
        <v>7</v>
      </c>
      <c r="H216" s="46">
        <v>11</v>
      </c>
      <c r="I216" s="46">
        <v>13</v>
      </c>
      <c r="J216" s="46">
        <v>17</v>
      </c>
      <c r="K216" s="46">
        <v>19</v>
      </c>
      <c r="L216" s="46">
        <v>23</v>
      </c>
      <c r="M216" s="47">
        <v>29</v>
      </c>
      <c r="O216" s="27" t="s">
        <v>2</v>
      </c>
    </row>
    <row r="217" spans="1:15" x14ac:dyDescent="0.45">
      <c r="A217" s="29">
        <v>21</v>
      </c>
      <c r="D217" s="27">
        <f>C207</f>
        <v>0</v>
      </c>
      <c r="E217" s="28">
        <f>D217*$E$6</f>
        <v>0</v>
      </c>
      <c r="F217" s="42">
        <f>(E217-1)/30</f>
        <v>-3.3333333333333333E-2</v>
      </c>
      <c r="G217" s="42">
        <f>($E217-7)/30</f>
        <v>-0.23333333333333334</v>
      </c>
      <c r="H217" s="42">
        <f>($E217-11)/30</f>
        <v>-0.36666666666666664</v>
      </c>
      <c r="I217" s="42">
        <f>($E217-13)/30</f>
        <v>-0.43333333333333335</v>
      </c>
      <c r="J217" s="42">
        <f>($E217-17)/30</f>
        <v>-0.56666666666666665</v>
      </c>
      <c r="K217" s="42">
        <f>($E217-19)/30</f>
        <v>-0.6333333333333333</v>
      </c>
      <c r="L217" s="42">
        <f>($E217-23)/30</f>
        <v>-0.76666666666666672</v>
      </c>
      <c r="M217" s="42">
        <f>($E217-29)/30</f>
        <v>-0.96666666666666667</v>
      </c>
      <c r="O217" s="43" t="str">
        <f t="shared" ref="O217:O224" si="222">FactorNumber(E217)</f>
        <v/>
      </c>
    </row>
    <row r="218" spans="1:15" x14ac:dyDescent="0.45">
      <c r="D218" s="27">
        <f t="shared" ref="D218:D224" si="223">C208</f>
        <v>0</v>
      </c>
      <c r="E218" s="28">
        <f t="shared" ref="E218:E224" si="224">D218*$E$6</f>
        <v>0</v>
      </c>
      <c r="F218" s="42">
        <f t="shared" ref="F218:F224" si="225">(E218-1)/30</f>
        <v>-3.3333333333333333E-2</v>
      </c>
      <c r="G218" s="42">
        <f t="shared" ref="G218:G224" si="226">($E218-7)/30</f>
        <v>-0.23333333333333334</v>
      </c>
      <c r="H218" s="42">
        <f t="shared" ref="H218:H224" si="227">($E218-11)/30</f>
        <v>-0.36666666666666664</v>
      </c>
      <c r="I218" s="42">
        <f t="shared" ref="I218:I224" si="228">($E218-13)/30</f>
        <v>-0.43333333333333335</v>
      </c>
      <c r="J218" s="42">
        <f t="shared" ref="J218:J224" si="229">($E218-17)/30</f>
        <v>-0.56666666666666665</v>
      </c>
      <c r="K218" s="42">
        <f t="shared" ref="K218:K224" si="230">($E218-19)/30</f>
        <v>-0.6333333333333333</v>
      </c>
      <c r="L218" s="42">
        <f t="shared" ref="L218:L224" si="231">($E218-23)/30</f>
        <v>-0.76666666666666672</v>
      </c>
      <c r="M218" s="42">
        <f t="shared" ref="M218:M224" si="232">($E218-29)/30</f>
        <v>-0.96666666666666667</v>
      </c>
      <c r="O218" s="43" t="str">
        <f t="shared" si="222"/>
        <v/>
      </c>
    </row>
    <row r="219" spans="1:15" x14ac:dyDescent="0.45">
      <c r="D219" s="27">
        <f t="shared" si="223"/>
        <v>0</v>
      </c>
      <c r="E219" s="28">
        <f t="shared" si="224"/>
        <v>0</v>
      </c>
      <c r="F219" s="42">
        <f t="shared" si="225"/>
        <v>-3.3333333333333333E-2</v>
      </c>
      <c r="G219" s="42">
        <f t="shared" si="226"/>
        <v>-0.23333333333333334</v>
      </c>
      <c r="H219" s="42">
        <f t="shared" si="227"/>
        <v>-0.36666666666666664</v>
      </c>
      <c r="I219" s="42">
        <f t="shared" si="228"/>
        <v>-0.43333333333333335</v>
      </c>
      <c r="J219" s="42">
        <f t="shared" si="229"/>
        <v>-0.56666666666666665</v>
      </c>
      <c r="K219" s="42">
        <f t="shared" si="230"/>
        <v>-0.6333333333333333</v>
      </c>
      <c r="L219" s="42">
        <f t="shared" si="231"/>
        <v>-0.76666666666666672</v>
      </c>
      <c r="M219" s="42">
        <f t="shared" si="232"/>
        <v>-0.96666666666666667</v>
      </c>
      <c r="O219" s="43" t="str">
        <f t="shared" si="222"/>
        <v/>
      </c>
    </row>
    <row r="220" spans="1:15" x14ac:dyDescent="0.45">
      <c r="D220" s="27">
        <f t="shared" si="223"/>
        <v>0</v>
      </c>
      <c r="E220" s="28">
        <f t="shared" si="224"/>
        <v>0</v>
      </c>
      <c r="F220" s="42">
        <f t="shared" si="225"/>
        <v>-3.3333333333333333E-2</v>
      </c>
      <c r="G220" s="42">
        <f t="shared" si="226"/>
        <v>-0.23333333333333334</v>
      </c>
      <c r="H220" s="42">
        <f t="shared" si="227"/>
        <v>-0.36666666666666664</v>
      </c>
      <c r="I220" s="42">
        <f t="shared" si="228"/>
        <v>-0.43333333333333335</v>
      </c>
      <c r="J220" s="42">
        <f t="shared" si="229"/>
        <v>-0.56666666666666665</v>
      </c>
      <c r="K220" s="42">
        <f t="shared" si="230"/>
        <v>-0.6333333333333333</v>
      </c>
      <c r="L220" s="42">
        <f t="shared" si="231"/>
        <v>-0.76666666666666672</v>
      </c>
      <c r="M220" s="42">
        <f t="shared" si="232"/>
        <v>-0.96666666666666667</v>
      </c>
      <c r="O220" s="43" t="str">
        <f t="shared" si="222"/>
        <v/>
      </c>
    </row>
    <row r="221" spans="1:15" x14ac:dyDescent="0.45">
      <c r="D221" s="27">
        <f t="shared" si="223"/>
        <v>0</v>
      </c>
      <c r="E221" s="28">
        <f t="shared" si="224"/>
        <v>0</v>
      </c>
      <c r="F221" s="42">
        <f t="shared" si="225"/>
        <v>-3.3333333333333333E-2</v>
      </c>
      <c r="G221" s="42">
        <f t="shared" si="226"/>
        <v>-0.23333333333333334</v>
      </c>
      <c r="H221" s="42">
        <f t="shared" si="227"/>
        <v>-0.36666666666666664</v>
      </c>
      <c r="I221" s="42">
        <f t="shared" si="228"/>
        <v>-0.43333333333333335</v>
      </c>
      <c r="J221" s="42">
        <f t="shared" si="229"/>
        <v>-0.56666666666666665</v>
      </c>
      <c r="K221" s="42">
        <f t="shared" si="230"/>
        <v>-0.6333333333333333</v>
      </c>
      <c r="L221" s="42">
        <f t="shared" si="231"/>
        <v>-0.76666666666666672</v>
      </c>
      <c r="M221" s="42">
        <f t="shared" si="232"/>
        <v>-0.96666666666666667</v>
      </c>
      <c r="O221" s="43" t="str">
        <f t="shared" si="222"/>
        <v/>
      </c>
    </row>
    <row r="222" spans="1:15" x14ac:dyDescent="0.45">
      <c r="D222" s="27">
        <f t="shared" si="223"/>
        <v>0</v>
      </c>
      <c r="E222" s="28">
        <f t="shared" si="224"/>
        <v>0</v>
      </c>
      <c r="F222" s="42">
        <f t="shared" si="225"/>
        <v>-3.3333333333333333E-2</v>
      </c>
      <c r="G222" s="42">
        <f t="shared" si="226"/>
        <v>-0.23333333333333334</v>
      </c>
      <c r="H222" s="42">
        <f t="shared" si="227"/>
        <v>-0.36666666666666664</v>
      </c>
      <c r="I222" s="42">
        <f t="shared" si="228"/>
        <v>-0.43333333333333335</v>
      </c>
      <c r="J222" s="42">
        <f t="shared" si="229"/>
        <v>-0.56666666666666665</v>
      </c>
      <c r="K222" s="42">
        <f t="shared" si="230"/>
        <v>-0.6333333333333333</v>
      </c>
      <c r="L222" s="42">
        <f t="shared" si="231"/>
        <v>-0.76666666666666672</v>
      </c>
      <c r="M222" s="42">
        <f t="shared" si="232"/>
        <v>-0.96666666666666667</v>
      </c>
      <c r="O222" s="43" t="str">
        <f t="shared" si="222"/>
        <v/>
      </c>
    </row>
    <row r="223" spans="1:15" x14ac:dyDescent="0.45">
      <c r="D223" s="27">
        <f t="shared" si="223"/>
        <v>0</v>
      </c>
      <c r="E223" s="28">
        <f t="shared" si="224"/>
        <v>0</v>
      </c>
      <c r="F223" s="42">
        <f t="shared" si="225"/>
        <v>-3.3333333333333333E-2</v>
      </c>
      <c r="G223" s="42">
        <f t="shared" si="226"/>
        <v>-0.23333333333333334</v>
      </c>
      <c r="H223" s="42">
        <f t="shared" si="227"/>
        <v>-0.36666666666666664</v>
      </c>
      <c r="I223" s="42">
        <f t="shared" si="228"/>
        <v>-0.43333333333333335</v>
      </c>
      <c r="J223" s="42">
        <f t="shared" si="229"/>
        <v>-0.56666666666666665</v>
      </c>
      <c r="K223" s="42">
        <f t="shared" si="230"/>
        <v>-0.6333333333333333</v>
      </c>
      <c r="L223" s="42">
        <f t="shared" si="231"/>
        <v>-0.76666666666666672</v>
      </c>
      <c r="M223" s="42">
        <f t="shared" si="232"/>
        <v>-0.96666666666666667</v>
      </c>
      <c r="O223" s="43" t="str">
        <f t="shared" si="222"/>
        <v/>
      </c>
    </row>
    <row r="224" spans="1:15" x14ac:dyDescent="0.45">
      <c r="D224" s="27">
        <f t="shared" si="223"/>
        <v>0</v>
      </c>
      <c r="E224" s="28">
        <f t="shared" si="224"/>
        <v>0</v>
      </c>
      <c r="F224" s="42">
        <f t="shared" si="225"/>
        <v>-3.3333333333333333E-2</v>
      </c>
      <c r="G224" s="42">
        <f t="shared" si="226"/>
        <v>-0.23333333333333334</v>
      </c>
      <c r="H224" s="42">
        <f t="shared" si="227"/>
        <v>-0.36666666666666664</v>
      </c>
      <c r="I224" s="42">
        <f t="shared" si="228"/>
        <v>-0.43333333333333335</v>
      </c>
      <c r="J224" s="42">
        <f t="shared" si="229"/>
        <v>-0.56666666666666665</v>
      </c>
      <c r="K224" s="42">
        <f t="shared" si="230"/>
        <v>-0.6333333333333333</v>
      </c>
      <c r="L224" s="42">
        <f t="shared" si="231"/>
        <v>-0.76666666666666672</v>
      </c>
      <c r="M224" s="42">
        <f t="shared" si="232"/>
        <v>-0.96666666666666667</v>
      </c>
      <c r="O224" s="43" t="str">
        <f t="shared" si="222"/>
        <v/>
      </c>
    </row>
    <row r="225" spans="1:15" ht="19.2" thickBot="1" x14ac:dyDescent="0.5">
      <c r="F225" s="42"/>
      <c r="G225" s="42"/>
      <c r="H225" s="42"/>
      <c r="I225" s="42"/>
      <c r="J225" s="42"/>
      <c r="K225" s="42"/>
      <c r="L225" s="42"/>
      <c r="M225" s="42"/>
    </row>
    <row r="226" spans="1:15" ht="19.2" thickBot="1" x14ac:dyDescent="0.5">
      <c r="C226" s="44"/>
      <c r="E226" s="34">
        <f>E207</f>
        <v>0</v>
      </c>
      <c r="F226" s="45">
        <v>1</v>
      </c>
      <c r="G226" s="46">
        <v>7</v>
      </c>
      <c r="H226" s="46">
        <v>11</v>
      </c>
      <c r="I226" s="46">
        <v>13</v>
      </c>
      <c r="J226" s="46">
        <v>17</v>
      </c>
      <c r="K226" s="46">
        <v>19</v>
      </c>
      <c r="L226" s="46">
        <v>23</v>
      </c>
      <c r="M226" s="47">
        <v>29</v>
      </c>
      <c r="O226" s="27" t="s">
        <v>2</v>
      </c>
    </row>
    <row r="227" spans="1:15" x14ac:dyDescent="0.45">
      <c r="A227" s="29">
        <v>22</v>
      </c>
      <c r="D227" s="27">
        <f>C217</f>
        <v>0</v>
      </c>
      <c r="E227" s="28">
        <f>D227*$E$6</f>
        <v>0</v>
      </c>
      <c r="F227" s="42">
        <f>(E227-1)/30</f>
        <v>-3.3333333333333333E-2</v>
      </c>
      <c r="G227" s="42">
        <f>($E227-7)/30</f>
        <v>-0.23333333333333334</v>
      </c>
      <c r="H227" s="42">
        <f>($E227-11)/30</f>
        <v>-0.36666666666666664</v>
      </c>
      <c r="I227" s="42">
        <f>($E227-13)/30</f>
        <v>-0.43333333333333335</v>
      </c>
      <c r="J227" s="42">
        <f>($E227-17)/30</f>
        <v>-0.56666666666666665</v>
      </c>
      <c r="K227" s="42">
        <f>($E227-19)/30</f>
        <v>-0.6333333333333333</v>
      </c>
      <c r="L227" s="42">
        <f>($E227-23)/30</f>
        <v>-0.76666666666666672</v>
      </c>
      <c r="M227" s="42">
        <f>($E227-29)/30</f>
        <v>-0.96666666666666667</v>
      </c>
      <c r="O227" s="43" t="str">
        <f t="shared" ref="O227:O234" si="233">FactorNumber(E227)</f>
        <v/>
      </c>
    </row>
    <row r="228" spans="1:15" x14ac:dyDescent="0.45">
      <c r="D228" s="27">
        <f t="shared" ref="D228:D234" si="234">C218</f>
        <v>0</v>
      </c>
      <c r="E228" s="28">
        <f t="shared" ref="E228:E234" si="235">D228*$E$6</f>
        <v>0</v>
      </c>
      <c r="F228" s="42">
        <f t="shared" ref="F228:F234" si="236">(E228-1)/30</f>
        <v>-3.3333333333333333E-2</v>
      </c>
      <c r="G228" s="42">
        <f t="shared" ref="G228:G234" si="237">($E228-7)/30</f>
        <v>-0.23333333333333334</v>
      </c>
      <c r="H228" s="42">
        <f t="shared" ref="H228:H234" si="238">($E228-11)/30</f>
        <v>-0.36666666666666664</v>
      </c>
      <c r="I228" s="42">
        <f t="shared" ref="I228:I234" si="239">($E228-13)/30</f>
        <v>-0.43333333333333335</v>
      </c>
      <c r="J228" s="42">
        <f t="shared" ref="J228:J234" si="240">($E228-17)/30</f>
        <v>-0.56666666666666665</v>
      </c>
      <c r="K228" s="42">
        <f t="shared" ref="K228:K234" si="241">($E228-19)/30</f>
        <v>-0.6333333333333333</v>
      </c>
      <c r="L228" s="42">
        <f t="shared" ref="L228:L234" si="242">($E228-23)/30</f>
        <v>-0.76666666666666672</v>
      </c>
      <c r="M228" s="42">
        <f t="shared" ref="M228:M234" si="243">($E228-29)/30</f>
        <v>-0.96666666666666667</v>
      </c>
      <c r="O228" s="43" t="str">
        <f t="shared" si="233"/>
        <v/>
      </c>
    </row>
    <row r="229" spans="1:15" x14ac:dyDescent="0.45">
      <c r="D229" s="27">
        <f t="shared" si="234"/>
        <v>0</v>
      </c>
      <c r="E229" s="28">
        <f t="shared" si="235"/>
        <v>0</v>
      </c>
      <c r="F229" s="42">
        <f t="shared" si="236"/>
        <v>-3.3333333333333333E-2</v>
      </c>
      <c r="G229" s="42">
        <f t="shared" si="237"/>
        <v>-0.23333333333333334</v>
      </c>
      <c r="H229" s="42">
        <f t="shared" si="238"/>
        <v>-0.36666666666666664</v>
      </c>
      <c r="I229" s="42">
        <f t="shared" si="239"/>
        <v>-0.43333333333333335</v>
      </c>
      <c r="J229" s="42">
        <f t="shared" si="240"/>
        <v>-0.56666666666666665</v>
      </c>
      <c r="K229" s="42">
        <f t="shared" si="241"/>
        <v>-0.6333333333333333</v>
      </c>
      <c r="L229" s="42">
        <f t="shared" si="242"/>
        <v>-0.76666666666666672</v>
      </c>
      <c r="M229" s="42">
        <f t="shared" si="243"/>
        <v>-0.96666666666666667</v>
      </c>
      <c r="O229" s="43" t="str">
        <f t="shared" si="233"/>
        <v/>
      </c>
    </row>
    <row r="230" spans="1:15" x14ac:dyDescent="0.45">
      <c r="D230" s="27">
        <f t="shared" si="234"/>
        <v>0</v>
      </c>
      <c r="E230" s="28">
        <f t="shared" si="235"/>
        <v>0</v>
      </c>
      <c r="F230" s="42">
        <f t="shared" si="236"/>
        <v>-3.3333333333333333E-2</v>
      </c>
      <c r="G230" s="42">
        <f t="shared" si="237"/>
        <v>-0.23333333333333334</v>
      </c>
      <c r="H230" s="42">
        <f t="shared" si="238"/>
        <v>-0.36666666666666664</v>
      </c>
      <c r="I230" s="42">
        <f t="shared" si="239"/>
        <v>-0.43333333333333335</v>
      </c>
      <c r="J230" s="42">
        <f t="shared" si="240"/>
        <v>-0.56666666666666665</v>
      </c>
      <c r="K230" s="42">
        <f t="shared" si="241"/>
        <v>-0.6333333333333333</v>
      </c>
      <c r="L230" s="42">
        <f t="shared" si="242"/>
        <v>-0.76666666666666672</v>
      </c>
      <c r="M230" s="42">
        <f t="shared" si="243"/>
        <v>-0.96666666666666667</v>
      </c>
      <c r="O230" s="43" t="str">
        <f t="shared" si="233"/>
        <v/>
      </c>
    </row>
    <row r="231" spans="1:15" x14ac:dyDescent="0.45">
      <c r="D231" s="27">
        <f t="shared" si="234"/>
        <v>0</v>
      </c>
      <c r="E231" s="28">
        <f t="shared" si="235"/>
        <v>0</v>
      </c>
      <c r="F231" s="42">
        <f t="shared" si="236"/>
        <v>-3.3333333333333333E-2</v>
      </c>
      <c r="G231" s="42">
        <f t="shared" si="237"/>
        <v>-0.23333333333333334</v>
      </c>
      <c r="H231" s="42">
        <f t="shared" si="238"/>
        <v>-0.36666666666666664</v>
      </c>
      <c r="I231" s="42">
        <f t="shared" si="239"/>
        <v>-0.43333333333333335</v>
      </c>
      <c r="J231" s="42">
        <f t="shared" si="240"/>
        <v>-0.56666666666666665</v>
      </c>
      <c r="K231" s="42">
        <f t="shared" si="241"/>
        <v>-0.6333333333333333</v>
      </c>
      <c r="L231" s="42">
        <f t="shared" si="242"/>
        <v>-0.76666666666666672</v>
      </c>
      <c r="M231" s="42">
        <f t="shared" si="243"/>
        <v>-0.96666666666666667</v>
      </c>
      <c r="O231" s="43" t="str">
        <f t="shared" si="233"/>
        <v/>
      </c>
    </row>
    <row r="232" spans="1:15" x14ac:dyDescent="0.45">
      <c r="D232" s="27">
        <f t="shared" si="234"/>
        <v>0</v>
      </c>
      <c r="E232" s="28">
        <f t="shared" si="235"/>
        <v>0</v>
      </c>
      <c r="F232" s="42">
        <f t="shared" si="236"/>
        <v>-3.3333333333333333E-2</v>
      </c>
      <c r="G232" s="42">
        <f t="shared" si="237"/>
        <v>-0.23333333333333334</v>
      </c>
      <c r="H232" s="42">
        <f t="shared" si="238"/>
        <v>-0.36666666666666664</v>
      </c>
      <c r="I232" s="42">
        <f t="shared" si="239"/>
        <v>-0.43333333333333335</v>
      </c>
      <c r="J232" s="42">
        <f t="shared" si="240"/>
        <v>-0.56666666666666665</v>
      </c>
      <c r="K232" s="42">
        <f t="shared" si="241"/>
        <v>-0.6333333333333333</v>
      </c>
      <c r="L232" s="42">
        <f t="shared" si="242"/>
        <v>-0.76666666666666672</v>
      </c>
      <c r="M232" s="42">
        <f t="shared" si="243"/>
        <v>-0.96666666666666667</v>
      </c>
      <c r="O232" s="43" t="str">
        <f t="shared" si="233"/>
        <v/>
      </c>
    </row>
    <row r="233" spans="1:15" x14ac:dyDescent="0.45">
      <c r="D233" s="27">
        <f t="shared" si="234"/>
        <v>0</v>
      </c>
      <c r="E233" s="28">
        <f t="shared" si="235"/>
        <v>0</v>
      </c>
      <c r="F233" s="42">
        <f t="shared" si="236"/>
        <v>-3.3333333333333333E-2</v>
      </c>
      <c r="G233" s="42">
        <f t="shared" si="237"/>
        <v>-0.23333333333333334</v>
      </c>
      <c r="H233" s="42">
        <f t="shared" si="238"/>
        <v>-0.36666666666666664</v>
      </c>
      <c r="I233" s="42">
        <f t="shared" si="239"/>
        <v>-0.43333333333333335</v>
      </c>
      <c r="J233" s="42">
        <f t="shared" si="240"/>
        <v>-0.56666666666666665</v>
      </c>
      <c r="K233" s="42">
        <f t="shared" si="241"/>
        <v>-0.6333333333333333</v>
      </c>
      <c r="L233" s="42">
        <f t="shared" si="242"/>
        <v>-0.76666666666666672</v>
      </c>
      <c r="M233" s="42">
        <f t="shared" si="243"/>
        <v>-0.96666666666666667</v>
      </c>
      <c r="O233" s="43" t="str">
        <f t="shared" si="233"/>
        <v/>
      </c>
    </row>
    <row r="234" spans="1:15" x14ac:dyDescent="0.45">
      <c r="D234" s="27">
        <f t="shared" si="234"/>
        <v>0</v>
      </c>
      <c r="E234" s="28">
        <f t="shared" si="235"/>
        <v>0</v>
      </c>
      <c r="F234" s="42">
        <f t="shared" si="236"/>
        <v>-3.3333333333333333E-2</v>
      </c>
      <c r="G234" s="42">
        <f t="shared" si="237"/>
        <v>-0.23333333333333334</v>
      </c>
      <c r="H234" s="42">
        <f t="shared" si="238"/>
        <v>-0.36666666666666664</v>
      </c>
      <c r="I234" s="42">
        <f t="shared" si="239"/>
        <v>-0.43333333333333335</v>
      </c>
      <c r="J234" s="42">
        <f t="shared" si="240"/>
        <v>-0.56666666666666665</v>
      </c>
      <c r="K234" s="42">
        <f t="shared" si="241"/>
        <v>-0.6333333333333333</v>
      </c>
      <c r="L234" s="42">
        <f t="shared" si="242"/>
        <v>-0.76666666666666672</v>
      </c>
      <c r="M234" s="42">
        <f t="shared" si="243"/>
        <v>-0.96666666666666667</v>
      </c>
      <c r="O234" s="43" t="str">
        <f t="shared" si="233"/>
        <v/>
      </c>
    </row>
    <row r="235" spans="1:15" ht="19.2" thickBot="1" x14ac:dyDescent="0.5">
      <c r="F235" s="42"/>
      <c r="G235" s="42"/>
      <c r="H235" s="42"/>
      <c r="I235" s="42"/>
      <c r="J235" s="42"/>
      <c r="K235" s="42"/>
      <c r="L235" s="42"/>
      <c r="M235" s="42"/>
    </row>
    <row r="236" spans="1:15" ht="19.2" thickBot="1" x14ac:dyDescent="0.5">
      <c r="C236" s="44"/>
      <c r="E236" s="34">
        <f>E217</f>
        <v>0</v>
      </c>
      <c r="F236" s="45">
        <v>1</v>
      </c>
      <c r="G236" s="46">
        <v>7</v>
      </c>
      <c r="H236" s="46">
        <v>11</v>
      </c>
      <c r="I236" s="46">
        <v>13</v>
      </c>
      <c r="J236" s="46">
        <v>17</v>
      </c>
      <c r="K236" s="46">
        <v>19</v>
      </c>
      <c r="L236" s="46">
        <v>23</v>
      </c>
      <c r="M236" s="47">
        <v>29</v>
      </c>
      <c r="O236" s="27" t="s">
        <v>2</v>
      </c>
    </row>
    <row r="237" spans="1:15" x14ac:dyDescent="0.45">
      <c r="A237" s="29">
        <v>23</v>
      </c>
      <c r="D237" s="27">
        <f>C227</f>
        <v>0</v>
      </c>
      <c r="E237" s="28">
        <f>D237*$E$6</f>
        <v>0</v>
      </c>
      <c r="F237" s="42">
        <f>(E237-1)/30</f>
        <v>-3.3333333333333333E-2</v>
      </c>
      <c r="G237" s="42">
        <f>($E237-7)/30</f>
        <v>-0.23333333333333334</v>
      </c>
      <c r="H237" s="42">
        <f>($E237-11)/30</f>
        <v>-0.36666666666666664</v>
      </c>
      <c r="I237" s="42">
        <f>($E237-13)/30</f>
        <v>-0.43333333333333335</v>
      </c>
      <c r="J237" s="42">
        <f>($E237-17)/30</f>
        <v>-0.56666666666666665</v>
      </c>
      <c r="K237" s="42">
        <f>($E237-19)/30</f>
        <v>-0.6333333333333333</v>
      </c>
      <c r="L237" s="42">
        <f>($E237-23)/30</f>
        <v>-0.76666666666666672</v>
      </c>
      <c r="M237" s="42">
        <f>($E237-29)/30</f>
        <v>-0.96666666666666667</v>
      </c>
      <c r="O237" s="43" t="str">
        <f t="shared" ref="O237:O244" si="244">FactorNumber(E237)</f>
        <v/>
      </c>
    </row>
    <row r="238" spans="1:15" x14ac:dyDescent="0.45">
      <c r="D238" s="27">
        <f t="shared" ref="D238:D244" si="245">C228</f>
        <v>0</v>
      </c>
      <c r="E238" s="28">
        <f t="shared" ref="E238:E244" si="246">D238*$E$6</f>
        <v>0</v>
      </c>
      <c r="F238" s="42">
        <f t="shared" ref="F238:F244" si="247">(E238-1)/30</f>
        <v>-3.3333333333333333E-2</v>
      </c>
      <c r="G238" s="42">
        <f t="shared" ref="G238:G244" si="248">($E238-7)/30</f>
        <v>-0.23333333333333334</v>
      </c>
      <c r="H238" s="42">
        <f t="shared" ref="H238:H244" si="249">($E238-11)/30</f>
        <v>-0.36666666666666664</v>
      </c>
      <c r="I238" s="42">
        <f t="shared" ref="I238:I244" si="250">($E238-13)/30</f>
        <v>-0.43333333333333335</v>
      </c>
      <c r="J238" s="42">
        <f t="shared" ref="J238:J244" si="251">($E238-17)/30</f>
        <v>-0.56666666666666665</v>
      </c>
      <c r="K238" s="42">
        <f t="shared" ref="K238:K244" si="252">($E238-19)/30</f>
        <v>-0.6333333333333333</v>
      </c>
      <c r="L238" s="42">
        <f t="shared" ref="L238:L244" si="253">($E238-23)/30</f>
        <v>-0.76666666666666672</v>
      </c>
      <c r="M238" s="42">
        <f t="shared" ref="M238:M244" si="254">($E238-29)/30</f>
        <v>-0.96666666666666667</v>
      </c>
      <c r="O238" s="43" t="str">
        <f t="shared" si="244"/>
        <v/>
      </c>
    </row>
    <row r="239" spans="1:15" x14ac:dyDescent="0.45">
      <c r="D239" s="27">
        <f t="shared" si="245"/>
        <v>0</v>
      </c>
      <c r="E239" s="28">
        <f t="shared" si="246"/>
        <v>0</v>
      </c>
      <c r="F239" s="42">
        <f t="shared" si="247"/>
        <v>-3.3333333333333333E-2</v>
      </c>
      <c r="G239" s="42">
        <f t="shared" si="248"/>
        <v>-0.23333333333333334</v>
      </c>
      <c r="H239" s="42">
        <f t="shared" si="249"/>
        <v>-0.36666666666666664</v>
      </c>
      <c r="I239" s="42">
        <f t="shared" si="250"/>
        <v>-0.43333333333333335</v>
      </c>
      <c r="J239" s="42">
        <f t="shared" si="251"/>
        <v>-0.56666666666666665</v>
      </c>
      <c r="K239" s="42">
        <f t="shared" si="252"/>
        <v>-0.6333333333333333</v>
      </c>
      <c r="L239" s="42">
        <f t="shared" si="253"/>
        <v>-0.76666666666666672</v>
      </c>
      <c r="M239" s="42">
        <f t="shared" si="254"/>
        <v>-0.96666666666666667</v>
      </c>
      <c r="O239" s="43" t="str">
        <f t="shared" si="244"/>
        <v/>
      </c>
    </row>
    <row r="240" spans="1:15" x14ac:dyDescent="0.45">
      <c r="D240" s="27">
        <f t="shared" si="245"/>
        <v>0</v>
      </c>
      <c r="E240" s="28">
        <f t="shared" si="246"/>
        <v>0</v>
      </c>
      <c r="F240" s="42">
        <f t="shared" si="247"/>
        <v>-3.3333333333333333E-2</v>
      </c>
      <c r="G240" s="42">
        <f t="shared" si="248"/>
        <v>-0.23333333333333334</v>
      </c>
      <c r="H240" s="42">
        <f t="shared" si="249"/>
        <v>-0.36666666666666664</v>
      </c>
      <c r="I240" s="42">
        <f t="shared" si="250"/>
        <v>-0.43333333333333335</v>
      </c>
      <c r="J240" s="42">
        <f t="shared" si="251"/>
        <v>-0.56666666666666665</v>
      </c>
      <c r="K240" s="42">
        <f t="shared" si="252"/>
        <v>-0.6333333333333333</v>
      </c>
      <c r="L240" s="42">
        <f t="shared" si="253"/>
        <v>-0.76666666666666672</v>
      </c>
      <c r="M240" s="42">
        <f t="shared" si="254"/>
        <v>-0.96666666666666667</v>
      </c>
      <c r="O240" s="43" t="str">
        <f t="shared" si="244"/>
        <v/>
      </c>
    </row>
    <row r="241" spans="1:15" x14ac:dyDescent="0.45">
      <c r="D241" s="27">
        <f t="shared" si="245"/>
        <v>0</v>
      </c>
      <c r="E241" s="28">
        <f t="shared" si="246"/>
        <v>0</v>
      </c>
      <c r="F241" s="42">
        <f t="shared" si="247"/>
        <v>-3.3333333333333333E-2</v>
      </c>
      <c r="G241" s="42">
        <f t="shared" si="248"/>
        <v>-0.23333333333333334</v>
      </c>
      <c r="H241" s="42">
        <f t="shared" si="249"/>
        <v>-0.36666666666666664</v>
      </c>
      <c r="I241" s="42">
        <f t="shared" si="250"/>
        <v>-0.43333333333333335</v>
      </c>
      <c r="J241" s="42">
        <f t="shared" si="251"/>
        <v>-0.56666666666666665</v>
      </c>
      <c r="K241" s="42">
        <f t="shared" si="252"/>
        <v>-0.6333333333333333</v>
      </c>
      <c r="L241" s="42">
        <f t="shared" si="253"/>
        <v>-0.76666666666666672</v>
      </c>
      <c r="M241" s="42">
        <f t="shared" si="254"/>
        <v>-0.96666666666666667</v>
      </c>
      <c r="O241" s="43" t="str">
        <f t="shared" si="244"/>
        <v/>
      </c>
    </row>
    <row r="242" spans="1:15" x14ac:dyDescent="0.45">
      <c r="D242" s="27">
        <f t="shared" si="245"/>
        <v>0</v>
      </c>
      <c r="E242" s="28">
        <f t="shared" si="246"/>
        <v>0</v>
      </c>
      <c r="F242" s="42">
        <f t="shared" si="247"/>
        <v>-3.3333333333333333E-2</v>
      </c>
      <c r="G242" s="42">
        <f t="shared" si="248"/>
        <v>-0.23333333333333334</v>
      </c>
      <c r="H242" s="42">
        <f t="shared" si="249"/>
        <v>-0.36666666666666664</v>
      </c>
      <c r="I242" s="42">
        <f t="shared" si="250"/>
        <v>-0.43333333333333335</v>
      </c>
      <c r="J242" s="42">
        <f t="shared" si="251"/>
        <v>-0.56666666666666665</v>
      </c>
      <c r="K242" s="42">
        <f t="shared" si="252"/>
        <v>-0.6333333333333333</v>
      </c>
      <c r="L242" s="42">
        <f t="shared" si="253"/>
        <v>-0.76666666666666672</v>
      </c>
      <c r="M242" s="42">
        <f t="shared" si="254"/>
        <v>-0.96666666666666667</v>
      </c>
      <c r="O242" s="43" t="str">
        <f t="shared" si="244"/>
        <v/>
      </c>
    </row>
    <row r="243" spans="1:15" x14ac:dyDescent="0.45">
      <c r="D243" s="27">
        <f t="shared" si="245"/>
        <v>0</v>
      </c>
      <c r="E243" s="28">
        <f t="shared" si="246"/>
        <v>0</v>
      </c>
      <c r="F243" s="42">
        <f t="shared" si="247"/>
        <v>-3.3333333333333333E-2</v>
      </c>
      <c r="G243" s="42">
        <f t="shared" si="248"/>
        <v>-0.23333333333333334</v>
      </c>
      <c r="H243" s="42">
        <f t="shared" si="249"/>
        <v>-0.36666666666666664</v>
      </c>
      <c r="I243" s="42">
        <f t="shared" si="250"/>
        <v>-0.43333333333333335</v>
      </c>
      <c r="J243" s="42">
        <f t="shared" si="251"/>
        <v>-0.56666666666666665</v>
      </c>
      <c r="K243" s="42">
        <f t="shared" si="252"/>
        <v>-0.6333333333333333</v>
      </c>
      <c r="L243" s="42">
        <f t="shared" si="253"/>
        <v>-0.76666666666666672</v>
      </c>
      <c r="M243" s="42">
        <f t="shared" si="254"/>
        <v>-0.96666666666666667</v>
      </c>
      <c r="O243" s="43" t="str">
        <f t="shared" si="244"/>
        <v/>
      </c>
    </row>
    <row r="244" spans="1:15" x14ac:dyDescent="0.45">
      <c r="D244" s="27">
        <f t="shared" si="245"/>
        <v>0</v>
      </c>
      <c r="E244" s="28">
        <f t="shared" si="246"/>
        <v>0</v>
      </c>
      <c r="F244" s="42">
        <f t="shared" si="247"/>
        <v>-3.3333333333333333E-2</v>
      </c>
      <c r="G244" s="42">
        <f t="shared" si="248"/>
        <v>-0.23333333333333334</v>
      </c>
      <c r="H244" s="42">
        <f t="shared" si="249"/>
        <v>-0.36666666666666664</v>
      </c>
      <c r="I244" s="42">
        <f t="shared" si="250"/>
        <v>-0.43333333333333335</v>
      </c>
      <c r="J244" s="42">
        <f t="shared" si="251"/>
        <v>-0.56666666666666665</v>
      </c>
      <c r="K244" s="42">
        <f t="shared" si="252"/>
        <v>-0.6333333333333333</v>
      </c>
      <c r="L244" s="42">
        <f t="shared" si="253"/>
        <v>-0.76666666666666672</v>
      </c>
      <c r="M244" s="42">
        <f t="shared" si="254"/>
        <v>-0.96666666666666667</v>
      </c>
      <c r="O244" s="43" t="str">
        <f t="shared" si="244"/>
        <v/>
      </c>
    </row>
    <row r="245" spans="1:15" ht="19.2" thickBot="1" x14ac:dyDescent="0.5">
      <c r="F245" s="42"/>
      <c r="G245" s="42"/>
      <c r="H245" s="42"/>
      <c r="I245" s="42"/>
      <c r="J245" s="42"/>
      <c r="K245" s="42"/>
      <c r="L245" s="42"/>
      <c r="M245" s="42"/>
    </row>
    <row r="246" spans="1:15" ht="19.2" thickBot="1" x14ac:dyDescent="0.5">
      <c r="C246" s="44"/>
      <c r="E246" s="34">
        <f>E227</f>
        <v>0</v>
      </c>
      <c r="F246" s="45">
        <v>1</v>
      </c>
      <c r="G246" s="46">
        <v>7</v>
      </c>
      <c r="H246" s="46">
        <v>11</v>
      </c>
      <c r="I246" s="46">
        <v>13</v>
      </c>
      <c r="J246" s="46">
        <v>17</v>
      </c>
      <c r="K246" s="46">
        <v>19</v>
      </c>
      <c r="L246" s="46">
        <v>23</v>
      </c>
      <c r="M246" s="47">
        <v>29</v>
      </c>
      <c r="O246" s="27" t="s">
        <v>2</v>
      </c>
    </row>
    <row r="247" spans="1:15" x14ac:dyDescent="0.45">
      <c r="A247" s="29">
        <v>24</v>
      </c>
      <c r="D247" s="27">
        <f>C237</f>
        <v>0</v>
      </c>
      <c r="E247" s="28">
        <f>D247*$E$6</f>
        <v>0</v>
      </c>
      <c r="F247" s="42">
        <f>(E247-1)/30</f>
        <v>-3.3333333333333333E-2</v>
      </c>
      <c r="G247" s="42">
        <f>($E247-7)/30</f>
        <v>-0.23333333333333334</v>
      </c>
      <c r="H247" s="42">
        <f>($E247-11)/30</f>
        <v>-0.36666666666666664</v>
      </c>
      <c r="I247" s="42">
        <f>($E247-13)/30</f>
        <v>-0.43333333333333335</v>
      </c>
      <c r="J247" s="42">
        <f>($E247-17)/30</f>
        <v>-0.56666666666666665</v>
      </c>
      <c r="K247" s="42">
        <f>($E247-19)/30</f>
        <v>-0.6333333333333333</v>
      </c>
      <c r="L247" s="42">
        <f>($E247-23)/30</f>
        <v>-0.76666666666666672</v>
      </c>
      <c r="M247" s="42">
        <f>($E247-29)/30</f>
        <v>-0.96666666666666667</v>
      </c>
      <c r="O247" s="43" t="str">
        <f t="shared" ref="O247:O254" si="255">FactorNumber(E247)</f>
        <v/>
      </c>
    </row>
    <row r="248" spans="1:15" x14ac:dyDescent="0.45">
      <c r="D248" s="27">
        <f t="shared" ref="D248:D254" si="256">C238</f>
        <v>0</v>
      </c>
      <c r="E248" s="28">
        <f t="shared" ref="E248:E254" si="257">D248*$E$6</f>
        <v>0</v>
      </c>
      <c r="F248" s="42">
        <f t="shared" ref="F248:F254" si="258">(E248-1)/30</f>
        <v>-3.3333333333333333E-2</v>
      </c>
      <c r="G248" s="42">
        <f t="shared" ref="G248:G254" si="259">($E248-7)/30</f>
        <v>-0.23333333333333334</v>
      </c>
      <c r="H248" s="42">
        <f t="shared" ref="H248:H254" si="260">($E248-11)/30</f>
        <v>-0.36666666666666664</v>
      </c>
      <c r="I248" s="42">
        <f t="shared" ref="I248:I254" si="261">($E248-13)/30</f>
        <v>-0.43333333333333335</v>
      </c>
      <c r="J248" s="42">
        <f t="shared" ref="J248:J254" si="262">($E248-17)/30</f>
        <v>-0.56666666666666665</v>
      </c>
      <c r="K248" s="42">
        <f t="shared" ref="K248:K254" si="263">($E248-19)/30</f>
        <v>-0.6333333333333333</v>
      </c>
      <c r="L248" s="42">
        <f t="shared" ref="L248:L254" si="264">($E248-23)/30</f>
        <v>-0.76666666666666672</v>
      </c>
      <c r="M248" s="42">
        <f t="shared" ref="M248:M254" si="265">($E248-29)/30</f>
        <v>-0.96666666666666667</v>
      </c>
      <c r="O248" s="43" t="str">
        <f t="shared" si="255"/>
        <v/>
      </c>
    </row>
    <row r="249" spans="1:15" x14ac:dyDescent="0.45">
      <c r="D249" s="27">
        <f t="shared" si="256"/>
        <v>0</v>
      </c>
      <c r="E249" s="28">
        <f t="shared" si="257"/>
        <v>0</v>
      </c>
      <c r="F249" s="42">
        <f t="shared" si="258"/>
        <v>-3.3333333333333333E-2</v>
      </c>
      <c r="G249" s="42">
        <f t="shared" si="259"/>
        <v>-0.23333333333333334</v>
      </c>
      <c r="H249" s="42">
        <f t="shared" si="260"/>
        <v>-0.36666666666666664</v>
      </c>
      <c r="I249" s="42">
        <f t="shared" si="261"/>
        <v>-0.43333333333333335</v>
      </c>
      <c r="J249" s="42">
        <f t="shared" si="262"/>
        <v>-0.56666666666666665</v>
      </c>
      <c r="K249" s="42">
        <f t="shared" si="263"/>
        <v>-0.6333333333333333</v>
      </c>
      <c r="L249" s="42">
        <f t="shared" si="264"/>
        <v>-0.76666666666666672</v>
      </c>
      <c r="M249" s="42">
        <f t="shared" si="265"/>
        <v>-0.96666666666666667</v>
      </c>
      <c r="O249" s="43" t="str">
        <f t="shared" si="255"/>
        <v/>
      </c>
    </row>
    <row r="250" spans="1:15" x14ac:dyDescent="0.45">
      <c r="D250" s="27">
        <f t="shared" si="256"/>
        <v>0</v>
      </c>
      <c r="E250" s="28">
        <f t="shared" si="257"/>
        <v>0</v>
      </c>
      <c r="F250" s="42">
        <f t="shared" si="258"/>
        <v>-3.3333333333333333E-2</v>
      </c>
      <c r="G250" s="42">
        <f t="shared" si="259"/>
        <v>-0.23333333333333334</v>
      </c>
      <c r="H250" s="42">
        <f t="shared" si="260"/>
        <v>-0.36666666666666664</v>
      </c>
      <c r="I250" s="42">
        <f t="shared" si="261"/>
        <v>-0.43333333333333335</v>
      </c>
      <c r="J250" s="42">
        <f t="shared" si="262"/>
        <v>-0.56666666666666665</v>
      </c>
      <c r="K250" s="42">
        <f t="shared" si="263"/>
        <v>-0.6333333333333333</v>
      </c>
      <c r="L250" s="42">
        <f t="shared" si="264"/>
        <v>-0.76666666666666672</v>
      </c>
      <c r="M250" s="42">
        <f t="shared" si="265"/>
        <v>-0.96666666666666667</v>
      </c>
      <c r="O250" s="43" t="str">
        <f t="shared" si="255"/>
        <v/>
      </c>
    </row>
    <row r="251" spans="1:15" x14ac:dyDescent="0.45">
      <c r="D251" s="27">
        <f t="shared" si="256"/>
        <v>0</v>
      </c>
      <c r="E251" s="28">
        <f t="shared" si="257"/>
        <v>0</v>
      </c>
      <c r="F251" s="42">
        <f t="shared" si="258"/>
        <v>-3.3333333333333333E-2</v>
      </c>
      <c r="G251" s="42">
        <f t="shared" si="259"/>
        <v>-0.23333333333333334</v>
      </c>
      <c r="H251" s="42">
        <f t="shared" si="260"/>
        <v>-0.36666666666666664</v>
      </c>
      <c r="I251" s="42">
        <f t="shared" si="261"/>
        <v>-0.43333333333333335</v>
      </c>
      <c r="J251" s="42">
        <f t="shared" si="262"/>
        <v>-0.56666666666666665</v>
      </c>
      <c r="K251" s="42">
        <f t="shared" si="263"/>
        <v>-0.6333333333333333</v>
      </c>
      <c r="L251" s="42">
        <f t="shared" si="264"/>
        <v>-0.76666666666666672</v>
      </c>
      <c r="M251" s="42">
        <f t="shared" si="265"/>
        <v>-0.96666666666666667</v>
      </c>
      <c r="O251" s="43" t="str">
        <f t="shared" si="255"/>
        <v/>
      </c>
    </row>
    <row r="252" spans="1:15" x14ac:dyDescent="0.45">
      <c r="D252" s="27">
        <f t="shared" si="256"/>
        <v>0</v>
      </c>
      <c r="E252" s="28">
        <f t="shared" si="257"/>
        <v>0</v>
      </c>
      <c r="F252" s="42">
        <f t="shared" si="258"/>
        <v>-3.3333333333333333E-2</v>
      </c>
      <c r="G252" s="42">
        <f t="shared" si="259"/>
        <v>-0.23333333333333334</v>
      </c>
      <c r="H252" s="42">
        <f t="shared" si="260"/>
        <v>-0.36666666666666664</v>
      </c>
      <c r="I252" s="42">
        <f t="shared" si="261"/>
        <v>-0.43333333333333335</v>
      </c>
      <c r="J252" s="42">
        <f t="shared" si="262"/>
        <v>-0.56666666666666665</v>
      </c>
      <c r="K252" s="42">
        <f t="shared" si="263"/>
        <v>-0.6333333333333333</v>
      </c>
      <c r="L252" s="42">
        <f t="shared" si="264"/>
        <v>-0.76666666666666672</v>
      </c>
      <c r="M252" s="42">
        <f t="shared" si="265"/>
        <v>-0.96666666666666667</v>
      </c>
      <c r="O252" s="43" t="str">
        <f t="shared" si="255"/>
        <v/>
      </c>
    </row>
    <row r="253" spans="1:15" x14ac:dyDescent="0.45">
      <c r="D253" s="27">
        <f t="shared" si="256"/>
        <v>0</v>
      </c>
      <c r="E253" s="28">
        <f t="shared" si="257"/>
        <v>0</v>
      </c>
      <c r="F253" s="42">
        <f t="shared" si="258"/>
        <v>-3.3333333333333333E-2</v>
      </c>
      <c r="G253" s="42">
        <f t="shared" si="259"/>
        <v>-0.23333333333333334</v>
      </c>
      <c r="H253" s="42">
        <f t="shared" si="260"/>
        <v>-0.36666666666666664</v>
      </c>
      <c r="I253" s="42">
        <f t="shared" si="261"/>
        <v>-0.43333333333333335</v>
      </c>
      <c r="J253" s="42">
        <f t="shared" si="262"/>
        <v>-0.56666666666666665</v>
      </c>
      <c r="K253" s="42">
        <f t="shared" si="263"/>
        <v>-0.6333333333333333</v>
      </c>
      <c r="L253" s="42">
        <f t="shared" si="264"/>
        <v>-0.76666666666666672</v>
      </c>
      <c r="M253" s="42">
        <f t="shared" si="265"/>
        <v>-0.96666666666666667</v>
      </c>
      <c r="O253" s="43" t="str">
        <f t="shared" si="255"/>
        <v/>
      </c>
    </row>
    <row r="254" spans="1:15" x14ac:dyDescent="0.45">
      <c r="D254" s="27">
        <f t="shared" si="256"/>
        <v>0</v>
      </c>
      <c r="E254" s="28">
        <f t="shared" si="257"/>
        <v>0</v>
      </c>
      <c r="F254" s="42">
        <f t="shared" si="258"/>
        <v>-3.3333333333333333E-2</v>
      </c>
      <c r="G254" s="42">
        <f t="shared" si="259"/>
        <v>-0.23333333333333334</v>
      </c>
      <c r="H254" s="42">
        <f t="shared" si="260"/>
        <v>-0.36666666666666664</v>
      </c>
      <c r="I254" s="42">
        <f t="shared" si="261"/>
        <v>-0.43333333333333335</v>
      </c>
      <c r="J254" s="42">
        <f t="shared" si="262"/>
        <v>-0.56666666666666665</v>
      </c>
      <c r="K254" s="42">
        <f t="shared" si="263"/>
        <v>-0.6333333333333333</v>
      </c>
      <c r="L254" s="42">
        <f t="shared" si="264"/>
        <v>-0.76666666666666672</v>
      </c>
      <c r="M254" s="42">
        <f t="shared" si="265"/>
        <v>-0.96666666666666667</v>
      </c>
      <c r="O254" s="43" t="str">
        <f t="shared" si="255"/>
        <v/>
      </c>
    </row>
    <row r="255" spans="1:15" ht="19.2" thickBot="1" x14ac:dyDescent="0.5">
      <c r="F255" s="42"/>
      <c r="G255" s="42"/>
      <c r="H255" s="42"/>
      <c r="I255" s="42"/>
      <c r="J255" s="42"/>
      <c r="K255" s="42"/>
      <c r="L255" s="42"/>
      <c r="M255" s="42"/>
    </row>
    <row r="256" spans="1:15" ht="19.2" thickBot="1" x14ac:dyDescent="0.5">
      <c r="C256" s="44"/>
      <c r="E256" s="34">
        <f>E237</f>
        <v>0</v>
      </c>
      <c r="F256" s="45">
        <v>1</v>
      </c>
      <c r="G256" s="46">
        <v>7</v>
      </c>
      <c r="H256" s="46">
        <v>11</v>
      </c>
      <c r="I256" s="46">
        <v>13</v>
      </c>
      <c r="J256" s="46">
        <v>17</v>
      </c>
      <c r="K256" s="46">
        <v>19</v>
      </c>
      <c r="L256" s="46">
        <v>23</v>
      </c>
      <c r="M256" s="47">
        <v>29</v>
      </c>
      <c r="O256" s="27" t="s">
        <v>2</v>
      </c>
    </row>
    <row r="257" spans="1:15" x14ac:dyDescent="0.45">
      <c r="A257" s="29">
        <v>25</v>
      </c>
      <c r="D257" s="27">
        <f>C247</f>
        <v>0</v>
      </c>
      <c r="E257" s="28">
        <f>D257*$E$6</f>
        <v>0</v>
      </c>
      <c r="F257" s="42">
        <f>(E257-1)/30</f>
        <v>-3.3333333333333333E-2</v>
      </c>
      <c r="G257" s="42">
        <f>($E257-7)/30</f>
        <v>-0.23333333333333334</v>
      </c>
      <c r="H257" s="42">
        <f>($E257-11)/30</f>
        <v>-0.36666666666666664</v>
      </c>
      <c r="I257" s="42">
        <f>($E257-13)/30</f>
        <v>-0.43333333333333335</v>
      </c>
      <c r="J257" s="42">
        <f>($E257-17)/30</f>
        <v>-0.56666666666666665</v>
      </c>
      <c r="K257" s="42">
        <f>($E257-19)/30</f>
        <v>-0.6333333333333333</v>
      </c>
      <c r="L257" s="42">
        <f>($E257-23)/30</f>
        <v>-0.76666666666666672</v>
      </c>
      <c r="M257" s="42">
        <f>($E257-29)/30</f>
        <v>-0.96666666666666667</v>
      </c>
      <c r="O257" s="43" t="str">
        <f t="shared" ref="O257:O264" si="266">FactorNumber(E257)</f>
        <v/>
      </c>
    </row>
    <row r="258" spans="1:15" x14ac:dyDescent="0.45">
      <c r="D258" s="27">
        <f t="shared" ref="D258:D264" si="267">C248</f>
        <v>0</v>
      </c>
      <c r="E258" s="28">
        <f t="shared" ref="E258:E264" si="268">D258*$E$6</f>
        <v>0</v>
      </c>
      <c r="F258" s="42">
        <f t="shared" ref="F258:F264" si="269">(E258-1)/30</f>
        <v>-3.3333333333333333E-2</v>
      </c>
      <c r="G258" s="42">
        <f t="shared" ref="G258:G264" si="270">($E258-7)/30</f>
        <v>-0.23333333333333334</v>
      </c>
      <c r="H258" s="42">
        <f t="shared" ref="H258:H264" si="271">($E258-11)/30</f>
        <v>-0.36666666666666664</v>
      </c>
      <c r="I258" s="42">
        <f t="shared" ref="I258:I264" si="272">($E258-13)/30</f>
        <v>-0.43333333333333335</v>
      </c>
      <c r="J258" s="42">
        <f t="shared" ref="J258:J264" si="273">($E258-17)/30</f>
        <v>-0.56666666666666665</v>
      </c>
      <c r="K258" s="42">
        <f t="shared" ref="K258:K264" si="274">($E258-19)/30</f>
        <v>-0.6333333333333333</v>
      </c>
      <c r="L258" s="42">
        <f t="shared" ref="L258:L264" si="275">($E258-23)/30</f>
        <v>-0.76666666666666672</v>
      </c>
      <c r="M258" s="42">
        <f t="shared" ref="M258:M264" si="276">($E258-29)/30</f>
        <v>-0.96666666666666667</v>
      </c>
      <c r="O258" s="43" t="str">
        <f t="shared" si="266"/>
        <v/>
      </c>
    </row>
    <row r="259" spans="1:15" x14ac:dyDescent="0.45">
      <c r="D259" s="27">
        <f t="shared" si="267"/>
        <v>0</v>
      </c>
      <c r="E259" s="28">
        <f t="shared" si="268"/>
        <v>0</v>
      </c>
      <c r="F259" s="42">
        <f t="shared" si="269"/>
        <v>-3.3333333333333333E-2</v>
      </c>
      <c r="G259" s="42">
        <f t="shared" si="270"/>
        <v>-0.23333333333333334</v>
      </c>
      <c r="H259" s="42">
        <f t="shared" si="271"/>
        <v>-0.36666666666666664</v>
      </c>
      <c r="I259" s="42">
        <f t="shared" si="272"/>
        <v>-0.43333333333333335</v>
      </c>
      <c r="J259" s="42">
        <f t="shared" si="273"/>
        <v>-0.56666666666666665</v>
      </c>
      <c r="K259" s="42">
        <f t="shared" si="274"/>
        <v>-0.6333333333333333</v>
      </c>
      <c r="L259" s="42">
        <f t="shared" si="275"/>
        <v>-0.76666666666666672</v>
      </c>
      <c r="M259" s="42">
        <f t="shared" si="276"/>
        <v>-0.96666666666666667</v>
      </c>
      <c r="O259" s="43" t="str">
        <f t="shared" si="266"/>
        <v/>
      </c>
    </row>
    <row r="260" spans="1:15" x14ac:dyDescent="0.45">
      <c r="D260" s="27">
        <f t="shared" si="267"/>
        <v>0</v>
      </c>
      <c r="E260" s="28">
        <f t="shared" si="268"/>
        <v>0</v>
      </c>
      <c r="F260" s="42">
        <f t="shared" si="269"/>
        <v>-3.3333333333333333E-2</v>
      </c>
      <c r="G260" s="42">
        <f t="shared" si="270"/>
        <v>-0.23333333333333334</v>
      </c>
      <c r="H260" s="42">
        <f t="shared" si="271"/>
        <v>-0.36666666666666664</v>
      </c>
      <c r="I260" s="42">
        <f t="shared" si="272"/>
        <v>-0.43333333333333335</v>
      </c>
      <c r="J260" s="42">
        <f t="shared" si="273"/>
        <v>-0.56666666666666665</v>
      </c>
      <c r="K260" s="42">
        <f t="shared" si="274"/>
        <v>-0.6333333333333333</v>
      </c>
      <c r="L260" s="42">
        <f t="shared" si="275"/>
        <v>-0.76666666666666672</v>
      </c>
      <c r="M260" s="42">
        <f t="shared" si="276"/>
        <v>-0.96666666666666667</v>
      </c>
      <c r="O260" s="43" t="str">
        <f t="shared" si="266"/>
        <v/>
      </c>
    </row>
    <row r="261" spans="1:15" x14ac:dyDescent="0.45">
      <c r="D261" s="27">
        <f t="shared" si="267"/>
        <v>0</v>
      </c>
      <c r="E261" s="28">
        <f t="shared" si="268"/>
        <v>0</v>
      </c>
      <c r="F261" s="42">
        <f t="shared" si="269"/>
        <v>-3.3333333333333333E-2</v>
      </c>
      <c r="G261" s="42">
        <f t="shared" si="270"/>
        <v>-0.23333333333333334</v>
      </c>
      <c r="H261" s="42">
        <f t="shared" si="271"/>
        <v>-0.36666666666666664</v>
      </c>
      <c r="I261" s="42">
        <f t="shared" si="272"/>
        <v>-0.43333333333333335</v>
      </c>
      <c r="J261" s="42">
        <f t="shared" si="273"/>
        <v>-0.56666666666666665</v>
      </c>
      <c r="K261" s="42">
        <f t="shared" si="274"/>
        <v>-0.6333333333333333</v>
      </c>
      <c r="L261" s="42">
        <f t="shared" si="275"/>
        <v>-0.76666666666666672</v>
      </c>
      <c r="M261" s="42">
        <f t="shared" si="276"/>
        <v>-0.96666666666666667</v>
      </c>
      <c r="O261" s="43" t="str">
        <f t="shared" si="266"/>
        <v/>
      </c>
    </row>
    <row r="262" spans="1:15" x14ac:dyDescent="0.45">
      <c r="D262" s="27">
        <f t="shared" si="267"/>
        <v>0</v>
      </c>
      <c r="E262" s="28">
        <f t="shared" si="268"/>
        <v>0</v>
      </c>
      <c r="F262" s="42">
        <f t="shared" si="269"/>
        <v>-3.3333333333333333E-2</v>
      </c>
      <c r="G262" s="42">
        <f t="shared" si="270"/>
        <v>-0.23333333333333334</v>
      </c>
      <c r="H262" s="42">
        <f t="shared" si="271"/>
        <v>-0.36666666666666664</v>
      </c>
      <c r="I262" s="42">
        <f t="shared" si="272"/>
        <v>-0.43333333333333335</v>
      </c>
      <c r="J262" s="42">
        <f t="shared" si="273"/>
        <v>-0.56666666666666665</v>
      </c>
      <c r="K262" s="42">
        <f t="shared" si="274"/>
        <v>-0.6333333333333333</v>
      </c>
      <c r="L262" s="42">
        <f t="shared" si="275"/>
        <v>-0.76666666666666672</v>
      </c>
      <c r="M262" s="42">
        <f t="shared" si="276"/>
        <v>-0.96666666666666667</v>
      </c>
      <c r="O262" s="43" t="str">
        <f t="shared" si="266"/>
        <v/>
      </c>
    </row>
    <row r="263" spans="1:15" x14ac:dyDescent="0.45">
      <c r="D263" s="27">
        <f t="shared" si="267"/>
        <v>0</v>
      </c>
      <c r="E263" s="28">
        <f t="shared" si="268"/>
        <v>0</v>
      </c>
      <c r="F263" s="42">
        <f t="shared" si="269"/>
        <v>-3.3333333333333333E-2</v>
      </c>
      <c r="G263" s="42">
        <f t="shared" si="270"/>
        <v>-0.23333333333333334</v>
      </c>
      <c r="H263" s="42">
        <f t="shared" si="271"/>
        <v>-0.36666666666666664</v>
      </c>
      <c r="I263" s="42">
        <f t="shared" si="272"/>
        <v>-0.43333333333333335</v>
      </c>
      <c r="J263" s="42">
        <f t="shared" si="273"/>
        <v>-0.56666666666666665</v>
      </c>
      <c r="K263" s="42">
        <f t="shared" si="274"/>
        <v>-0.6333333333333333</v>
      </c>
      <c r="L263" s="42">
        <f t="shared" si="275"/>
        <v>-0.76666666666666672</v>
      </c>
      <c r="M263" s="42">
        <f t="shared" si="276"/>
        <v>-0.96666666666666667</v>
      </c>
      <c r="O263" s="43" t="str">
        <f t="shared" si="266"/>
        <v/>
      </c>
    </row>
    <row r="264" spans="1:15" x14ac:dyDescent="0.45">
      <c r="D264" s="27">
        <f t="shared" si="267"/>
        <v>0</v>
      </c>
      <c r="E264" s="28">
        <f t="shared" si="268"/>
        <v>0</v>
      </c>
      <c r="F264" s="42">
        <f t="shared" si="269"/>
        <v>-3.3333333333333333E-2</v>
      </c>
      <c r="G264" s="42">
        <f t="shared" si="270"/>
        <v>-0.23333333333333334</v>
      </c>
      <c r="H264" s="42">
        <f t="shared" si="271"/>
        <v>-0.36666666666666664</v>
      </c>
      <c r="I264" s="42">
        <f t="shared" si="272"/>
        <v>-0.43333333333333335</v>
      </c>
      <c r="J264" s="42">
        <f t="shared" si="273"/>
        <v>-0.56666666666666665</v>
      </c>
      <c r="K264" s="42">
        <f t="shared" si="274"/>
        <v>-0.6333333333333333</v>
      </c>
      <c r="L264" s="42">
        <f t="shared" si="275"/>
        <v>-0.76666666666666672</v>
      </c>
      <c r="M264" s="42">
        <f t="shared" si="276"/>
        <v>-0.96666666666666667</v>
      </c>
      <c r="O264" s="43" t="str">
        <f t="shared" si="266"/>
        <v/>
      </c>
    </row>
    <row r="265" spans="1:15" ht="19.2" thickBot="1" x14ac:dyDescent="0.5">
      <c r="F265" s="42"/>
      <c r="G265" s="42"/>
      <c r="H265" s="42"/>
      <c r="I265" s="42"/>
      <c r="J265" s="42"/>
      <c r="K265" s="42"/>
      <c r="L265" s="42"/>
      <c r="M265" s="42"/>
    </row>
    <row r="266" spans="1:15" ht="19.2" thickBot="1" x14ac:dyDescent="0.5">
      <c r="C266" s="44"/>
      <c r="E266" s="34">
        <f>E247</f>
        <v>0</v>
      </c>
      <c r="F266" s="45">
        <v>1</v>
      </c>
      <c r="G266" s="46">
        <v>7</v>
      </c>
      <c r="H266" s="46">
        <v>11</v>
      </c>
      <c r="I266" s="46">
        <v>13</v>
      </c>
      <c r="J266" s="46">
        <v>17</v>
      </c>
      <c r="K266" s="46">
        <v>19</v>
      </c>
      <c r="L266" s="46">
        <v>23</v>
      </c>
      <c r="M266" s="47">
        <v>29</v>
      </c>
      <c r="O266" s="27" t="s">
        <v>2</v>
      </c>
    </row>
    <row r="267" spans="1:15" x14ac:dyDescent="0.45">
      <c r="A267" s="29">
        <v>26</v>
      </c>
      <c r="D267" s="27">
        <f>C257</f>
        <v>0</v>
      </c>
      <c r="E267" s="28">
        <f>D267*$E$6</f>
        <v>0</v>
      </c>
      <c r="F267" s="42">
        <f>(E267-1)/30</f>
        <v>-3.3333333333333333E-2</v>
      </c>
      <c r="G267" s="42">
        <f>($E267-7)/30</f>
        <v>-0.23333333333333334</v>
      </c>
      <c r="H267" s="42">
        <f>($E267-11)/30</f>
        <v>-0.36666666666666664</v>
      </c>
      <c r="I267" s="42">
        <f>($E267-13)/30</f>
        <v>-0.43333333333333335</v>
      </c>
      <c r="J267" s="42">
        <f>($E267-17)/30</f>
        <v>-0.56666666666666665</v>
      </c>
      <c r="K267" s="42">
        <f>($E267-19)/30</f>
        <v>-0.6333333333333333</v>
      </c>
      <c r="L267" s="42">
        <f>($E267-23)/30</f>
        <v>-0.76666666666666672</v>
      </c>
      <c r="M267" s="42">
        <f>($E267-29)/30</f>
        <v>-0.96666666666666667</v>
      </c>
      <c r="O267" s="43" t="str">
        <f t="shared" ref="O267:O274" si="277">FactorNumber(E267)</f>
        <v/>
      </c>
    </row>
    <row r="268" spans="1:15" x14ac:dyDescent="0.45">
      <c r="D268" s="27">
        <f t="shared" ref="D268:D274" si="278">C258</f>
        <v>0</v>
      </c>
      <c r="E268" s="28">
        <f t="shared" ref="E268:E274" si="279">D268*$E$6</f>
        <v>0</v>
      </c>
      <c r="F268" s="42">
        <f t="shared" ref="F268:F274" si="280">(E268-1)/30</f>
        <v>-3.3333333333333333E-2</v>
      </c>
      <c r="G268" s="42">
        <f t="shared" ref="G268:G274" si="281">($E268-7)/30</f>
        <v>-0.23333333333333334</v>
      </c>
      <c r="H268" s="42">
        <f t="shared" ref="H268:H274" si="282">($E268-11)/30</f>
        <v>-0.36666666666666664</v>
      </c>
      <c r="I268" s="42">
        <f t="shared" ref="I268:I274" si="283">($E268-13)/30</f>
        <v>-0.43333333333333335</v>
      </c>
      <c r="J268" s="42">
        <f t="shared" ref="J268:J274" si="284">($E268-17)/30</f>
        <v>-0.56666666666666665</v>
      </c>
      <c r="K268" s="42">
        <f t="shared" ref="K268:K274" si="285">($E268-19)/30</f>
        <v>-0.6333333333333333</v>
      </c>
      <c r="L268" s="42">
        <f t="shared" ref="L268:L274" si="286">($E268-23)/30</f>
        <v>-0.76666666666666672</v>
      </c>
      <c r="M268" s="42">
        <f t="shared" ref="M268:M274" si="287">($E268-29)/30</f>
        <v>-0.96666666666666667</v>
      </c>
      <c r="O268" s="43" t="str">
        <f t="shared" si="277"/>
        <v/>
      </c>
    </row>
    <row r="269" spans="1:15" x14ac:dyDescent="0.45">
      <c r="D269" s="27">
        <f t="shared" si="278"/>
        <v>0</v>
      </c>
      <c r="E269" s="28">
        <f t="shared" si="279"/>
        <v>0</v>
      </c>
      <c r="F269" s="42">
        <f t="shared" si="280"/>
        <v>-3.3333333333333333E-2</v>
      </c>
      <c r="G269" s="42">
        <f t="shared" si="281"/>
        <v>-0.23333333333333334</v>
      </c>
      <c r="H269" s="42">
        <f t="shared" si="282"/>
        <v>-0.36666666666666664</v>
      </c>
      <c r="I269" s="42">
        <f t="shared" si="283"/>
        <v>-0.43333333333333335</v>
      </c>
      <c r="J269" s="42">
        <f t="shared" si="284"/>
        <v>-0.56666666666666665</v>
      </c>
      <c r="K269" s="42">
        <f t="shared" si="285"/>
        <v>-0.6333333333333333</v>
      </c>
      <c r="L269" s="42">
        <f t="shared" si="286"/>
        <v>-0.76666666666666672</v>
      </c>
      <c r="M269" s="42">
        <f t="shared" si="287"/>
        <v>-0.96666666666666667</v>
      </c>
      <c r="O269" s="43" t="str">
        <f t="shared" si="277"/>
        <v/>
      </c>
    </row>
    <row r="270" spans="1:15" x14ac:dyDescent="0.45">
      <c r="D270" s="27">
        <f t="shared" si="278"/>
        <v>0</v>
      </c>
      <c r="E270" s="28">
        <f t="shared" si="279"/>
        <v>0</v>
      </c>
      <c r="F270" s="42">
        <f t="shared" si="280"/>
        <v>-3.3333333333333333E-2</v>
      </c>
      <c r="G270" s="42">
        <f t="shared" si="281"/>
        <v>-0.23333333333333334</v>
      </c>
      <c r="H270" s="42">
        <f t="shared" si="282"/>
        <v>-0.36666666666666664</v>
      </c>
      <c r="I270" s="42">
        <f t="shared" si="283"/>
        <v>-0.43333333333333335</v>
      </c>
      <c r="J270" s="42">
        <f t="shared" si="284"/>
        <v>-0.56666666666666665</v>
      </c>
      <c r="K270" s="42">
        <f t="shared" si="285"/>
        <v>-0.6333333333333333</v>
      </c>
      <c r="L270" s="42">
        <f t="shared" si="286"/>
        <v>-0.76666666666666672</v>
      </c>
      <c r="M270" s="42">
        <f t="shared" si="287"/>
        <v>-0.96666666666666667</v>
      </c>
      <c r="O270" s="43" t="str">
        <f t="shared" si="277"/>
        <v/>
      </c>
    </row>
    <row r="271" spans="1:15" x14ac:dyDescent="0.45">
      <c r="D271" s="27">
        <f t="shared" si="278"/>
        <v>0</v>
      </c>
      <c r="E271" s="28">
        <f t="shared" si="279"/>
        <v>0</v>
      </c>
      <c r="F271" s="42">
        <f t="shared" si="280"/>
        <v>-3.3333333333333333E-2</v>
      </c>
      <c r="G271" s="42">
        <f t="shared" si="281"/>
        <v>-0.23333333333333334</v>
      </c>
      <c r="H271" s="42">
        <f t="shared" si="282"/>
        <v>-0.36666666666666664</v>
      </c>
      <c r="I271" s="42">
        <f t="shared" si="283"/>
        <v>-0.43333333333333335</v>
      </c>
      <c r="J271" s="42">
        <f t="shared" si="284"/>
        <v>-0.56666666666666665</v>
      </c>
      <c r="K271" s="42">
        <f t="shared" si="285"/>
        <v>-0.6333333333333333</v>
      </c>
      <c r="L271" s="42">
        <f t="shared" si="286"/>
        <v>-0.76666666666666672</v>
      </c>
      <c r="M271" s="42">
        <f t="shared" si="287"/>
        <v>-0.96666666666666667</v>
      </c>
      <c r="O271" s="43" t="str">
        <f t="shared" si="277"/>
        <v/>
      </c>
    </row>
    <row r="272" spans="1:15" x14ac:dyDescent="0.45">
      <c r="D272" s="27">
        <f t="shared" si="278"/>
        <v>0</v>
      </c>
      <c r="E272" s="28">
        <f t="shared" si="279"/>
        <v>0</v>
      </c>
      <c r="F272" s="42">
        <f t="shared" si="280"/>
        <v>-3.3333333333333333E-2</v>
      </c>
      <c r="G272" s="42">
        <f t="shared" si="281"/>
        <v>-0.23333333333333334</v>
      </c>
      <c r="H272" s="42">
        <f t="shared" si="282"/>
        <v>-0.36666666666666664</v>
      </c>
      <c r="I272" s="42">
        <f t="shared" si="283"/>
        <v>-0.43333333333333335</v>
      </c>
      <c r="J272" s="42">
        <f t="shared" si="284"/>
        <v>-0.56666666666666665</v>
      </c>
      <c r="K272" s="42">
        <f t="shared" si="285"/>
        <v>-0.6333333333333333</v>
      </c>
      <c r="L272" s="42">
        <f t="shared" si="286"/>
        <v>-0.76666666666666672</v>
      </c>
      <c r="M272" s="42">
        <f t="shared" si="287"/>
        <v>-0.96666666666666667</v>
      </c>
      <c r="O272" s="43" t="str">
        <f t="shared" si="277"/>
        <v/>
      </c>
    </row>
    <row r="273" spans="1:15" x14ac:dyDescent="0.45">
      <c r="D273" s="27">
        <f t="shared" si="278"/>
        <v>0</v>
      </c>
      <c r="E273" s="28">
        <f t="shared" si="279"/>
        <v>0</v>
      </c>
      <c r="F273" s="42">
        <f t="shared" si="280"/>
        <v>-3.3333333333333333E-2</v>
      </c>
      <c r="G273" s="42">
        <f t="shared" si="281"/>
        <v>-0.23333333333333334</v>
      </c>
      <c r="H273" s="42">
        <f t="shared" si="282"/>
        <v>-0.36666666666666664</v>
      </c>
      <c r="I273" s="42">
        <f t="shared" si="283"/>
        <v>-0.43333333333333335</v>
      </c>
      <c r="J273" s="42">
        <f t="shared" si="284"/>
        <v>-0.56666666666666665</v>
      </c>
      <c r="K273" s="42">
        <f t="shared" si="285"/>
        <v>-0.6333333333333333</v>
      </c>
      <c r="L273" s="42">
        <f t="shared" si="286"/>
        <v>-0.76666666666666672</v>
      </c>
      <c r="M273" s="42">
        <f t="shared" si="287"/>
        <v>-0.96666666666666667</v>
      </c>
      <c r="O273" s="43" t="str">
        <f t="shared" si="277"/>
        <v/>
      </c>
    </row>
    <row r="274" spans="1:15" x14ac:dyDescent="0.45">
      <c r="D274" s="27">
        <f t="shared" si="278"/>
        <v>0</v>
      </c>
      <c r="E274" s="28">
        <f t="shared" si="279"/>
        <v>0</v>
      </c>
      <c r="F274" s="42">
        <f t="shared" si="280"/>
        <v>-3.3333333333333333E-2</v>
      </c>
      <c r="G274" s="42">
        <f t="shared" si="281"/>
        <v>-0.23333333333333334</v>
      </c>
      <c r="H274" s="42">
        <f t="shared" si="282"/>
        <v>-0.36666666666666664</v>
      </c>
      <c r="I274" s="42">
        <f t="shared" si="283"/>
        <v>-0.43333333333333335</v>
      </c>
      <c r="J274" s="42">
        <f t="shared" si="284"/>
        <v>-0.56666666666666665</v>
      </c>
      <c r="K274" s="42">
        <f t="shared" si="285"/>
        <v>-0.6333333333333333</v>
      </c>
      <c r="L274" s="42">
        <f t="shared" si="286"/>
        <v>-0.76666666666666672</v>
      </c>
      <c r="M274" s="42">
        <f t="shared" si="287"/>
        <v>-0.96666666666666667</v>
      </c>
      <c r="O274" s="43" t="str">
        <f t="shared" si="277"/>
        <v/>
      </c>
    </row>
    <row r="275" spans="1:15" ht="19.2" thickBot="1" x14ac:dyDescent="0.5">
      <c r="F275" s="42"/>
      <c r="G275" s="42"/>
      <c r="H275" s="42"/>
      <c r="I275" s="42"/>
      <c r="J275" s="42"/>
      <c r="K275" s="42"/>
      <c r="L275" s="42"/>
      <c r="M275" s="42"/>
    </row>
    <row r="276" spans="1:15" ht="19.2" thickBot="1" x14ac:dyDescent="0.5">
      <c r="C276" s="44"/>
      <c r="E276" s="34">
        <f>E257</f>
        <v>0</v>
      </c>
      <c r="F276" s="45">
        <v>1</v>
      </c>
      <c r="G276" s="46">
        <v>7</v>
      </c>
      <c r="H276" s="46">
        <v>11</v>
      </c>
      <c r="I276" s="46">
        <v>13</v>
      </c>
      <c r="J276" s="46">
        <v>17</v>
      </c>
      <c r="K276" s="46">
        <v>19</v>
      </c>
      <c r="L276" s="46">
        <v>23</v>
      </c>
      <c r="M276" s="47">
        <v>29</v>
      </c>
      <c r="O276" s="27" t="s">
        <v>2</v>
      </c>
    </row>
    <row r="277" spans="1:15" x14ac:dyDescent="0.45">
      <c r="A277" s="29">
        <v>27</v>
      </c>
      <c r="D277" s="27">
        <f>C267</f>
        <v>0</v>
      </c>
      <c r="E277" s="28">
        <f>D277*$E$6</f>
        <v>0</v>
      </c>
      <c r="F277" s="42">
        <f>(E277-1)/30</f>
        <v>-3.3333333333333333E-2</v>
      </c>
      <c r="G277" s="42">
        <f>($E277-7)/30</f>
        <v>-0.23333333333333334</v>
      </c>
      <c r="H277" s="42">
        <f>($E277-11)/30</f>
        <v>-0.36666666666666664</v>
      </c>
      <c r="I277" s="42">
        <f>($E277-13)/30</f>
        <v>-0.43333333333333335</v>
      </c>
      <c r="J277" s="42">
        <f>($E277-17)/30</f>
        <v>-0.56666666666666665</v>
      </c>
      <c r="K277" s="42">
        <f>($E277-19)/30</f>
        <v>-0.6333333333333333</v>
      </c>
      <c r="L277" s="42">
        <f>($E277-23)/30</f>
        <v>-0.76666666666666672</v>
      </c>
      <c r="M277" s="42">
        <f>($E277-29)/30</f>
        <v>-0.96666666666666667</v>
      </c>
      <c r="O277" s="43" t="str">
        <f t="shared" ref="O277:O284" si="288">FactorNumber(E277)</f>
        <v/>
      </c>
    </row>
    <row r="278" spans="1:15" x14ac:dyDescent="0.45">
      <c r="D278" s="27">
        <f t="shared" ref="D278:D284" si="289">C268</f>
        <v>0</v>
      </c>
      <c r="E278" s="28">
        <f t="shared" ref="E278:E284" si="290">D278*$E$6</f>
        <v>0</v>
      </c>
      <c r="F278" s="42">
        <f t="shared" ref="F278:F284" si="291">(E278-1)/30</f>
        <v>-3.3333333333333333E-2</v>
      </c>
      <c r="G278" s="42">
        <f t="shared" ref="G278:G284" si="292">($E278-7)/30</f>
        <v>-0.23333333333333334</v>
      </c>
      <c r="H278" s="42">
        <f t="shared" ref="H278:H284" si="293">($E278-11)/30</f>
        <v>-0.36666666666666664</v>
      </c>
      <c r="I278" s="42">
        <f t="shared" ref="I278:I284" si="294">($E278-13)/30</f>
        <v>-0.43333333333333335</v>
      </c>
      <c r="J278" s="42">
        <f t="shared" ref="J278:J284" si="295">($E278-17)/30</f>
        <v>-0.56666666666666665</v>
      </c>
      <c r="K278" s="42">
        <f t="shared" ref="K278:K284" si="296">($E278-19)/30</f>
        <v>-0.6333333333333333</v>
      </c>
      <c r="L278" s="42">
        <f t="shared" ref="L278:L284" si="297">($E278-23)/30</f>
        <v>-0.76666666666666672</v>
      </c>
      <c r="M278" s="42">
        <f t="shared" ref="M278:M284" si="298">($E278-29)/30</f>
        <v>-0.96666666666666667</v>
      </c>
      <c r="O278" s="43" t="str">
        <f t="shared" si="288"/>
        <v/>
      </c>
    </row>
    <row r="279" spans="1:15" x14ac:dyDescent="0.45">
      <c r="D279" s="27">
        <f t="shared" si="289"/>
        <v>0</v>
      </c>
      <c r="E279" s="28">
        <f t="shared" si="290"/>
        <v>0</v>
      </c>
      <c r="F279" s="42">
        <f t="shared" si="291"/>
        <v>-3.3333333333333333E-2</v>
      </c>
      <c r="G279" s="42">
        <f t="shared" si="292"/>
        <v>-0.23333333333333334</v>
      </c>
      <c r="H279" s="42">
        <f t="shared" si="293"/>
        <v>-0.36666666666666664</v>
      </c>
      <c r="I279" s="42">
        <f t="shared" si="294"/>
        <v>-0.43333333333333335</v>
      </c>
      <c r="J279" s="42">
        <f t="shared" si="295"/>
        <v>-0.56666666666666665</v>
      </c>
      <c r="K279" s="42">
        <f t="shared" si="296"/>
        <v>-0.6333333333333333</v>
      </c>
      <c r="L279" s="42">
        <f t="shared" si="297"/>
        <v>-0.76666666666666672</v>
      </c>
      <c r="M279" s="42">
        <f t="shared" si="298"/>
        <v>-0.96666666666666667</v>
      </c>
      <c r="O279" s="43" t="str">
        <f t="shared" si="288"/>
        <v/>
      </c>
    </row>
    <row r="280" spans="1:15" x14ac:dyDescent="0.45">
      <c r="D280" s="27">
        <f t="shared" si="289"/>
        <v>0</v>
      </c>
      <c r="E280" s="28">
        <f t="shared" si="290"/>
        <v>0</v>
      </c>
      <c r="F280" s="42">
        <f t="shared" si="291"/>
        <v>-3.3333333333333333E-2</v>
      </c>
      <c r="G280" s="42">
        <f t="shared" si="292"/>
        <v>-0.23333333333333334</v>
      </c>
      <c r="H280" s="42">
        <f t="shared" si="293"/>
        <v>-0.36666666666666664</v>
      </c>
      <c r="I280" s="42">
        <f t="shared" si="294"/>
        <v>-0.43333333333333335</v>
      </c>
      <c r="J280" s="42">
        <f t="shared" si="295"/>
        <v>-0.56666666666666665</v>
      </c>
      <c r="K280" s="42">
        <f t="shared" si="296"/>
        <v>-0.6333333333333333</v>
      </c>
      <c r="L280" s="42">
        <f t="shared" si="297"/>
        <v>-0.76666666666666672</v>
      </c>
      <c r="M280" s="42">
        <f t="shared" si="298"/>
        <v>-0.96666666666666667</v>
      </c>
      <c r="O280" s="43" t="str">
        <f t="shared" si="288"/>
        <v/>
      </c>
    </row>
    <row r="281" spans="1:15" x14ac:dyDescent="0.45">
      <c r="D281" s="27">
        <f t="shared" si="289"/>
        <v>0</v>
      </c>
      <c r="E281" s="28">
        <f t="shared" si="290"/>
        <v>0</v>
      </c>
      <c r="F281" s="42">
        <f t="shared" si="291"/>
        <v>-3.3333333333333333E-2</v>
      </c>
      <c r="G281" s="42">
        <f t="shared" si="292"/>
        <v>-0.23333333333333334</v>
      </c>
      <c r="H281" s="42">
        <f t="shared" si="293"/>
        <v>-0.36666666666666664</v>
      </c>
      <c r="I281" s="42">
        <f t="shared" si="294"/>
        <v>-0.43333333333333335</v>
      </c>
      <c r="J281" s="42">
        <f t="shared" si="295"/>
        <v>-0.56666666666666665</v>
      </c>
      <c r="K281" s="42">
        <f t="shared" si="296"/>
        <v>-0.6333333333333333</v>
      </c>
      <c r="L281" s="42">
        <f t="shared" si="297"/>
        <v>-0.76666666666666672</v>
      </c>
      <c r="M281" s="42">
        <f t="shared" si="298"/>
        <v>-0.96666666666666667</v>
      </c>
      <c r="O281" s="43" t="str">
        <f t="shared" si="288"/>
        <v/>
      </c>
    </row>
    <row r="282" spans="1:15" x14ac:dyDescent="0.45">
      <c r="D282" s="27">
        <f t="shared" si="289"/>
        <v>0</v>
      </c>
      <c r="E282" s="28">
        <f t="shared" si="290"/>
        <v>0</v>
      </c>
      <c r="F282" s="42">
        <f t="shared" si="291"/>
        <v>-3.3333333333333333E-2</v>
      </c>
      <c r="G282" s="42">
        <f t="shared" si="292"/>
        <v>-0.23333333333333334</v>
      </c>
      <c r="H282" s="42">
        <f t="shared" si="293"/>
        <v>-0.36666666666666664</v>
      </c>
      <c r="I282" s="42">
        <f t="shared" si="294"/>
        <v>-0.43333333333333335</v>
      </c>
      <c r="J282" s="42">
        <f t="shared" si="295"/>
        <v>-0.56666666666666665</v>
      </c>
      <c r="K282" s="42">
        <f t="shared" si="296"/>
        <v>-0.6333333333333333</v>
      </c>
      <c r="L282" s="42">
        <f t="shared" si="297"/>
        <v>-0.76666666666666672</v>
      </c>
      <c r="M282" s="42">
        <f t="shared" si="298"/>
        <v>-0.96666666666666667</v>
      </c>
      <c r="O282" s="43" t="str">
        <f t="shared" si="288"/>
        <v/>
      </c>
    </row>
    <row r="283" spans="1:15" x14ac:dyDescent="0.45">
      <c r="D283" s="27">
        <f t="shared" si="289"/>
        <v>0</v>
      </c>
      <c r="E283" s="28">
        <f t="shared" si="290"/>
        <v>0</v>
      </c>
      <c r="F283" s="42">
        <f t="shared" si="291"/>
        <v>-3.3333333333333333E-2</v>
      </c>
      <c r="G283" s="42">
        <f t="shared" si="292"/>
        <v>-0.23333333333333334</v>
      </c>
      <c r="H283" s="42">
        <f t="shared" si="293"/>
        <v>-0.36666666666666664</v>
      </c>
      <c r="I283" s="42">
        <f t="shared" si="294"/>
        <v>-0.43333333333333335</v>
      </c>
      <c r="J283" s="42">
        <f t="shared" si="295"/>
        <v>-0.56666666666666665</v>
      </c>
      <c r="K283" s="42">
        <f t="shared" si="296"/>
        <v>-0.6333333333333333</v>
      </c>
      <c r="L283" s="42">
        <f t="shared" si="297"/>
        <v>-0.76666666666666672</v>
      </c>
      <c r="M283" s="42">
        <f t="shared" si="298"/>
        <v>-0.96666666666666667</v>
      </c>
      <c r="O283" s="43" t="str">
        <f t="shared" si="288"/>
        <v/>
      </c>
    </row>
    <row r="284" spans="1:15" x14ac:dyDescent="0.45">
      <c r="D284" s="27">
        <f t="shared" si="289"/>
        <v>0</v>
      </c>
      <c r="E284" s="28">
        <f t="shared" si="290"/>
        <v>0</v>
      </c>
      <c r="F284" s="42">
        <f t="shared" si="291"/>
        <v>-3.3333333333333333E-2</v>
      </c>
      <c r="G284" s="42">
        <f t="shared" si="292"/>
        <v>-0.23333333333333334</v>
      </c>
      <c r="H284" s="42">
        <f t="shared" si="293"/>
        <v>-0.36666666666666664</v>
      </c>
      <c r="I284" s="42">
        <f t="shared" si="294"/>
        <v>-0.43333333333333335</v>
      </c>
      <c r="J284" s="42">
        <f t="shared" si="295"/>
        <v>-0.56666666666666665</v>
      </c>
      <c r="K284" s="42">
        <f t="shared" si="296"/>
        <v>-0.6333333333333333</v>
      </c>
      <c r="L284" s="42">
        <f t="shared" si="297"/>
        <v>-0.76666666666666672</v>
      </c>
      <c r="M284" s="42">
        <f t="shared" si="298"/>
        <v>-0.96666666666666667</v>
      </c>
      <c r="O284" s="43" t="str">
        <f t="shared" si="288"/>
        <v/>
      </c>
    </row>
    <row r="285" spans="1:15" ht="19.2" thickBot="1" x14ac:dyDescent="0.5">
      <c r="F285" s="42"/>
      <c r="G285" s="42"/>
      <c r="H285" s="42"/>
      <c r="I285" s="42"/>
      <c r="J285" s="42"/>
      <c r="K285" s="42"/>
      <c r="L285" s="42"/>
      <c r="M285" s="42"/>
    </row>
    <row r="286" spans="1:15" ht="19.2" thickBot="1" x14ac:dyDescent="0.5">
      <c r="C286" s="44"/>
      <c r="E286" s="34">
        <f>E267</f>
        <v>0</v>
      </c>
      <c r="F286" s="45">
        <v>1</v>
      </c>
      <c r="G286" s="46">
        <v>7</v>
      </c>
      <c r="H286" s="46">
        <v>11</v>
      </c>
      <c r="I286" s="46">
        <v>13</v>
      </c>
      <c r="J286" s="46">
        <v>17</v>
      </c>
      <c r="K286" s="46">
        <v>19</v>
      </c>
      <c r="L286" s="46">
        <v>23</v>
      </c>
      <c r="M286" s="47">
        <v>29</v>
      </c>
      <c r="O286" s="27" t="s">
        <v>2</v>
      </c>
    </row>
    <row r="287" spans="1:15" x14ac:dyDescent="0.45">
      <c r="A287" s="29">
        <v>28</v>
      </c>
      <c r="D287" s="27">
        <f>C277</f>
        <v>0</v>
      </c>
      <c r="E287" s="28">
        <f>D287*$E$6</f>
        <v>0</v>
      </c>
      <c r="F287" s="42">
        <f>(E287-1)/30</f>
        <v>-3.3333333333333333E-2</v>
      </c>
      <c r="G287" s="42">
        <f>($E287-7)/30</f>
        <v>-0.23333333333333334</v>
      </c>
      <c r="H287" s="42">
        <f>($E287-11)/30</f>
        <v>-0.36666666666666664</v>
      </c>
      <c r="I287" s="42">
        <f>($E287-13)/30</f>
        <v>-0.43333333333333335</v>
      </c>
      <c r="J287" s="42">
        <f>($E287-17)/30</f>
        <v>-0.56666666666666665</v>
      </c>
      <c r="K287" s="42">
        <f>($E287-19)/30</f>
        <v>-0.6333333333333333</v>
      </c>
      <c r="L287" s="42">
        <f>($E287-23)/30</f>
        <v>-0.76666666666666672</v>
      </c>
      <c r="M287" s="42">
        <f>($E287-29)/30</f>
        <v>-0.96666666666666667</v>
      </c>
      <c r="O287" s="43" t="str">
        <f t="shared" ref="O287:O294" si="299">FactorNumber(E287)</f>
        <v/>
      </c>
    </row>
    <row r="288" spans="1:15" x14ac:dyDescent="0.45">
      <c r="D288" s="27">
        <f t="shared" ref="D288:D294" si="300">C278</f>
        <v>0</v>
      </c>
      <c r="E288" s="28">
        <f t="shared" ref="E288:E294" si="301">D288*$E$6</f>
        <v>0</v>
      </c>
      <c r="F288" s="42">
        <f t="shared" ref="F288:F294" si="302">(E288-1)/30</f>
        <v>-3.3333333333333333E-2</v>
      </c>
      <c r="G288" s="42">
        <f t="shared" ref="G288:G294" si="303">($E288-7)/30</f>
        <v>-0.23333333333333334</v>
      </c>
      <c r="H288" s="42">
        <f t="shared" ref="H288:H294" si="304">($E288-11)/30</f>
        <v>-0.36666666666666664</v>
      </c>
      <c r="I288" s="42">
        <f t="shared" ref="I288:I294" si="305">($E288-13)/30</f>
        <v>-0.43333333333333335</v>
      </c>
      <c r="J288" s="42">
        <f t="shared" ref="J288:J294" si="306">($E288-17)/30</f>
        <v>-0.56666666666666665</v>
      </c>
      <c r="K288" s="42">
        <f t="shared" ref="K288:K294" si="307">($E288-19)/30</f>
        <v>-0.6333333333333333</v>
      </c>
      <c r="L288" s="42">
        <f t="shared" ref="L288:L294" si="308">($E288-23)/30</f>
        <v>-0.76666666666666672</v>
      </c>
      <c r="M288" s="42">
        <f t="shared" ref="M288:M294" si="309">($E288-29)/30</f>
        <v>-0.96666666666666667</v>
      </c>
      <c r="O288" s="43" t="str">
        <f t="shared" si="299"/>
        <v/>
      </c>
    </row>
    <row r="289" spans="1:15" x14ac:dyDescent="0.45">
      <c r="D289" s="27">
        <f t="shared" si="300"/>
        <v>0</v>
      </c>
      <c r="E289" s="28">
        <f t="shared" si="301"/>
        <v>0</v>
      </c>
      <c r="F289" s="42">
        <f t="shared" si="302"/>
        <v>-3.3333333333333333E-2</v>
      </c>
      <c r="G289" s="42">
        <f t="shared" si="303"/>
        <v>-0.23333333333333334</v>
      </c>
      <c r="H289" s="42">
        <f t="shared" si="304"/>
        <v>-0.36666666666666664</v>
      </c>
      <c r="I289" s="42">
        <f t="shared" si="305"/>
        <v>-0.43333333333333335</v>
      </c>
      <c r="J289" s="42">
        <f t="shared" si="306"/>
        <v>-0.56666666666666665</v>
      </c>
      <c r="K289" s="42">
        <f t="shared" si="307"/>
        <v>-0.6333333333333333</v>
      </c>
      <c r="L289" s="42">
        <f t="shared" si="308"/>
        <v>-0.76666666666666672</v>
      </c>
      <c r="M289" s="42">
        <f t="shared" si="309"/>
        <v>-0.96666666666666667</v>
      </c>
      <c r="O289" s="43" t="str">
        <f t="shared" si="299"/>
        <v/>
      </c>
    </row>
    <row r="290" spans="1:15" x14ac:dyDescent="0.45">
      <c r="D290" s="27">
        <f t="shared" si="300"/>
        <v>0</v>
      </c>
      <c r="E290" s="28">
        <f t="shared" si="301"/>
        <v>0</v>
      </c>
      <c r="F290" s="42">
        <f t="shared" si="302"/>
        <v>-3.3333333333333333E-2</v>
      </c>
      <c r="G290" s="42">
        <f t="shared" si="303"/>
        <v>-0.23333333333333334</v>
      </c>
      <c r="H290" s="42">
        <f t="shared" si="304"/>
        <v>-0.36666666666666664</v>
      </c>
      <c r="I290" s="42">
        <f t="shared" si="305"/>
        <v>-0.43333333333333335</v>
      </c>
      <c r="J290" s="42">
        <f t="shared" si="306"/>
        <v>-0.56666666666666665</v>
      </c>
      <c r="K290" s="42">
        <f t="shared" si="307"/>
        <v>-0.6333333333333333</v>
      </c>
      <c r="L290" s="42">
        <f t="shared" si="308"/>
        <v>-0.76666666666666672</v>
      </c>
      <c r="M290" s="42">
        <f t="shared" si="309"/>
        <v>-0.96666666666666667</v>
      </c>
      <c r="O290" s="43" t="str">
        <f t="shared" si="299"/>
        <v/>
      </c>
    </row>
    <row r="291" spans="1:15" x14ac:dyDescent="0.45">
      <c r="D291" s="27">
        <f t="shared" si="300"/>
        <v>0</v>
      </c>
      <c r="E291" s="28">
        <f t="shared" si="301"/>
        <v>0</v>
      </c>
      <c r="F291" s="42">
        <f t="shared" si="302"/>
        <v>-3.3333333333333333E-2</v>
      </c>
      <c r="G291" s="42">
        <f t="shared" si="303"/>
        <v>-0.23333333333333334</v>
      </c>
      <c r="H291" s="42">
        <f t="shared" si="304"/>
        <v>-0.36666666666666664</v>
      </c>
      <c r="I291" s="42">
        <f t="shared" si="305"/>
        <v>-0.43333333333333335</v>
      </c>
      <c r="J291" s="42">
        <f t="shared" si="306"/>
        <v>-0.56666666666666665</v>
      </c>
      <c r="K291" s="42">
        <f t="shared" si="307"/>
        <v>-0.6333333333333333</v>
      </c>
      <c r="L291" s="42">
        <f t="shared" si="308"/>
        <v>-0.76666666666666672</v>
      </c>
      <c r="M291" s="42">
        <f t="shared" si="309"/>
        <v>-0.96666666666666667</v>
      </c>
      <c r="O291" s="43" t="str">
        <f t="shared" si="299"/>
        <v/>
      </c>
    </row>
    <row r="292" spans="1:15" x14ac:dyDescent="0.45">
      <c r="D292" s="27">
        <f t="shared" si="300"/>
        <v>0</v>
      </c>
      <c r="E292" s="28">
        <f t="shared" si="301"/>
        <v>0</v>
      </c>
      <c r="F292" s="42">
        <f t="shared" si="302"/>
        <v>-3.3333333333333333E-2</v>
      </c>
      <c r="G292" s="42">
        <f t="shared" si="303"/>
        <v>-0.23333333333333334</v>
      </c>
      <c r="H292" s="42">
        <f t="shared" si="304"/>
        <v>-0.36666666666666664</v>
      </c>
      <c r="I292" s="42">
        <f t="shared" si="305"/>
        <v>-0.43333333333333335</v>
      </c>
      <c r="J292" s="42">
        <f t="shared" si="306"/>
        <v>-0.56666666666666665</v>
      </c>
      <c r="K292" s="42">
        <f t="shared" si="307"/>
        <v>-0.6333333333333333</v>
      </c>
      <c r="L292" s="42">
        <f t="shared" si="308"/>
        <v>-0.76666666666666672</v>
      </c>
      <c r="M292" s="42">
        <f t="shared" si="309"/>
        <v>-0.96666666666666667</v>
      </c>
      <c r="O292" s="43" t="str">
        <f t="shared" si="299"/>
        <v/>
      </c>
    </row>
    <row r="293" spans="1:15" x14ac:dyDescent="0.45">
      <c r="D293" s="27">
        <f t="shared" si="300"/>
        <v>0</v>
      </c>
      <c r="E293" s="28">
        <f t="shared" si="301"/>
        <v>0</v>
      </c>
      <c r="F293" s="42">
        <f t="shared" si="302"/>
        <v>-3.3333333333333333E-2</v>
      </c>
      <c r="G293" s="42">
        <f t="shared" si="303"/>
        <v>-0.23333333333333334</v>
      </c>
      <c r="H293" s="42">
        <f t="shared" si="304"/>
        <v>-0.36666666666666664</v>
      </c>
      <c r="I293" s="42">
        <f t="shared" si="305"/>
        <v>-0.43333333333333335</v>
      </c>
      <c r="J293" s="42">
        <f t="shared" si="306"/>
        <v>-0.56666666666666665</v>
      </c>
      <c r="K293" s="42">
        <f t="shared" si="307"/>
        <v>-0.6333333333333333</v>
      </c>
      <c r="L293" s="42">
        <f t="shared" si="308"/>
        <v>-0.76666666666666672</v>
      </c>
      <c r="M293" s="42">
        <f t="shared" si="309"/>
        <v>-0.96666666666666667</v>
      </c>
      <c r="O293" s="43" t="str">
        <f t="shared" si="299"/>
        <v/>
      </c>
    </row>
    <row r="294" spans="1:15" x14ac:dyDescent="0.45">
      <c r="D294" s="27">
        <f t="shared" si="300"/>
        <v>0</v>
      </c>
      <c r="E294" s="28">
        <f t="shared" si="301"/>
        <v>0</v>
      </c>
      <c r="F294" s="42">
        <f t="shared" si="302"/>
        <v>-3.3333333333333333E-2</v>
      </c>
      <c r="G294" s="42">
        <f t="shared" si="303"/>
        <v>-0.23333333333333334</v>
      </c>
      <c r="H294" s="42">
        <f t="shared" si="304"/>
        <v>-0.36666666666666664</v>
      </c>
      <c r="I294" s="42">
        <f t="shared" si="305"/>
        <v>-0.43333333333333335</v>
      </c>
      <c r="J294" s="42">
        <f t="shared" si="306"/>
        <v>-0.56666666666666665</v>
      </c>
      <c r="K294" s="42">
        <f t="shared" si="307"/>
        <v>-0.6333333333333333</v>
      </c>
      <c r="L294" s="42">
        <f t="shared" si="308"/>
        <v>-0.76666666666666672</v>
      </c>
      <c r="M294" s="42">
        <f t="shared" si="309"/>
        <v>-0.96666666666666667</v>
      </c>
      <c r="O294" s="43" t="str">
        <f t="shared" si="299"/>
        <v/>
      </c>
    </row>
    <row r="295" spans="1:15" ht="19.2" thickBot="1" x14ac:dyDescent="0.5">
      <c r="F295" s="42"/>
      <c r="G295" s="42"/>
      <c r="H295" s="42"/>
      <c r="I295" s="42"/>
      <c r="J295" s="42"/>
      <c r="K295" s="42"/>
      <c r="L295" s="42"/>
      <c r="M295" s="42"/>
    </row>
    <row r="296" spans="1:15" ht="19.2" thickBot="1" x14ac:dyDescent="0.5">
      <c r="C296" s="44"/>
      <c r="E296" s="34">
        <f>E277</f>
        <v>0</v>
      </c>
      <c r="F296" s="45">
        <v>1</v>
      </c>
      <c r="G296" s="46">
        <v>7</v>
      </c>
      <c r="H296" s="46">
        <v>11</v>
      </c>
      <c r="I296" s="46">
        <v>13</v>
      </c>
      <c r="J296" s="46">
        <v>17</v>
      </c>
      <c r="K296" s="46">
        <v>19</v>
      </c>
      <c r="L296" s="46">
        <v>23</v>
      </c>
      <c r="M296" s="47">
        <v>29</v>
      </c>
      <c r="O296" s="27" t="s">
        <v>2</v>
      </c>
    </row>
    <row r="297" spans="1:15" x14ac:dyDescent="0.45">
      <c r="A297" s="29">
        <v>29</v>
      </c>
      <c r="D297" s="27">
        <f>C287</f>
        <v>0</v>
      </c>
      <c r="E297" s="28">
        <f>D297*$E$6</f>
        <v>0</v>
      </c>
      <c r="F297" s="42">
        <f>(E297-1)/30</f>
        <v>-3.3333333333333333E-2</v>
      </c>
      <c r="G297" s="42">
        <f>($E297-7)/30</f>
        <v>-0.23333333333333334</v>
      </c>
      <c r="H297" s="42">
        <f>($E297-11)/30</f>
        <v>-0.36666666666666664</v>
      </c>
      <c r="I297" s="42">
        <f>($E297-13)/30</f>
        <v>-0.43333333333333335</v>
      </c>
      <c r="J297" s="42">
        <f>($E297-17)/30</f>
        <v>-0.56666666666666665</v>
      </c>
      <c r="K297" s="42">
        <f>($E297-19)/30</f>
        <v>-0.6333333333333333</v>
      </c>
      <c r="L297" s="42">
        <f>($E297-23)/30</f>
        <v>-0.76666666666666672</v>
      </c>
      <c r="M297" s="42">
        <f>($E297-29)/30</f>
        <v>-0.96666666666666667</v>
      </c>
      <c r="O297" s="43" t="str">
        <f t="shared" ref="O297:O304" si="310">FactorNumber(E297)</f>
        <v/>
      </c>
    </row>
    <row r="298" spans="1:15" x14ac:dyDescent="0.45">
      <c r="D298" s="27">
        <f t="shared" ref="D298:D304" si="311">C288</f>
        <v>0</v>
      </c>
      <c r="E298" s="28">
        <f t="shared" ref="E298:E304" si="312">D298*$E$6</f>
        <v>0</v>
      </c>
      <c r="F298" s="42">
        <f t="shared" ref="F298:F304" si="313">(E298-1)/30</f>
        <v>-3.3333333333333333E-2</v>
      </c>
      <c r="G298" s="42">
        <f t="shared" ref="G298:G304" si="314">($E298-7)/30</f>
        <v>-0.23333333333333334</v>
      </c>
      <c r="H298" s="42">
        <f t="shared" ref="H298:H304" si="315">($E298-11)/30</f>
        <v>-0.36666666666666664</v>
      </c>
      <c r="I298" s="42">
        <f t="shared" ref="I298:I304" si="316">($E298-13)/30</f>
        <v>-0.43333333333333335</v>
      </c>
      <c r="J298" s="42">
        <f t="shared" ref="J298:J304" si="317">($E298-17)/30</f>
        <v>-0.56666666666666665</v>
      </c>
      <c r="K298" s="42">
        <f t="shared" ref="K298:K304" si="318">($E298-19)/30</f>
        <v>-0.6333333333333333</v>
      </c>
      <c r="L298" s="42">
        <f t="shared" ref="L298:L304" si="319">($E298-23)/30</f>
        <v>-0.76666666666666672</v>
      </c>
      <c r="M298" s="42">
        <f t="shared" ref="M298:M304" si="320">($E298-29)/30</f>
        <v>-0.96666666666666667</v>
      </c>
      <c r="O298" s="43" t="str">
        <f t="shared" si="310"/>
        <v/>
      </c>
    </row>
    <row r="299" spans="1:15" x14ac:dyDescent="0.45">
      <c r="D299" s="27">
        <f t="shared" si="311"/>
        <v>0</v>
      </c>
      <c r="E299" s="28">
        <f t="shared" si="312"/>
        <v>0</v>
      </c>
      <c r="F299" s="42">
        <f t="shared" si="313"/>
        <v>-3.3333333333333333E-2</v>
      </c>
      <c r="G299" s="42">
        <f t="shared" si="314"/>
        <v>-0.23333333333333334</v>
      </c>
      <c r="H299" s="42">
        <f t="shared" si="315"/>
        <v>-0.36666666666666664</v>
      </c>
      <c r="I299" s="42">
        <f t="shared" si="316"/>
        <v>-0.43333333333333335</v>
      </c>
      <c r="J299" s="42">
        <f t="shared" si="317"/>
        <v>-0.56666666666666665</v>
      </c>
      <c r="K299" s="42">
        <f t="shared" si="318"/>
        <v>-0.6333333333333333</v>
      </c>
      <c r="L299" s="42">
        <f t="shared" si="319"/>
        <v>-0.76666666666666672</v>
      </c>
      <c r="M299" s="42">
        <f t="shared" si="320"/>
        <v>-0.96666666666666667</v>
      </c>
      <c r="O299" s="43" t="str">
        <f t="shared" si="310"/>
        <v/>
      </c>
    </row>
    <row r="300" spans="1:15" x14ac:dyDescent="0.45">
      <c r="D300" s="27">
        <f t="shared" si="311"/>
        <v>0</v>
      </c>
      <c r="E300" s="28">
        <f t="shared" si="312"/>
        <v>0</v>
      </c>
      <c r="F300" s="42">
        <f t="shared" si="313"/>
        <v>-3.3333333333333333E-2</v>
      </c>
      <c r="G300" s="42">
        <f t="shared" si="314"/>
        <v>-0.23333333333333334</v>
      </c>
      <c r="H300" s="42">
        <f t="shared" si="315"/>
        <v>-0.36666666666666664</v>
      </c>
      <c r="I300" s="42">
        <f t="shared" si="316"/>
        <v>-0.43333333333333335</v>
      </c>
      <c r="J300" s="42">
        <f t="shared" si="317"/>
        <v>-0.56666666666666665</v>
      </c>
      <c r="K300" s="42">
        <f t="shared" si="318"/>
        <v>-0.6333333333333333</v>
      </c>
      <c r="L300" s="42">
        <f t="shared" si="319"/>
        <v>-0.76666666666666672</v>
      </c>
      <c r="M300" s="42">
        <f t="shared" si="320"/>
        <v>-0.96666666666666667</v>
      </c>
      <c r="O300" s="43" t="str">
        <f t="shared" si="310"/>
        <v/>
      </c>
    </row>
    <row r="301" spans="1:15" x14ac:dyDescent="0.45">
      <c r="D301" s="27">
        <f t="shared" si="311"/>
        <v>0</v>
      </c>
      <c r="E301" s="28">
        <f t="shared" si="312"/>
        <v>0</v>
      </c>
      <c r="F301" s="42">
        <f t="shared" si="313"/>
        <v>-3.3333333333333333E-2</v>
      </c>
      <c r="G301" s="42">
        <f t="shared" si="314"/>
        <v>-0.23333333333333334</v>
      </c>
      <c r="H301" s="42">
        <f t="shared" si="315"/>
        <v>-0.36666666666666664</v>
      </c>
      <c r="I301" s="42">
        <f t="shared" si="316"/>
        <v>-0.43333333333333335</v>
      </c>
      <c r="J301" s="42">
        <f t="shared" si="317"/>
        <v>-0.56666666666666665</v>
      </c>
      <c r="K301" s="42">
        <f t="shared" si="318"/>
        <v>-0.6333333333333333</v>
      </c>
      <c r="L301" s="42">
        <f t="shared" si="319"/>
        <v>-0.76666666666666672</v>
      </c>
      <c r="M301" s="42">
        <f t="shared" si="320"/>
        <v>-0.96666666666666667</v>
      </c>
      <c r="O301" s="43" t="str">
        <f t="shared" si="310"/>
        <v/>
      </c>
    </row>
    <row r="302" spans="1:15" x14ac:dyDescent="0.45">
      <c r="D302" s="27">
        <f t="shared" si="311"/>
        <v>0</v>
      </c>
      <c r="E302" s="28">
        <f t="shared" si="312"/>
        <v>0</v>
      </c>
      <c r="F302" s="42">
        <f t="shared" si="313"/>
        <v>-3.3333333333333333E-2</v>
      </c>
      <c r="G302" s="42">
        <f t="shared" si="314"/>
        <v>-0.23333333333333334</v>
      </c>
      <c r="H302" s="42">
        <f t="shared" si="315"/>
        <v>-0.36666666666666664</v>
      </c>
      <c r="I302" s="42">
        <f t="shared" si="316"/>
        <v>-0.43333333333333335</v>
      </c>
      <c r="J302" s="42">
        <f t="shared" si="317"/>
        <v>-0.56666666666666665</v>
      </c>
      <c r="K302" s="42">
        <f t="shared" si="318"/>
        <v>-0.6333333333333333</v>
      </c>
      <c r="L302" s="42">
        <f t="shared" si="319"/>
        <v>-0.76666666666666672</v>
      </c>
      <c r="M302" s="42">
        <f t="shared" si="320"/>
        <v>-0.96666666666666667</v>
      </c>
      <c r="O302" s="43" t="str">
        <f t="shared" si="310"/>
        <v/>
      </c>
    </row>
    <row r="303" spans="1:15" x14ac:dyDescent="0.45">
      <c r="D303" s="27">
        <f t="shared" si="311"/>
        <v>0</v>
      </c>
      <c r="E303" s="28">
        <f t="shared" si="312"/>
        <v>0</v>
      </c>
      <c r="F303" s="42">
        <f t="shared" si="313"/>
        <v>-3.3333333333333333E-2</v>
      </c>
      <c r="G303" s="42">
        <f t="shared" si="314"/>
        <v>-0.23333333333333334</v>
      </c>
      <c r="H303" s="42">
        <f t="shared" si="315"/>
        <v>-0.36666666666666664</v>
      </c>
      <c r="I303" s="42">
        <f t="shared" si="316"/>
        <v>-0.43333333333333335</v>
      </c>
      <c r="J303" s="42">
        <f t="shared" si="317"/>
        <v>-0.56666666666666665</v>
      </c>
      <c r="K303" s="42">
        <f t="shared" si="318"/>
        <v>-0.6333333333333333</v>
      </c>
      <c r="L303" s="42">
        <f t="shared" si="319"/>
        <v>-0.76666666666666672</v>
      </c>
      <c r="M303" s="42">
        <f t="shared" si="320"/>
        <v>-0.96666666666666667</v>
      </c>
      <c r="O303" s="43" t="str">
        <f t="shared" si="310"/>
        <v/>
      </c>
    </row>
    <row r="304" spans="1:15" x14ac:dyDescent="0.45">
      <c r="D304" s="27">
        <f t="shared" si="311"/>
        <v>0</v>
      </c>
      <c r="E304" s="28">
        <f t="shared" si="312"/>
        <v>0</v>
      </c>
      <c r="F304" s="42">
        <f t="shared" si="313"/>
        <v>-3.3333333333333333E-2</v>
      </c>
      <c r="G304" s="42">
        <f t="shared" si="314"/>
        <v>-0.23333333333333334</v>
      </c>
      <c r="H304" s="42">
        <f t="shared" si="315"/>
        <v>-0.36666666666666664</v>
      </c>
      <c r="I304" s="42">
        <f t="shared" si="316"/>
        <v>-0.43333333333333335</v>
      </c>
      <c r="J304" s="42">
        <f t="shared" si="317"/>
        <v>-0.56666666666666665</v>
      </c>
      <c r="K304" s="42">
        <f t="shared" si="318"/>
        <v>-0.6333333333333333</v>
      </c>
      <c r="L304" s="42">
        <f t="shared" si="319"/>
        <v>-0.76666666666666672</v>
      </c>
      <c r="M304" s="42">
        <f t="shared" si="320"/>
        <v>-0.96666666666666667</v>
      </c>
      <c r="O304" s="43" t="str">
        <f t="shared" si="310"/>
        <v/>
      </c>
    </row>
    <row r="305" spans="1:15" ht="19.2" thickBot="1" x14ac:dyDescent="0.5">
      <c r="F305" s="42"/>
      <c r="G305" s="42"/>
      <c r="H305" s="42"/>
      <c r="I305" s="42"/>
      <c r="J305" s="42"/>
      <c r="K305" s="42"/>
      <c r="L305" s="42"/>
      <c r="M305" s="42"/>
    </row>
    <row r="306" spans="1:15" ht="19.2" thickBot="1" x14ac:dyDescent="0.5">
      <c r="C306" s="44"/>
      <c r="E306" s="34">
        <f>E287</f>
        <v>0</v>
      </c>
      <c r="F306" s="45">
        <v>1</v>
      </c>
      <c r="G306" s="46">
        <v>7</v>
      </c>
      <c r="H306" s="46">
        <v>11</v>
      </c>
      <c r="I306" s="46">
        <v>13</v>
      </c>
      <c r="J306" s="46">
        <v>17</v>
      </c>
      <c r="K306" s="46">
        <v>19</v>
      </c>
      <c r="L306" s="46">
        <v>23</v>
      </c>
      <c r="M306" s="47">
        <v>29</v>
      </c>
      <c r="O306" s="27" t="s">
        <v>2</v>
      </c>
    </row>
    <row r="307" spans="1:15" x14ac:dyDescent="0.45">
      <c r="A307" s="29">
        <v>30</v>
      </c>
      <c r="D307" s="27">
        <f>C297</f>
        <v>0</v>
      </c>
      <c r="E307" s="28">
        <f>D307*$E$6</f>
        <v>0</v>
      </c>
      <c r="F307" s="42">
        <f>(E307-1)/30</f>
        <v>-3.3333333333333333E-2</v>
      </c>
      <c r="G307" s="42">
        <f>($E307-7)/30</f>
        <v>-0.23333333333333334</v>
      </c>
      <c r="H307" s="42">
        <f>($E307-11)/30</f>
        <v>-0.36666666666666664</v>
      </c>
      <c r="I307" s="42">
        <f>($E307-13)/30</f>
        <v>-0.43333333333333335</v>
      </c>
      <c r="J307" s="42">
        <f>($E307-17)/30</f>
        <v>-0.56666666666666665</v>
      </c>
      <c r="K307" s="42">
        <f>($E307-19)/30</f>
        <v>-0.6333333333333333</v>
      </c>
      <c r="L307" s="42">
        <f>($E307-23)/30</f>
        <v>-0.76666666666666672</v>
      </c>
      <c r="M307" s="42">
        <f>($E307-29)/30</f>
        <v>-0.96666666666666667</v>
      </c>
      <c r="O307" s="43" t="str">
        <f t="shared" ref="O307:O314" si="321">FactorNumber(E307)</f>
        <v/>
      </c>
    </row>
    <row r="308" spans="1:15" x14ac:dyDescent="0.45">
      <c r="D308" s="27">
        <f t="shared" ref="D308:D314" si="322">C298</f>
        <v>0</v>
      </c>
      <c r="E308" s="28">
        <f t="shared" ref="E308:E314" si="323">D308*$E$6</f>
        <v>0</v>
      </c>
      <c r="F308" s="42">
        <f t="shared" ref="F308:F314" si="324">(E308-1)/30</f>
        <v>-3.3333333333333333E-2</v>
      </c>
      <c r="G308" s="42">
        <f t="shared" ref="G308:G314" si="325">($E308-7)/30</f>
        <v>-0.23333333333333334</v>
      </c>
      <c r="H308" s="42">
        <f t="shared" ref="H308:H314" si="326">($E308-11)/30</f>
        <v>-0.36666666666666664</v>
      </c>
      <c r="I308" s="42">
        <f t="shared" ref="I308:I314" si="327">($E308-13)/30</f>
        <v>-0.43333333333333335</v>
      </c>
      <c r="J308" s="42">
        <f t="shared" ref="J308:J314" si="328">($E308-17)/30</f>
        <v>-0.56666666666666665</v>
      </c>
      <c r="K308" s="42">
        <f t="shared" ref="K308:K314" si="329">($E308-19)/30</f>
        <v>-0.6333333333333333</v>
      </c>
      <c r="L308" s="42">
        <f t="shared" ref="L308:L314" si="330">($E308-23)/30</f>
        <v>-0.76666666666666672</v>
      </c>
      <c r="M308" s="42">
        <f t="shared" ref="M308:M314" si="331">($E308-29)/30</f>
        <v>-0.96666666666666667</v>
      </c>
      <c r="O308" s="43" t="str">
        <f t="shared" si="321"/>
        <v/>
      </c>
    </row>
    <row r="309" spans="1:15" x14ac:dyDescent="0.45">
      <c r="D309" s="27">
        <f t="shared" si="322"/>
        <v>0</v>
      </c>
      <c r="E309" s="28">
        <f t="shared" si="323"/>
        <v>0</v>
      </c>
      <c r="F309" s="42">
        <f t="shared" si="324"/>
        <v>-3.3333333333333333E-2</v>
      </c>
      <c r="G309" s="42">
        <f t="shared" si="325"/>
        <v>-0.23333333333333334</v>
      </c>
      <c r="H309" s="42">
        <f t="shared" si="326"/>
        <v>-0.36666666666666664</v>
      </c>
      <c r="I309" s="42">
        <f t="shared" si="327"/>
        <v>-0.43333333333333335</v>
      </c>
      <c r="J309" s="42">
        <f t="shared" si="328"/>
        <v>-0.56666666666666665</v>
      </c>
      <c r="K309" s="42">
        <f t="shared" si="329"/>
        <v>-0.6333333333333333</v>
      </c>
      <c r="L309" s="42">
        <f t="shared" si="330"/>
        <v>-0.76666666666666672</v>
      </c>
      <c r="M309" s="42">
        <f t="shared" si="331"/>
        <v>-0.96666666666666667</v>
      </c>
      <c r="O309" s="43" t="str">
        <f t="shared" si="321"/>
        <v/>
      </c>
    </row>
    <row r="310" spans="1:15" x14ac:dyDescent="0.45">
      <c r="D310" s="27">
        <f t="shared" si="322"/>
        <v>0</v>
      </c>
      <c r="E310" s="28">
        <f t="shared" si="323"/>
        <v>0</v>
      </c>
      <c r="F310" s="42">
        <f t="shared" si="324"/>
        <v>-3.3333333333333333E-2</v>
      </c>
      <c r="G310" s="42">
        <f t="shared" si="325"/>
        <v>-0.23333333333333334</v>
      </c>
      <c r="H310" s="42">
        <f t="shared" si="326"/>
        <v>-0.36666666666666664</v>
      </c>
      <c r="I310" s="42">
        <f t="shared" si="327"/>
        <v>-0.43333333333333335</v>
      </c>
      <c r="J310" s="42">
        <f t="shared" si="328"/>
        <v>-0.56666666666666665</v>
      </c>
      <c r="K310" s="42">
        <f t="shared" si="329"/>
        <v>-0.6333333333333333</v>
      </c>
      <c r="L310" s="42">
        <f t="shared" si="330"/>
        <v>-0.76666666666666672</v>
      </c>
      <c r="M310" s="42">
        <f t="shared" si="331"/>
        <v>-0.96666666666666667</v>
      </c>
      <c r="O310" s="43" t="str">
        <f t="shared" si="321"/>
        <v/>
      </c>
    </row>
    <row r="311" spans="1:15" x14ac:dyDescent="0.45">
      <c r="D311" s="27">
        <f t="shared" si="322"/>
        <v>0</v>
      </c>
      <c r="E311" s="28">
        <f t="shared" si="323"/>
        <v>0</v>
      </c>
      <c r="F311" s="42">
        <f t="shared" si="324"/>
        <v>-3.3333333333333333E-2</v>
      </c>
      <c r="G311" s="42">
        <f t="shared" si="325"/>
        <v>-0.23333333333333334</v>
      </c>
      <c r="H311" s="42">
        <f t="shared" si="326"/>
        <v>-0.36666666666666664</v>
      </c>
      <c r="I311" s="42">
        <f t="shared" si="327"/>
        <v>-0.43333333333333335</v>
      </c>
      <c r="J311" s="42">
        <f t="shared" si="328"/>
        <v>-0.56666666666666665</v>
      </c>
      <c r="K311" s="42">
        <f t="shared" si="329"/>
        <v>-0.6333333333333333</v>
      </c>
      <c r="L311" s="42">
        <f t="shared" si="330"/>
        <v>-0.76666666666666672</v>
      </c>
      <c r="M311" s="42">
        <f t="shared" si="331"/>
        <v>-0.96666666666666667</v>
      </c>
      <c r="O311" s="43" t="str">
        <f t="shared" si="321"/>
        <v/>
      </c>
    </row>
    <row r="312" spans="1:15" x14ac:dyDescent="0.45">
      <c r="D312" s="27">
        <f t="shared" si="322"/>
        <v>0</v>
      </c>
      <c r="E312" s="28">
        <f t="shared" si="323"/>
        <v>0</v>
      </c>
      <c r="F312" s="42">
        <f t="shared" si="324"/>
        <v>-3.3333333333333333E-2</v>
      </c>
      <c r="G312" s="42">
        <f t="shared" si="325"/>
        <v>-0.23333333333333334</v>
      </c>
      <c r="H312" s="42">
        <f t="shared" si="326"/>
        <v>-0.36666666666666664</v>
      </c>
      <c r="I312" s="42">
        <f t="shared" si="327"/>
        <v>-0.43333333333333335</v>
      </c>
      <c r="J312" s="42">
        <f t="shared" si="328"/>
        <v>-0.56666666666666665</v>
      </c>
      <c r="K312" s="42">
        <f t="shared" si="329"/>
        <v>-0.6333333333333333</v>
      </c>
      <c r="L312" s="42">
        <f t="shared" si="330"/>
        <v>-0.76666666666666672</v>
      </c>
      <c r="M312" s="42">
        <f t="shared" si="331"/>
        <v>-0.96666666666666667</v>
      </c>
      <c r="O312" s="43" t="str">
        <f t="shared" si="321"/>
        <v/>
      </c>
    </row>
    <row r="313" spans="1:15" x14ac:dyDescent="0.45">
      <c r="D313" s="27">
        <f t="shared" si="322"/>
        <v>0</v>
      </c>
      <c r="E313" s="28">
        <f t="shared" si="323"/>
        <v>0</v>
      </c>
      <c r="F313" s="42">
        <f t="shared" si="324"/>
        <v>-3.3333333333333333E-2</v>
      </c>
      <c r="G313" s="42">
        <f t="shared" si="325"/>
        <v>-0.23333333333333334</v>
      </c>
      <c r="H313" s="42">
        <f t="shared" si="326"/>
        <v>-0.36666666666666664</v>
      </c>
      <c r="I313" s="42">
        <f t="shared" si="327"/>
        <v>-0.43333333333333335</v>
      </c>
      <c r="J313" s="42">
        <f t="shared" si="328"/>
        <v>-0.56666666666666665</v>
      </c>
      <c r="K313" s="42">
        <f t="shared" si="329"/>
        <v>-0.6333333333333333</v>
      </c>
      <c r="L313" s="42">
        <f t="shared" si="330"/>
        <v>-0.76666666666666672</v>
      </c>
      <c r="M313" s="42">
        <f t="shared" si="331"/>
        <v>-0.96666666666666667</v>
      </c>
      <c r="O313" s="43" t="str">
        <f t="shared" si="321"/>
        <v/>
      </c>
    </row>
    <row r="314" spans="1:15" x14ac:dyDescent="0.45">
      <c r="D314" s="27">
        <f t="shared" si="322"/>
        <v>0</v>
      </c>
      <c r="E314" s="28">
        <f t="shared" si="323"/>
        <v>0</v>
      </c>
      <c r="F314" s="42">
        <f t="shared" si="324"/>
        <v>-3.3333333333333333E-2</v>
      </c>
      <c r="G314" s="42">
        <f t="shared" si="325"/>
        <v>-0.23333333333333334</v>
      </c>
      <c r="H314" s="42">
        <f t="shared" si="326"/>
        <v>-0.36666666666666664</v>
      </c>
      <c r="I314" s="42">
        <f t="shared" si="327"/>
        <v>-0.43333333333333335</v>
      </c>
      <c r="J314" s="42">
        <f t="shared" si="328"/>
        <v>-0.56666666666666665</v>
      </c>
      <c r="K314" s="42">
        <f t="shared" si="329"/>
        <v>-0.6333333333333333</v>
      </c>
      <c r="L314" s="42">
        <f t="shared" si="330"/>
        <v>-0.76666666666666672</v>
      </c>
      <c r="M314" s="42">
        <f t="shared" si="331"/>
        <v>-0.96666666666666667</v>
      </c>
      <c r="O314" s="43" t="str">
        <f t="shared" si="321"/>
        <v/>
      </c>
    </row>
    <row r="315" spans="1:15" ht="19.2" thickBot="1" x14ac:dyDescent="0.5">
      <c r="F315" s="42"/>
      <c r="G315" s="42"/>
      <c r="H315" s="42"/>
      <c r="I315" s="42"/>
      <c r="J315" s="42"/>
      <c r="K315" s="42"/>
      <c r="L315" s="42"/>
      <c r="M315" s="42"/>
    </row>
    <row r="316" spans="1:15" ht="19.2" thickBot="1" x14ac:dyDescent="0.5">
      <c r="C316" s="44"/>
      <c r="E316" s="34">
        <f>E297</f>
        <v>0</v>
      </c>
      <c r="F316" s="45">
        <v>1</v>
      </c>
      <c r="G316" s="46">
        <v>7</v>
      </c>
      <c r="H316" s="46">
        <v>11</v>
      </c>
      <c r="I316" s="46">
        <v>13</v>
      </c>
      <c r="J316" s="46">
        <v>17</v>
      </c>
      <c r="K316" s="46">
        <v>19</v>
      </c>
      <c r="L316" s="46">
        <v>23</v>
      </c>
      <c r="M316" s="47">
        <v>29</v>
      </c>
      <c r="O316" s="27" t="s">
        <v>2</v>
      </c>
    </row>
    <row r="317" spans="1:15" x14ac:dyDescent="0.45">
      <c r="A317" s="29">
        <v>31</v>
      </c>
      <c r="D317" s="27">
        <f>C307</f>
        <v>0</v>
      </c>
      <c r="E317" s="28">
        <f>D317*$E$6</f>
        <v>0</v>
      </c>
      <c r="F317" s="42">
        <f>(E317-1)/30</f>
        <v>-3.3333333333333333E-2</v>
      </c>
      <c r="G317" s="42">
        <f>($E317-7)/30</f>
        <v>-0.23333333333333334</v>
      </c>
      <c r="H317" s="42">
        <f>($E317-11)/30</f>
        <v>-0.36666666666666664</v>
      </c>
      <c r="I317" s="42">
        <f>($E317-13)/30</f>
        <v>-0.43333333333333335</v>
      </c>
      <c r="J317" s="42">
        <f>($E317-17)/30</f>
        <v>-0.56666666666666665</v>
      </c>
      <c r="K317" s="42">
        <f>($E317-19)/30</f>
        <v>-0.6333333333333333</v>
      </c>
      <c r="L317" s="42">
        <f>($E317-23)/30</f>
        <v>-0.76666666666666672</v>
      </c>
      <c r="M317" s="42">
        <f>($E317-29)/30</f>
        <v>-0.96666666666666667</v>
      </c>
      <c r="O317" s="43" t="str">
        <f t="shared" ref="O317:O324" si="332">FactorNumber(E317)</f>
        <v/>
      </c>
    </row>
    <row r="318" spans="1:15" x14ac:dyDescent="0.45">
      <c r="D318" s="27">
        <f t="shared" ref="D318:D324" si="333">C308</f>
        <v>0</v>
      </c>
      <c r="E318" s="28">
        <f t="shared" ref="E318:E324" si="334">D318*$E$6</f>
        <v>0</v>
      </c>
      <c r="F318" s="42">
        <f t="shared" ref="F318:F324" si="335">(E318-1)/30</f>
        <v>-3.3333333333333333E-2</v>
      </c>
      <c r="G318" s="42">
        <f t="shared" ref="G318:G324" si="336">($E318-7)/30</f>
        <v>-0.23333333333333334</v>
      </c>
      <c r="H318" s="42">
        <f t="shared" ref="H318:H324" si="337">($E318-11)/30</f>
        <v>-0.36666666666666664</v>
      </c>
      <c r="I318" s="42">
        <f t="shared" ref="I318:I324" si="338">($E318-13)/30</f>
        <v>-0.43333333333333335</v>
      </c>
      <c r="J318" s="42">
        <f t="shared" ref="J318:J324" si="339">($E318-17)/30</f>
        <v>-0.56666666666666665</v>
      </c>
      <c r="K318" s="42">
        <f t="shared" ref="K318:K324" si="340">($E318-19)/30</f>
        <v>-0.6333333333333333</v>
      </c>
      <c r="L318" s="42">
        <f t="shared" ref="L318:L324" si="341">($E318-23)/30</f>
        <v>-0.76666666666666672</v>
      </c>
      <c r="M318" s="42">
        <f t="shared" ref="M318:M324" si="342">($E318-29)/30</f>
        <v>-0.96666666666666667</v>
      </c>
      <c r="O318" s="43" t="str">
        <f t="shared" si="332"/>
        <v/>
      </c>
    </row>
    <row r="319" spans="1:15" x14ac:dyDescent="0.45">
      <c r="D319" s="27">
        <f t="shared" si="333"/>
        <v>0</v>
      </c>
      <c r="E319" s="28">
        <f t="shared" si="334"/>
        <v>0</v>
      </c>
      <c r="F319" s="42">
        <f t="shared" si="335"/>
        <v>-3.3333333333333333E-2</v>
      </c>
      <c r="G319" s="42">
        <f t="shared" si="336"/>
        <v>-0.23333333333333334</v>
      </c>
      <c r="H319" s="42">
        <f t="shared" si="337"/>
        <v>-0.36666666666666664</v>
      </c>
      <c r="I319" s="42">
        <f t="shared" si="338"/>
        <v>-0.43333333333333335</v>
      </c>
      <c r="J319" s="42">
        <f t="shared" si="339"/>
        <v>-0.56666666666666665</v>
      </c>
      <c r="K319" s="42">
        <f t="shared" si="340"/>
        <v>-0.6333333333333333</v>
      </c>
      <c r="L319" s="42">
        <f t="shared" si="341"/>
        <v>-0.76666666666666672</v>
      </c>
      <c r="M319" s="42">
        <f t="shared" si="342"/>
        <v>-0.96666666666666667</v>
      </c>
      <c r="O319" s="43" t="str">
        <f t="shared" si="332"/>
        <v/>
      </c>
    </row>
    <row r="320" spans="1:15" x14ac:dyDescent="0.45">
      <c r="D320" s="27">
        <f t="shared" si="333"/>
        <v>0</v>
      </c>
      <c r="E320" s="28">
        <f t="shared" si="334"/>
        <v>0</v>
      </c>
      <c r="F320" s="42">
        <f t="shared" si="335"/>
        <v>-3.3333333333333333E-2</v>
      </c>
      <c r="G320" s="42">
        <f t="shared" si="336"/>
        <v>-0.23333333333333334</v>
      </c>
      <c r="H320" s="42">
        <f t="shared" si="337"/>
        <v>-0.36666666666666664</v>
      </c>
      <c r="I320" s="42">
        <f t="shared" si="338"/>
        <v>-0.43333333333333335</v>
      </c>
      <c r="J320" s="42">
        <f t="shared" si="339"/>
        <v>-0.56666666666666665</v>
      </c>
      <c r="K320" s="42">
        <f t="shared" si="340"/>
        <v>-0.6333333333333333</v>
      </c>
      <c r="L320" s="42">
        <f t="shared" si="341"/>
        <v>-0.76666666666666672</v>
      </c>
      <c r="M320" s="42">
        <f t="shared" si="342"/>
        <v>-0.96666666666666667</v>
      </c>
      <c r="O320" s="43" t="str">
        <f t="shared" si="332"/>
        <v/>
      </c>
    </row>
    <row r="321" spans="1:15" x14ac:dyDescent="0.45">
      <c r="D321" s="27">
        <f t="shared" si="333"/>
        <v>0</v>
      </c>
      <c r="E321" s="28">
        <f t="shared" si="334"/>
        <v>0</v>
      </c>
      <c r="F321" s="42">
        <f t="shared" si="335"/>
        <v>-3.3333333333333333E-2</v>
      </c>
      <c r="G321" s="42">
        <f t="shared" si="336"/>
        <v>-0.23333333333333334</v>
      </c>
      <c r="H321" s="42">
        <f t="shared" si="337"/>
        <v>-0.36666666666666664</v>
      </c>
      <c r="I321" s="42">
        <f t="shared" si="338"/>
        <v>-0.43333333333333335</v>
      </c>
      <c r="J321" s="42">
        <f t="shared" si="339"/>
        <v>-0.56666666666666665</v>
      </c>
      <c r="K321" s="42">
        <f t="shared" si="340"/>
        <v>-0.6333333333333333</v>
      </c>
      <c r="L321" s="42">
        <f t="shared" si="341"/>
        <v>-0.76666666666666672</v>
      </c>
      <c r="M321" s="42">
        <f t="shared" si="342"/>
        <v>-0.96666666666666667</v>
      </c>
      <c r="O321" s="43" t="str">
        <f t="shared" si="332"/>
        <v/>
      </c>
    </row>
    <row r="322" spans="1:15" x14ac:dyDescent="0.45">
      <c r="D322" s="27">
        <f t="shared" si="333"/>
        <v>0</v>
      </c>
      <c r="E322" s="28">
        <f t="shared" si="334"/>
        <v>0</v>
      </c>
      <c r="F322" s="42">
        <f t="shared" si="335"/>
        <v>-3.3333333333333333E-2</v>
      </c>
      <c r="G322" s="42">
        <f t="shared" si="336"/>
        <v>-0.23333333333333334</v>
      </c>
      <c r="H322" s="42">
        <f t="shared" si="337"/>
        <v>-0.36666666666666664</v>
      </c>
      <c r="I322" s="42">
        <f t="shared" si="338"/>
        <v>-0.43333333333333335</v>
      </c>
      <c r="J322" s="42">
        <f t="shared" si="339"/>
        <v>-0.56666666666666665</v>
      </c>
      <c r="K322" s="42">
        <f t="shared" si="340"/>
        <v>-0.6333333333333333</v>
      </c>
      <c r="L322" s="42">
        <f t="shared" si="341"/>
        <v>-0.76666666666666672</v>
      </c>
      <c r="M322" s="42">
        <f t="shared" si="342"/>
        <v>-0.96666666666666667</v>
      </c>
      <c r="O322" s="43" t="str">
        <f t="shared" si="332"/>
        <v/>
      </c>
    </row>
    <row r="323" spans="1:15" x14ac:dyDescent="0.45">
      <c r="D323" s="27">
        <f t="shared" si="333"/>
        <v>0</v>
      </c>
      <c r="E323" s="28">
        <f t="shared" si="334"/>
        <v>0</v>
      </c>
      <c r="F323" s="42">
        <f t="shared" si="335"/>
        <v>-3.3333333333333333E-2</v>
      </c>
      <c r="G323" s="42">
        <f t="shared" si="336"/>
        <v>-0.23333333333333334</v>
      </c>
      <c r="H323" s="42">
        <f t="shared" si="337"/>
        <v>-0.36666666666666664</v>
      </c>
      <c r="I323" s="42">
        <f t="shared" si="338"/>
        <v>-0.43333333333333335</v>
      </c>
      <c r="J323" s="42">
        <f t="shared" si="339"/>
        <v>-0.56666666666666665</v>
      </c>
      <c r="K323" s="42">
        <f t="shared" si="340"/>
        <v>-0.6333333333333333</v>
      </c>
      <c r="L323" s="42">
        <f t="shared" si="341"/>
        <v>-0.76666666666666672</v>
      </c>
      <c r="M323" s="42">
        <f t="shared" si="342"/>
        <v>-0.96666666666666667</v>
      </c>
      <c r="O323" s="43" t="str">
        <f t="shared" si="332"/>
        <v/>
      </c>
    </row>
    <row r="324" spans="1:15" x14ac:dyDescent="0.45">
      <c r="D324" s="27">
        <f t="shared" si="333"/>
        <v>0</v>
      </c>
      <c r="E324" s="28">
        <f t="shared" si="334"/>
        <v>0</v>
      </c>
      <c r="F324" s="42">
        <f t="shared" si="335"/>
        <v>-3.3333333333333333E-2</v>
      </c>
      <c r="G324" s="42">
        <f t="shared" si="336"/>
        <v>-0.23333333333333334</v>
      </c>
      <c r="H324" s="42">
        <f t="shared" si="337"/>
        <v>-0.36666666666666664</v>
      </c>
      <c r="I324" s="42">
        <f t="shared" si="338"/>
        <v>-0.43333333333333335</v>
      </c>
      <c r="J324" s="42">
        <f t="shared" si="339"/>
        <v>-0.56666666666666665</v>
      </c>
      <c r="K324" s="42">
        <f t="shared" si="340"/>
        <v>-0.6333333333333333</v>
      </c>
      <c r="L324" s="42">
        <f t="shared" si="341"/>
        <v>-0.76666666666666672</v>
      </c>
      <c r="M324" s="42">
        <f t="shared" si="342"/>
        <v>-0.96666666666666667</v>
      </c>
      <c r="O324" s="43" t="str">
        <f t="shared" si="332"/>
        <v/>
      </c>
    </row>
    <row r="325" spans="1:15" ht="19.2" thickBot="1" x14ac:dyDescent="0.5">
      <c r="F325" s="42"/>
      <c r="G325" s="42"/>
      <c r="H325" s="42"/>
      <c r="I325" s="42"/>
      <c r="J325" s="42"/>
      <c r="K325" s="42"/>
      <c r="L325" s="42"/>
      <c r="M325" s="42"/>
    </row>
    <row r="326" spans="1:15" ht="19.2" thickBot="1" x14ac:dyDescent="0.5">
      <c r="C326" s="44"/>
      <c r="E326" s="34">
        <f>E307</f>
        <v>0</v>
      </c>
      <c r="F326" s="45">
        <v>1</v>
      </c>
      <c r="G326" s="46">
        <v>7</v>
      </c>
      <c r="H326" s="46">
        <v>11</v>
      </c>
      <c r="I326" s="46">
        <v>13</v>
      </c>
      <c r="J326" s="46">
        <v>17</v>
      </c>
      <c r="K326" s="46">
        <v>19</v>
      </c>
      <c r="L326" s="46">
        <v>23</v>
      </c>
      <c r="M326" s="47">
        <v>29</v>
      </c>
      <c r="O326" s="27" t="s">
        <v>2</v>
      </c>
    </row>
    <row r="327" spans="1:15" x14ac:dyDescent="0.45">
      <c r="A327" s="29">
        <v>32</v>
      </c>
      <c r="D327" s="27">
        <f>C317</f>
        <v>0</v>
      </c>
      <c r="E327" s="28">
        <f>D327*$E$6</f>
        <v>0</v>
      </c>
      <c r="F327" s="42">
        <f>(E327-1)/30</f>
        <v>-3.3333333333333333E-2</v>
      </c>
      <c r="G327" s="42">
        <f>($E327-7)/30</f>
        <v>-0.23333333333333334</v>
      </c>
      <c r="H327" s="42">
        <f>($E327-11)/30</f>
        <v>-0.36666666666666664</v>
      </c>
      <c r="I327" s="42">
        <f>($E327-13)/30</f>
        <v>-0.43333333333333335</v>
      </c>
      <c r="J327" s="42">
        <f>($E327-17)/30</f>
        <v>-0.56666666666666665</v>
      </c>
      <c r="K327" s="42">
        <f>($E327-19)/30</f>
        <v>-0.6333333333333333</v>
      </c>
      <c r="L327" s="42">
        <f>($E327-23)/30</f>
        <v>-0.76666666666666672</v>
      </c>
      <c r="M327" s="42">
        <f>($E327-29)/30</f>
        <v>-0.96666666666666667</v>
      </c>
      <c r="O327" s="43" t="str">
        <f t="shared" ref="O327:O334" si="343">FactorNumber(E327)</f>
        <v/>
      </c>
    </row>
    <row r="328" spans="1:15" x14ac:dyDescent="0.45">
      <c r="D328" s="27">
        <f t="shared" ref="D328:D334" si="344">C318</f>
        <v>0</v>
      </c>
      <c r="E328" s="28">
        <f t="shared" ref="E328:E334" si="345">D328*$E$6</f>
        <v>0</v>
      </c>
      <c r="F328" s="42">
        <f t="shared" ref="F328:F334" si="346">(E328-1)/30</f>
        <v>-3.3333333333333333E-2</v>
      </c>
      <c r="G328" s="42">
        <f t="shared" ref="G328:G334" si="347">($E328-7)/30</f>
        <v>-0.23333333333333334</v>
      </c>
      <c r="H328" s="42">
        <f t="shared" ref="H328:H334" si="348">($E328-11)/30</f>
        <v>-0.36666666666666664</v>
      </c>
      <c r="I328" s="42">
        <f t="shared" ref="I328:I334" si="349">($E328-13)/30</f>
        <v>-0.43333333333333335</v>
      </c>
      <c r="J328" s="42">
        <f t="shared" ref="J328:J334" si="350">($E328-17)/30</f>
        <v>-0.56666666666666665</v>
      </c>
      <c r="K328" s="42">
        <f t="shared" ref="K328:K334" si="351">($E328-19)/30</f>
        <v>-0.6333333333333333</v>
      </c>
      <c r="L328" s="42">
        <f t="shared" ref="L328:L334" si="352">($E328-23)/30</f>
        <v>-0.76666666666666672</v>
      </c>
      <c r="M328" s="42">
        <f t="shared" ref="M328:M334" si="353">($E328-29)/30</f>
        <v>-0.96666666666666667</v>
      </c>
      <c r="O328" s="43" t="str">
        <f t="shared" si="343"/>
        <v/>
      </c>
    </row>
    <row r="329" spans="1:15" x14ac:dyDescent="0.45">
      <c r="D329" s="27">
        <f t="shared" si="344"/>
        <v>0</v>
      </c>
      <c r="E329" s="28">
        <f t="shared" si="345"/>
        <v>0</v>
      </c>
      <c r="F329" s="42">
        <f t="shared" si="346"/>
        <v>-3.3333333333333333E-2</v>
      </c>
      <c r="G329" s="42">
        <f t="shared" si="347"/>
        <v>-0.23333333333333334</v>
      </c>
      <c r="H329" s="42">
        <f t="shared" si="348"/>
        <v>-0.36666666666666664</v>
      </c>
      <c r="I329" s="42">
        <f t="shared" si="349"/>
        <v>-0.43333333333333335</v>
      </c>
      <c r="J329" s="42">
        <f t="shared" si="350"/>
        <v>-0.56666666666666665</v>
      </c>
      <c r="K329" s="42">
        <f t="shared" si="351"/>
        <v>-0.6333333333333333</v>
      </c>
      <c r="L329" s="42">
        <f t="shared" si="352"/>
        <v>-0.76666666666666672</v>
      </c>
      <c r="M329" s="42">
        <f t="shared" si="353"/>
        <v>-0.96666666666666667</v>
      </c>
      <c r="O329" s="43" t="str">
        <f t="shared" si="343"/>
        <v/>
      </c>
    </row>
    <row r="330" spans="1:15" x14ac:dyDescent="0.45">
      <c r="D330" s="27">
        <f t="shared" si="344"/>
        <v>0</v>
      </c>
      <c r="E330" s="28">
        <f t="shared" si="345"/>
        <v>0</v>
      </c>
      <c r="F330" s="42">
        <f t="shared" si="346"/>
        <v>-3.3333333333333333E-2</v>
      </c>
      <c r="G330" s="42">
        <f t="shared" si="347"/>
        <v>-0.23333333333333334</v>
      </c>
      <c r="H330" s="42">
        <f t="shared" si="348"/>
        <v>-0.36666666666666664</v>
      </c>
      <c r="I330" s="42">
        <f t="shared" si="349"/>
        <v>-0.43333333333333335</v>
      </c>
      <c r="J330" s="42">
        <f t="shared" si="350"/>
        <v>-0.56666666666666665</v>
      </c>
      <c r="K330" s="42">
        <f t="shared" si="351"/>
        <v>-0.6333333333333333</v>
      </c>
      <c r="L330" s="42">
        <f t="shared" si="352"/>
        <v>-0.76666666666666672</v>
      </c>
      <c r="M330" s="42">
        <f t="shared" si="353"/>
        <v>-0.96666666666666667</v>
      </c>
      <c r="O330" s="43" t="str">
        <f t="shared" si="343"/>
        <v/>
      </c>
    </row>
    <row r="331" spans="1:15" x14ac:dyDescent="0.45">
      <c r="D331" s="27">
        <f t="shared" si="344"/>
        <v>0</v>
      </c>
      <c r="E331" s="28">
        <f t="shared" si="345"/>
        <v>0</v>
      </c>
      <c r="F331" s="42">
        <f t="shared" si="346"/>
        <v>-3.3333333333333333E-2</v>
      </c>
      <c r="G331" s="42">
        <f t="shared" si="347"/>
        <v>-0.23333333333333334</v>
      </c>
      <c r="H331" s="42">
        <f t="shared" si="348"/>
        <v>-0.36666666666666664</v>
      </c>
      <c r="I331" s="42">
        <f t="shared" si="349"/>
        <v>-0.43333333333333335</v>
      </c>
      <c r="J331" s="42">
        <f t="shared" si="350"/>
        <v>-0.56666666666666665</v>
      </c>
      <c r="K331" s="42">
        <f t="shared" si="351"/>
        <v>-0.6333333333333333</v>
      </c>
      <c r="L331" s="42">
        <f t="shared" si="352"/>
        <v>-0.76666666666666672</v>
      </c>
      <c r="M331" s="42">
        <f t="shared" si="353"/>
        <v>-0.96666666666666667</v>
      </c>
      <c r="O331" s="43" t="str">
        <f t="shared" si="343"/>
        <v/>
      </c>
    </row>
    <row r="332" spans="1:15" x14ac:dyDescent="0.45">
      <c r="D332" s="27">
        <f t="shared" si="344"/>
        <v>0</v>
      </c>
      <c r="E332" s="28">
        <f t="shared" si="345"/>
        <v>0</v>
      </c>
      <c r="F332" s="42">
        <f t="shared" si="346"/>
        <v>-3.3333333333333333E-2</v>
      </c>
      <c r="G332" s="42">
        <f t="shared" si="347"/>
        <v>-0.23333333333333334</v>
      </c>
      <c r="H332" s="42">
        <f t="shared" si="348"/>
        <v>-0.36666666666666664</v>
      </c>
      <c r="I332" s="42">
        <f t="shared" si="349"/>
        <v>-0.43333333333333335</v>
      </c>
      <c r="J332" s="42">
        <f t="shared" si="350"/>
        <v>-0.56666666666666665</v>
      </c>
      <c r="K332" s="42">
        <f t="shared" si="351"/>
        <v>-0.6333333333333333</v>
      </c>
      <c r="L332" s="42">
        <f t="shared" si="352"/>
        <v>-0.76666666666666672</v>
      </c>
      <c r="M332" s="42">
        <f t="shared" si="353"/>
        <v>-0.96666666666666667</v>
      </c>
      <c r="O332" s="43" t="str">
        <f t="shared" si="343"/>
        <v/>
      </c>
    </row>
    <row r="333" spans="1:15" x14ac:dyDescent="0.45">
      <c r="D333" s="27">
        <f t="shared" si="344"/>
        <v>0</v>
      </c>
      <c r="E333" s="28">
        <f t="shared" si="345"/>
        <v>0</v>
      </c>
      <c r="F333" s="42">
        <f t="shared" si="346"/>
        <v>-3.3333333333333333E-2</v>
      </c>
      <c r="G333" s="42">
        <f t="shared" si="347"/>
        <v>-0.23333333333333334</v>
      </c>
      <c r="H333" s="42">
        <f t="shared" si="348"/>
        <v>-0.36666666666666664</v>
      </c>
      <c r="I333" s="42">
        <f t="shared" si="349"/>
        <v>-0.43333333333333335</v>
      </c>
      <c r="J333" s="42">
        <f t="shared" si="350"/>
        <v>-0.56666666666666665</v>
      </c>
      <c r="K333" s="42">
        <f t="shared" si="351"/>
        <v>-0.6333333333333333</v>
      </c>
      <c r="L333" s="42">
        <f t="shared" si="352"/>
        <v>-0.76666666666666672</v>
      </c>
      <c r="M333" s="42">
        <f t="shared" si="353"/>
        <v>-0.96666666666666667</v>
      </c>
      <c r="O333" s="43" t="str">
        <f t="shared" si="343"/>
        <v/>
      </c>
    </row>
    <row r="334" spans="1:15" x14ac:dyDescent="0.45">
      <c r="D334" s="27">
        <f t="shared" si="344"/>
        <v>0</v>
      </c>
      <c r="E334" s="28">
        <f t="shared" si="345"/>
        <v>0</v>
      </c>
      <c r="F334" s="42">
        <f t="shared" si="346"/>
        <v>-3.3333333333333333E-2</v>
      </c>
      <c r="G334" s="42">
        <f t="shared" si="347"/>
        <v>-0.23333333333333334</v>
      </c>
      <c r="H334" s="42">
        <f t="shared" si="348"/>
        <v>-0.36666666666666664</v>
      </c>
      <c r="I334" s="42">
        <f t="shared" si="349"/>
        <v>-0.43333333333333335</v>
      </c>
      <c r="J334" s="42">
        <f t="shared" si="350"/>
        <v>-0.56666666666666665</v>
      </c>
      <c r="K334" s="42">
        <f t="shared" si="351"/>
        <v>-0.6333333333333333</v>
      </c>
      <c r="L334" s="42">
        <f t="shared" si="352"/>
        <v>-0.76666666666666672</v>
      </c>
      <c r="M334" s="42">
        <f t="shared" si="353"/>
        <v>-0.96666666666666667</v>
      </c>
      <c r="O334" s="43" t="str">
        <f t="shared" si="343"/>
        <v/>
      </c>
    </row>
    <row r="335" spans="1:15" ht="19.2" thickBot="1" x14ac:dyDescent="0.5">
      <c r="F335" s="42"/>
      <c r="G335" s="42"/>
      <c r="H335" s="42"/>
      <c r="I335" s="42"/>
      <c r="J335" s="42"/>
      <c r="K335" s="42"/>
      <c r="L335" s="42"/>
      <c r="M335" s="42"/>
    </row>
    <row r="336" spans="1:15" ht="19.2" thickBot="1" x14ac:dyDescent="0.5">
      <c r="C336" s="44"/>
      <c r="E336" s="34">
        <f>E317</f>
        <v>0</v>
      </c>
      <c r="F336" s="45">
        <v>1</v>
      </c>
      <c r="G336" s="46">
        <v>7</v>
      </c>
      <c r="H336" s="46">
        <v>11</v>
      </c>
      <c r="I336" s="46">
        <v>13</v>
      </c>
      <c r="J336" s="46">
        <v>17</v>
      </c>
      <c r="K336" s="46">
        <v>19</v>
      </c>
      <c r="L336" s="46">
        <v>23</v>
      </c>
      <c r="M336" s="47">
        <v>29</v>
      </c>
      <c r="O336" s="27" t="s">
        <v>2</v>
      </c>
    </row>
    <row r="337" spans="1:15" x14ac:dyDescent="0.45">
      <c r="A337" s="29">
        <f>A327+1</f>
        <v>33</v>
      </c>
      <c r="D337" s="27">
        <f>C327</f>
        <v>0</v>
      </c>
      <c r="E337" s="28">
        <f>D337*$E$6</f>
        <v>0</v>
      </c>
      <c r="F337" s="42">
        <f>(E337-1)/30</f>
        <v>-3.3333333333333333E-2</v>
      </c>
      <c r="G337" s="42">
        <f>($E337-7)/30</f>
        <v>-0.23333333333333334</v>
      </c>
      <c r="H337" s="42">
        <f>($E337-11)/30</f>
        <v>-0.36666666666666664</v>
      </c>
      <c r="I337" s="42">
        <f>($E337-13)/30</f>
        <v>-0.43333333333333335</v>
      </c>
      <c r="J337" s="42">
        <f>($E337-17)/30</f>
        <v>-0.56666666666666665</v>
      </c>
      <c r="K337" s="42">
        <f>($E337-19)/30</f>
        <v>-0.6333333333333333</v>
      </c>
      <c r="L337" s="42">
        <f>($E337-23)/30</f>
        <v>-0.76666666666666672</v>
      </c>
      <c r="M337" s="42">
        <f>($E337-29)/30</f>
        <v>-0.96666666666666667</v>
      </c>
      <c r="O337" s="43" t="str">
        <f t="shared" ref="O337:O344" si="354">FactorNumber(E337)</f>
        <v/>
      </c>
    </row>
    <row r="338" spans="1:15" x14ac:dyDescent="0.45">
      <c r="D338" s="27">
        <f t="shared" ref="D338:D344" si="355">C328</f>
        <v>0</v>
      </c>
      <c r="E338" s="28">
        <f t="shared" ref="E338:E344" si="356">D338*$E$6</f>
        <v>0</v>
      </c>
      <c r="F338" s="42">
        <f t="shared" ref="F338:F344" si="357">(E338-1)/30</f>
        <v>-3.3333333333333333E-2</v>
      </c>
      <c r="G338" s="42">
        <f t="shared" ref="G338:G344" si="358">($E338-7)/30</f>
        <v>-0.23333333333333334</v>
      </c>
      <c r="H338" s="42">
        <f t="shared" ref="H338:H344" si="359">($E338-11)/30</f>
        <v>-0.36666666666666664</v>
      </c>
      <c r="I338" s="42">
        <f t="shared" ref="I338:I344" si="360">($E338-13)/30</f>
        <v>-0.43333333333333335</v>
      </c>
      <c r="J338" s="42">
        <f t="shared" ref="J338:J344" si="361">($E338-17)/30</f>
        <v>-0.56666666666666665</v>
      </c>
      <c r="K338" s="42">
        <f t="shared" ref="K338:K344" si="362">($E338-19)/30</f>
        <v>-0.6333333333333333</v>
      </c>
      <c r="L338" s="42">
        <f t="shared" ref="L338:L344" si="363">($E338-23)/30</f>
        <v>-0.76666666666666672</v>
      </c>
      <c r="M338" s="42">
        <f t="shared" ref="M338:M344" si="364">($E338-29)/30</f>
        <v>-0.96666666666666667</v>
      </c>
      <c r="O338" s="43" t="str">
        <f t="shared" si="354"/>
        <v/>
      </c>
    </row>
    <row r="339" spans="1:15" x14ac:dyDescent="0.45">
      <c r="D339" s="27">
        <f t="shared" si="355"/>
        <v>0</v>
      </c>
      <c r="E339" s="28">
        <f t="shared" si="356"/>
        <v>0</v>
      </c>
      <c r="F339" s="42">
        <f t="shared" si="357"/>
        <v>-3.3333333333333333E-2</v>
      </c>
      <c r="G339" s="42">
        <f t="shared" si="358"/>
        <v>-0.23333333333333334</v>
      </c>
      <c r="H339" s="42">
        <f t="shared" si="359"/>
        <v>-0.36666666666666664</v>
      </c>
      <c r="I339" s="42">
        <f t="shared" si="360"/>
        <v>-0.43333333333333335</v>
      </c>
      <c r="J339" s="42">
        <f t="shared" si="361"/>
        <v>-0.56666666666666665</v>
      </c>
      <c r="K339" s="42">
        <f t="shared" si="362"/>
        <v>-0.6333333333333333</v>
      </c>
      <c r="L339" s="42">
        <f t="shared" si="363"/>
        <v>-0.76666666666666672</v>
      </c>
      <c r="M339" s="42">
        <f t="shared" si="364"/>
        <v>-0.96666666666666667</v>
      </c>
      <c r="O339" s="43" t="str">
        <f t="shared" si="354"/>
        <v/>
      </c>
    </row>
    <row r="340" spans="1:15" x14ac:dyDescent="0.45">
      <c r="D340" s="27">
        <f t="shared" si="355"/>
        <v>0</v>
      </c>
      <c r="E340" s="28">
        <f t="shared" si="356"/>
        <v>0</v>
      </c>
      <c r="F340" s="42">
        <f t="shared" si="357"/>
        <v>-3.3333333333333333E-2</v>
      </c>
      <c r="G340" s="42">
        <f t="shared" si="358"/>
        <v>-0.23333333333333334</v>
      </c>
      <c r="H340" s="42">
        <f t="shared" si="359"/>
        <v>-0.36666666666666664</v>
      </c>
      <c r="I340" s="42">
        <f t="shared" si="360"/>
        <v>-0.43333333333333335</v>
      </c>
      <c r="J340" s="42">
        <f t="shared" si="361"/>
        <v>-0.56666666666666665</v>
      </c>
      <c r="K340" s="42">
        <f t="shared" si="362"/>
        <v>-0.6333333333333333</v>
      </c>
      <c r="L340" s="42">
        <f t="shared" si="363"/>
        <v>-0.76666666666666672</v>
      </c>
      <c r="M340" s="42">
        <f t="shared" si="364"/>
        <v>-0.96666666666666667</v>
      </c>
      <c r="O340" s="43" t="str">
        <f t="shared" si="354"/>
        <v/>
      </c>
    </row>
    <row r="341" spans="1:15" x14ac:dyDescent="0.45">
      <c r="D341" s="27">
        <f t="shared" si="355"/>
        <v>0</v>
      </c>
      <c r="E341" s="28">
        <f t="shared" si="356"/>
        <v>0</v>
      </c>
      <c r="F341" s="42">
        <f t="shared" si="357"/>
        <v>-3.3333333333333333E-2</v>
      </c>
      <c r="G341" s="42">
        <f t="shared" si="358"/>
        <v>-0.23333333333333334</v>
      </c>
      <c r="H341" s="42">
        <f t="shared" si="359"/>
        <v>-0.36666666666666664</v>
      </c>
      <c r="I341" s="42">
        <f t="shared" si="360"/>
        <v>-0.43333333333333335</v>
      </c>
      <c r="J341" s="42">
        <f t="shared" si="361"/>
        <v>-0.56666666666666665</v>
      </c>
      <c r="K341" s="42">
        <f t="shared" si="362"/>
        <v>-0.6333333333333333</v>
      </c>
      <c r="L341" s="42">
        <f t="shared" si="363"/>
        <v>-0.76666666666666672</v>
      </c>
      <c r="M341" s="42">
        <f t="shared" si="364"/>
        <v>-0.96666666666666667</v>
      </c>
      <c r="O341" s="43" t="str">
        <f t="shared" si="354"/>
        <v/>
      </c>
    </row>
    <row r="342" spans="1:15" x14ac:dyDescent="0.45">
      <c r="D342" s="27">
        <f t="shared" si="355"/>
        <v>0</v>
      </c>
      <c r="E342" s="28">
        <f t="shared" si="356"/>
        <v>0</v>
      </c>
      <c r="F342" s="42">
        <f t="shared" si="357"/>
        <v>-3.3333333333333333E-2</v>
      </c>
      <c r="G342" s="42">
        <f t="shared" si="358"/>
        <v>-0.23333333333333334</v>
      </c>
      <c r="H342" s="42">
        <f t="shared" si="359"/>
        <v>-0.36666666666666664</v>
      </c>
      <c r="I342" s="42">
        <f t="shared" si="360"/>
        <v>-0.43333333333333335</v>
      </c>
      <c r="J342" s="42">
        <f t="shared" si="361"/>
        <v>-0.56666666666666665</v>
      </c>
      <c r="K342" s="42">
        <f t="shared" si="362"/>
        <v>-0.6333333333333333</v>
      </c>
      <c r="L342" s="42">
        <f t="shared" si="363"/>
        <v>-0.76666666666666672</v>
      </c>
      <c r="M342" s="42">
        <f t="shared" si="364"/>
        <v>-0.96666666666666667</v>
      </c>
      <c r="O342" s="43" t="str">
        <f t="shared" si="354"/>
        <v/>
      </c>
    </row>
    <row r="343" spans="1:15" x14ac:dyDescent="0.45">
      <c r="D343" s="27">
        <f t="shared" si="355"/>
        <v>0</v>
      </c>
      <c r="E343" s="28">
        <f t="shared" si="356"/>
        <v>0</v>
      </c>
      <c r="F343" s="42">
        <f t="shared" si="357"/>
        <v>-3.3333333333333333E-2</v>
      </c>
      <c r="G343" s="42">
        <f t="shared" si="358"/>
        <v>-0.23333333333333334</v>
      </c>
      <c r="H343" s="42">
        <f t="shared" si="359"/>
        <v>-0.36666666666666664</v>
      </c>
      <c r="I343" s="42">
        <f t="shared" si="360"/>
        <v>-0.43333333333333335</v>
      </c>
      <c r="J343" s="42">
        <f t="shared" si="361"/>
        <v>-0.56666666666666665</v>
      </c>
      <c r="K343" s="42">
        <f t="shared" si="362"/>
        <v>-0.6333333333333333</v>
      </c>
      <c r="L343" s="42">
        <f t="shared" si="363"/>
        <v>-0.76666666666666672</v>
      </c>
      <c r="M343" s="42">
        <f t="shared" si="364"/>
        <v>-0.96666666666666667</v>
      </c>
      <c r="O343" s="43" t="str">
        <f t="shared" si="354"/>
        <v/>
      </c>
    </row>
    <row r="344" spans="1:15" x14ac:dyDescent="0.45">
      <c r="D344" s="27">
        <f t="shared" si="355"/>
        <v>0</v>
      </c>
      <c r="E344" s="28">
        <f t="shared" si="356"/>
        <v>0</v>
      </c>
      <c r="F344" s="42">
        <f t="shared" si="357"/>
        <v>-3.3333333333333333E-2</v>
      </c>
      <c r="G344" s="42">
        <f t="shared" si="358"/>
        <v>-0.23333333333333334</v>
      </c>
      <c r="H344" s="42">
        <f t="shared" si="359"/>
        <v>-0.36666666666666664</v>
      </c>
      <c r="I344" s="42">
        <f t="shared" si="360"/>
        <v>-0.43333333333333335</v>
      </c>
      <c r="J344" s="42">
        <f t="shared" si="361"/>
        <v>-0.56666666666666665</v>
      </c>
      <c r="K344" s="42">
        <f t="shared" si="362"/>
        <v>-0.6333333333333333</v>
      </c>
      <c r="L344" s="42">
        <f t="shared" si="363"/>
        <v>-0.76666666666666672</v>
      </c>
      <c r="M344" s="42">
        <f t="shared" si="364"/>
        <v>-0.96666666666666667</v>
      </c>
      <c r="O344" s="43" t="str">
        <f t="shared" si="354"/>
        <v/>
      </c>
    </row>
    <row r="345" spans="1:15" ht="19.2" thickBot="1" x14ac:dyDescent="0.5">
      <c r="F345" s="42"/>
      <c r="G345" s="42"/>
      <c r="H345" s="42"/>
      <c r="I345" s="42"/>
      <c r="J345" s="42"/>
      <c r="K345" s="42"/>
      <c r="L345" s="42"/>
      <c r="M345" s="42"/>
    </row>
    <row r="346" spans="1:15" ht="19.2" thickBot="1" x14ac:dyDescent="0.5">
      <c r="C346" s="44"/>
      <c r="E346" s="34">
        <f>E327</f>
        <v>0</v>
      </c>
      <c r="F346" s="45">
        <v>1</v>
      </c>
      <c r="G346" s="46">
        <v>7</v>
      </c>
      <c r="H346" s="46">
        <v>11</v>
      </c>
      <c r="I346" s="46">
        <v>13</v>
      </c>
      <c r="J346" s="46">
        <v>17</v>
      </c>
      <c r="K346" s="46">
        <v>19</v>
      </c>
      <c r="L346" s="46">
        <v>23</v>
      </c>
      <c r="M346" s="47">
        <v>29</v>
      </c>
      <c r="O346" s="27" t="s">
        <v>2</v>
      </c>
    </row>
    <row r="347" spans="1:15" x14ac:dyDescent="0.45">
      <c r="A347" s="29">
        <f>A337+1</f>
        <v>34</v>
      </c>
      <c r="D347" s="27">
        <f>C337</f>
        <v>0</v>
      </c>
      <c r="E347" s="28">
        <f>D347*$E$6</f>
        <v>0</v>
      </c>
      <c r="F347" s="42">
        <f>(E347-1)/30</f>
        <v>-3.3333333333333333E-2</v>
      </c>
      <c r="G347" s="42">
        <f>($E347-7)/30</f>
        <v>-0.23333333333333334</v>
      </c>
      <c r="H347" s="42">
        <f>($E347-11)/30</f>
        <v>-0.36666666666666664</v>
      </c>
      <c r="I347" s="42">
        <f>($E347-13)/30</f>
        <v>-0.43333333333333335</v>
      </c>
      <c r="J347" s="42">
        <f>($E347-17)/30</f>
        <v>-0.56666666666666665</v>
      </c>
      <c r="K347" s="42">
        <f>($E347-19)/30</f>
        <v>-0.6333333333333333</v>
      </c>
      <c r="L347" s="42">
        <f>($E347-23)/30</f>
        <v>-0.76666666666666672</v>
      </c>
      <c r="M347" s="42">
        <f>($E347-29)/30</f>
        <v>-0.96666666666666667</v>
      </c>
      <c r="O347" s="43" t="str">
        <f t="shared" ref="O347:O354" si="365">FactorNumber(E347)</f>
        <v/>
      </c>
    </row>
    <row r="348" spans="1:15" x14ac:dyDescent="0.45">
      <c r="D348" s="27">
        <f t="shared" ref="D348:D354" si="366">C338</f>
        <v>0</v>
      </c>
      <c r="E348" s="28">
        <f t="shared" ref="E348:E354" si="367">D348*$E$6</f>
        <v>0</v>
      </c>
      <c r="F348" s="42">
        <f t="shared" ref="F348:F354" si="368">(E348-1)/30</f>
        <v>-3.3333333333333333E-2</v>
      </c>
      <c r="G348" s="42">
        <f t="shared" ref="G348:G354" si="369">($E348-7)/30</f>
        <v>-0.23333333333333334</v>
      </c>
      <c r="H348" s="42">
        <f t="shared" ref="H348:H354" si="370">($E348-11)/30</f>
        <v>-0.36666666666666664</v>
      </c>
      <c r="I348" s="42">
        <f t="shared" ref="I348:I354" si="371">($E348-13)/30</f>
        <v>-0.43333333333333335</v>
      </c>
      <c r="J348" s="42">
        <f t="shared" ref="J348:J354" si="372">($E348-17)/30</f>
        <v>-0.56666666666666665</v>
      </c>
      <c r="K348" s="42">
        <f t="shared" ref="K348:K354" si="373">($E348-19)/30</f>
        <v>-0.6333333333333333</v>
      </c>
      <c r="L348" s="42">
        <f t="shared" ref="L348:L354" si="374">($E348-23)/30</f>
        <v>-0.76666666666666672</v>
      </c>
      <c r="M348" s="42">
        <f t="shared" ref="M348:M354" si="375">($E348-29)/30</f>
        <v>-0.96666666666666667</v>
      </c>
      <c r="O348" s="43" t="str">
        <f t="shared" si="365"/>
        <v/>
      </c>
    </row>
    <row r="349" spans="1:15" x14ac:dyDescent="0.45">
      <c r="D349" s="27">
        <f t="shared" si="366"/>
        <v>0</v>
      </c>
      <c r="E349" s="28">
        <f t="shared" si="367"/>
        <v>0</v>
      </c>
      <c r="F349" s="42">
        <f t="shared" si="368"/>
        <v>-3.3333333333333333E-2</v>
      </c>
      <c r="G349" s="42">
        <f t="shared" si="369"/>
        <v>-0.23333333333333334</v>
      </c>
      <c r="H349" s="42">
        <f t="shared" si="370"/>
        <v>-0.36666666666666664</v>
      </c>
      <c r="I349" s="42">
        <f t="shared" si="371"/>
        <v>-0.43333333333333335</v>
      </c>
      <c r="J349" s="42">
        <f t="shared" si="372"/>
        <v>-0.56666666666666665</v>
      </c>
      <c r="K349" s="42">
        <f t="shared" si="373"/>
        <v>-0.6333333333333333</v>
      </c>
      <c r="L349" s="42">
        <f t="shared" si="374"/>
        <v>-0.76666666666666672</v>
      </c>
      <c r="M349" s="42">
        <f t="shared" si="375"/>
        <v>-0.96666666666666667</v>
      </c>
      <c r="O349" s="43" t="str">
        <f t="shared" si="365"/>
        <v/>
      </c>
    </row>
    <row r="350" spans="1:15" x14ac:dyDescent="0.45">
      <c r="D350" s="27">
        <f t="shared" si="366"/>
        <v>0</v>
      </c>
      <c r="E350" s="28">
        <f t="shared" si="367"/>
        <v>0</v>
      </c>
      <c r="F350" s="42">
        <f t="shared" si="368"/>
        <v>-3.3333333333333333E-2</v>
      </c>
      <c r="G350" s="42">
        <f t="shared" si="369"/>
        <v>-0.23333333333333334</v>
      </c>
      <c r="H350" s="42">
        <f t="shared" si="370"/>
        <v>-0.36666666666666664</v>
      </c>
      <c r="I350" s="42">
        <f t="shared" si="371"/>
        <v>-0.43333333333333335</v>
      </c>
      <c r="J350" s="42">
        <f t="shared" si="372"/>
        <v>-0.56666666666666665</v>
      </c>
      <c r="K350" s="42">
        <f t="shared" si="373"/>
        <v>-0.6333333333333333</v>
      </c>
      <c r="L350" s="42">
        <f t="shared" si="374"/>
        <v>-0.76666666666666672</v>
      </c>
      <c r="M350" s="42">
        <f t="shared" si="375"/>
        <v>-0.96666666666666667</v>
      </c>
      <c r="O350" s="43" t="str">
        <f t="shared" si="365"/>
        <v/>
      </c>
    </row>
    <row r="351" spans="1:15" x14ac:dyDescent="0.45">
      <c r="D351" s="27">
        <f t="shared" si="366"/>
        <v>0</v>
      </c>
      <c r="E351" s="28">
        <f t="shared" si="367"/>
        <v>0</v>
      </c>
      <c r="F351" s="42">
        <f t="shared" si="368"/>
        <v>-3.3333333333333333E-2</v>
      </c>
      <c r="G351" s="42">
        <f t="shared" si="369"/>
        <v>-0.23333333333333334</v>
      </c>
      <c r="H351" s="42">
        <f t="shared" si="370"/>
        <v>-0.36666666666666664</v>
      </c>
      <c r="I351" s="42">
        <f t="shared" si="371"/>
        <v>-0.43333333333333335</v>
      </c>
      <c r="J351" s="42">
        <f t="shared" si="372"/>
        <v>-0.56666666666666665</v>
      </c>
      <c r="K351" s="42">
        <f t="shared" si="373"/>
        <v>-0.6333333333333333</v>
      </c>
      <c r="L351" s="42">
        <f t="shared" si="374"/>
        <v>-0.76666666666666672</v>
      </c>
      <c r="M351" s="42">
        <f t="shared" si="375"/>
        <v>-0.96666666666666667</v>
      </c>
      <c r="O351" s="43" t="str">
        <f t="shared" si="365"/>
        <v/>
      </c>
    </row>
    <row r="352" spans="1:15" x14ac:dyDescent="0.45">
      <c r="D352" s="27">
        <f t="shared" si="366"/>
        <v>0</v>
      </c>
      <c r="E352" s="28">
        <f t="shared" si="367"/>
        <v>0</v>
      </c>
      <c r="F352" s="42">
        <f t="shared" si="368"/>
        <v>-3.3333333333333333E-2</v>
      </c>
      <c r="G352" s="42">
        <f t="shared" si="369"/>
        <v>-0.23333333333333334</v>
      </c>
      <c r="H352" s="42">
        <f t="shared" si="370"/>
        <v>-0.36666666666666664</v>
      </c>
      <c r="I352" s="42">
        <f t="shared" si="371"/>
        <v>-0.43333333333333335</v>
      </c>
      <c r="J352" s="42">
        <f t="shared" si="372"/>
        <v>-0.56666666666666665</v>
      </c>
      <c r="K352" s="42">
        <f t="shared" si="373"/>
        <v>-0.6333333333333333</v>
      </c>
      <c r="L352" s="42">
        <f t="shared" si="374"/>
        <v>-0.76666666666666672</v>
      </c>
      <c r="M352" s="42">
        <f t="shared" si="375"/>
        <v>-0.96666666666666667</v>
      </c>
      <c r="O352" s="43" t="str">
        <f t="shared" si="365"/>
        <v/>
      </c>
    </row>
    <row r="353" spans="1:15" x14ac:dyDescent="0.45">
      <c r="D353" s="27">
        <f t="shared" si="366"/>
        <v>0</v>
      </c>
      <c r="E353" s="28">
        <f t="shared" si="367"/>
        <v>0</v>
      </c>
      <c r="F353" s="42">
        <f t="shared" si="368"/>
        <v>-3.3333333333333333E-2</v>
      </c>
      <c r="G353" s="42">
        <f t="shared" si="369"/>
        <v>-0.23333333333333334</v>
      </c>
      <c r="H353" s="42">
        <f t="shared" si="370"/>
        <v>-0.36666666666666664</v>
      </c>
      <c r="I353" s="42">
        <f t="shared" si="371"/>
        <v>-0.43333333333333335</v>
      </c>
      <c r="J353" s="42">
        <f t="shared" si="372"/>
        <v>-0.56666666666666665</v>
      </c>
      <c r="K353" s="42">
        <f t="shared" si="373"/>
        <v>-0.6333333333333333</v>
      </c>
      <c r="L353" s="42">
        <f t="shared" si="374"/>
        <v>-0.76666666666666672</v>
      </c>
      <c r="M353" s="42">
        <f t="shared" si="375"/>
        <v>-0.96666666666666667</v>
      </c>
      <c r="O353" s="43" t="str">
        <f t="shared" si="365"/>
        <v/>
      </c>
    </row>
    <row r="354" spans="1:15" x14ac:dyDescent="0.45">
      <c r="D354" s="27">
        <f t="shared" si="366"/>
        <v>0</v>
      </c>
      <c r="E354" s="28">
        <f t="shared" si="367"/>
        <v>0</v>
      </c>
      <c r="F354" s="42">
        <f t="shared" si="368"/>
        <v>-3.3333333333333333E-2</v>
      </c>
      <c r="G354" s="42">
        <f t="shared" si="369"/>
        <v>-0.23333333333333334</v>
      </c>
      <c r="H354" s="42">
        <f t="shared" si="370"/>
        <v>-0.36666666666666664</v>
      </c>
      <c r="I354" s="42">
        <f t="shared" si="371"/>
        <v>-0.43333333333333335</v>
      </c>
      <c r="J354" s="42">
        <f t="shared" si="372"/>
        <v>-0.56666666666666665</v>
      </c>
      <c r="K354" s="42">
        <f t="shared" si="373"/>
        <v>-0.6333333333333333</v>
      </c>
      <c r="L354" s="42">
        <f t="shared" si="374"/>
        <v>-0.76666666666666672</v>
      </c>
      <c r="M354" s="42">
        <f t="shared" si="375"/>
        <v>-0.96666666666666667</v>
      </c>
      <c r="O354" s="43" t="str">
        <f t="shared" si="365"/>
        <v/>
      </c>
    </row>
    <row r="355" spans="1:15" ht="19.2" thickBot="1" x14ac:dyDescent="0.5">
      <c r="F355" s="42"/>
      <c r="G355" s="42"/>
      <c r="H355" s="42"/>
      <c r="I355" s="42"/>
      <c r="J355" s="42"/>
      <c r="K355" s="42"/>
      <c r="L355" s="42"/>
      <c r="M355" s="42"/>
    </row>
    <row r="356" spans="1:15" ht="19.2" thickBot="1" x14ac:dyDescent="0.5">
      <c r="C356" s="44"/>
      <c r="E356" s="34">
        <f>E337</f>
        <v>0</v>
      </c>
      <c r="F356" s="45">
        <v>1</v>
      </c>
      <c r="G356" s="46">
        <v>7</v>
      </c>
      <c r="H356" s="46">
        <v>11</v>
      </c>
      <c r="I356" s="46">
        <v>13</v>
      </c>
      <c r="J356" s="46">
        <v>17</v>
      </c>
      <c r="K356" s="46">
        <v>19</v>
      </c>
      <c r="L356" s="46">
        <v>23</v>
      </c>
      <c r="M356" s="47">
        <v>29</v>
      </c>
      <c r="O356" s="27" t="s">
        <v>2</v>
      </c>
    </row>
    <row r="357" spans="1:15" x14ac:dyDescent="0.45">
      <c r="A357" s="29">
        <f>A347+1</f>
        <v>35</v>
      </c>
      <c r="D357" s="27">
        <f>C347</f>
        <v>0</v>
      </c>
      <c r="E357" s="28">
        <f>D357*$E$6</f>
        <v>0</v>
      </c>
      <c r="F357" s="42">
        <f>(E357-1)/30</f>
        <v>-3.3333333333333333E-2</v>
      </c>
      <c r="G357" s="42">
        <f>($E357-7)/30</f>
        <v>-0.23333333333333334</v>
      </c>
      <c r="H357" s="42">
        <f>($E357-11)/30</f>
        <v>-0.36666666666666664</v>
      </c>
      <c r="I357" s="42">
        <f>($E357-13)/30</f>
        <v>-0.43333333333333335</v>
      </c>
      <c r="J357" s="42">
        <f>($E357-17)/30</f>
        <v>-0.56666666666666665</v>
      </c>
      <c r="K357" s="42">
        <f>($E357-19)/30</f>
        <v>-0.6333333333333333</v>
      </c>
      <c r="L357" s="42">
        <f>($E357-23)/30</f>
        <v>-0.76666666666666672</v>
      </c>
      <c r="M357" s="42">
        <f>($E357-29)/30</f>
        <v>-0.96666666666666667</v>
      </c>
      <c r="O357" s="43" t="str">
        <f t="shared" ref="O357:O364" si="376">FactorNumber(E357)</f>
        <v/>
      </c>
    </row>
    <row r="358" spans="1:15" x14ac:dyDescent="0.45">
      <c r="D358" s="27">
        <f t="shared" ref="D358:D364" si="377">C348</f>
        <v>0</v>
      </c>
      <c r="E358" s="28">
        <f t="shared" ref="E358:E364" si="378">D358*$E$6</f>
        <v>0</v>
      </c>
      <c r="F358" s="42">
        <f t="shared" ref="F358:F364" si="379">(E358-1)/30</f>
        <v>-3.3333333333333333E-2</v>
      </c>
      <c r="G358" s="42">
        <f t="shared" ref="G358:G364" si="380">($E358-7)/30</f>
        <v>-0.23333333333333334</v>
      </c>
      <c r="H358" s="42">
        <f t="shared" ref="H358:H364" si="381">($E358-11)/30</f>
        <v>-0.36666666666666664</v>
      </c>
      <c r="I358" s="42">
        <f t="shared" ref="I358:I364" si="382">($E358-13)/30</f>
        <v>-0.43333333333333335</v>
      </c>
      <c r="J358" s="42">
        <f t="shared" ref="J358:J364" si="383">($E358-17)/30</f>
        <v>-0.56666666666666665</v>
      </c>
      <c r="K358" s="42">
        <f t="shared" ref="K358:K364" si="384">($E358-19)/30</f>
        <v>-0.6333333333333333</v>
      </c>
      <c r="L358" s="42">
        <f t="shared" ref="L358:L364" si="385">($E358-23)/30</f>
        <v>-0.76666666666666672</v>
      </c>
      <c r="M358" s="42">
        <f t="shared" ref="M358:M364" si="386">($E358-29)/30</f>
        <v>-0.96666666666666667</v>
      </c>
      <c r="O358" s="43" t="str">
        <f t="shared" si="376"/>
        <v/>
      </c>
    </row>
    <row r="359" spans="1:15" x14ac:dyDescent="0.45">
      <c r="D359" s="27">
        <f t="shared" si="377"/>
        <v>0</v>
      </c>
      <c r="E359" s="28">
        <f t="shared" si="378"/>
        <v>0</v>
      </c>
      <c r="F359" s="42">
        <f t="shared" si="379"/>
        <v>-3.3333333333333333E-2</v>
      </c>
      <c r="G359" s="42">
        <f t="shared" si="380"/>
        <v>-0.23333333333333334</v>
      </c>
      <c r="H359" s="42">
        <f t="shared" si="381"/>
        <v>-0.36666666666666664</v>
      </c>
      <c r="I359" s="42">
        <f t="shared" si="382"/>
        <v>-0.43333333333333335</v>
      </c>
      <c r="J359" s="42">
        <f t="shared" si="383"/>
        <v>-0.56666666666666665</v>
      </c>
      <c r="K359" s="42">
        <f t="shared" si="384"/>
        <v>-0.6333333333333333</v>
      </c>
      <c r="L359" s="42">
        <f t="shared" si="385"/>
        <v>-0.76666666666666672</v>
      </c>
      <c r="M359" s="42">
        <f t="shared" si="386"/>
        <v>-0.96666666666666667</v>
      </c>
      <c r="O359" s="43" t="str">
        <f t="shared" si="376"/>
        <v/>
      </c>
    </row>
    <row r="360" spans="1:15" x14ac:dyDescent="0.45">
      <c r="D360" s="27">
        <f t="shared" si="377"/>
        <v>0</v>
      </c>
      <c r="E360" s="28">
        <f t="shared" si="378"/>
        <v>0</v>
      </c>
      <c r="F360" s="42">
        <f t="shared" si="379"/>
        <v>-3.3333333333333333E-2</v>
      </c>
      <c r="G360" s="42">
        <f t="shared" si="380"/>
        <v>-0.23333333333333334</v>
      </c>
      <c r="H360" s="42">
        <f t="shared" si="381"/>
        <v>-0.36666666666666664</v>
      </c>
      <c r="I360" s="42">
        <f t="shared" si="382"/>
        <v>-0.43333333333333335</v>
      </c>
      <c r="J360" s="42">
        <f t="shared" si="383"/>
        <v>-0.56666666666666665</v>
      </c>
      <c r="K360" s="42">
        <f t="shared" si="384"/>
        <v>-0.6333333333333333</v>
      </c>
      <c r="L360" s="42">
        <f t="shared" si="385"/>
        <v>-0.76666666666666672</v>
      </c>
      <c r="M360" s="42">
        <f t="shared" si="386"/>
        <v>-0.96666666666666667</v>
      </c>
      <c r="O360" s="43" t="str">
        <f t="shared" si="376"/>
        <v/>
      </c>
    </row>
    <row r="361" spans="1:15" x14ac:dyDescent="0.45">
      <c r="D361" s="27">
        <f t="shared" si="377"/>
        <v>0</v>
      </c>
      <c r="E361" s="28">
        <f t="shared" si="378"/>
        <v>0</v>
      </c>
      <c r="F361" s="42">
        <f t="shared" si="379"/>
        <v>-3.3333333333333333E-2</v>
      </c>
      <c r="G361" s="42">
        <f t="shared" si="380"/>
        <v>-0.23333333333333334</v>
      </c>
      <c r="H361" s="42">
        <f t="shared" si="381"/>
        <v>-0.36666666666666664</v>
      </c>
      <c r="I361" s="42">
        <f t="shared" si="382"/>
        <v>-0.43333333333333335</v>
      </c>
      <c r="J361" s="42">
        <f t="shared" si="383"/>
        <v>-0.56666666666666665</v>
      </c>
      <c r="K361" s="42">
        <f t="shared" si="384"/>
        <v>-0.6333333333333333</v>
      </c>
      <c r="L361" s="42">
        <f t="shared" si="385"/>
        <v>-0.76666666666666672</v>
      </c>
      <c r="M361" s="42">
        <f t="shared" si="386"/>
        <v>-0.96666666666666667</v>
      </c>
      <c r="O361" s="43" t="str">
        <f t="shared" si="376"/>
        <v/>
      </c>
    </row>
    <row r="362" spans="1:15" x14ac:dyDescent="0.45">
      <c r="D362" s="27">
        <f t="shared" si="377"/>
        <v>0</v>
      </c>
      <c r="E362" s="28">
        <f t="shared" si="378"/>
        <v>0</v>
      </c>
      <c r="F362" s="42">
        <f t="shared" si="379"/>
        <v>-3.3333333333333333E-2</v>
      </c>
      <c r="G362" s="42">
        <f t="shared" si="380"/>
        <v>-0.23333333333333334</v>
      </c>
      <c r="H362" s="42">
        <f t="shared" si="381"/>
        <v>-0.36666666666666664</v>
      </c>
      <c r="I362" s="42">
        <f t="shared" si="382"/>
        <v>-0.43333333333333335</v>
      </c>
      <c r="J362" s="42">
        <f t="shared" si="383"/>
        <v>-0.56666666666666665</v>
      </c>
      <c r="K362" s="42">
        <f t="shared" si="384"/>
        <v>-0.6333333333333333</v>
      </c>
      <c r="L362" s="42">
        <f t="shared" si="385"/>
        <v>-0.76666666666666672</v>
      </c>
      <c r="M362" s="42">
        <f t="shared" si="386"/>
        <v>-0.96666666666666667</v>
      </c>
      <c r="O362" s="43" t="str">
        <f t="shared" si="376"/>
        <v/>
      </c>
    </row>
    <row r="363" spans="1:15" x14ac:dyDescent="0.45">
      <c r="D363" s="27">
        <f t="shared" si="377"/>
        <v>0</v>
      </c>
      <c r="E363" s="28">
        <f t="shared" si="378"/>
        <v>0</v>
      </c>
      <c r="F363" s="42">
        <f t="shared" si="379"/>
        <v>-3.3333333333333333E-2</v>
      </c>
      <c r="G363" s="42">
        <f t="shared" si="380"/>
        <v>-0.23333333333333334</v>
      </c>
      <c r="H363" s="42">
        <f t="shared" si="381"/>
        <v>-0.36666666666666664</v>
      </c>
      <c r="I363" s="42">
        <f t="shared" si="382"/>
        <v>-0.43333333333333335</v>
      </c>
      <c r="J363" s="42">
        <f t="shared" si="383"/>
        <v>-0.56666666666666665</v>
      </c>
      <c r="K363" s="42">
        <f t="shared" si="384"/>
        <v>-0.6333333333333333</v>
      </c>
      <c r="L363" s="42">
        <f t="shared" si="385"/>
        <v>-0.76666666666666672</v>
      </c>
      <c r="M363" s="42">
        <f t="shared" si="386"/>
        <v>-0.96666666666666667</v>
      </c>
      <c r="O363" s="43" t="str">
        <f t="shared" si="376"/>
        <v/>
      </c>
    </row>
    <row r="364" spans="1:15" x14ac:dyDescent="0.45">
      <c r="D364" s="27">
        <f t="shared" si="377"/>
        <v>0</v>
      </c>
      <c r="E364" s="28">
        <f t="shared" si="378"/>
        <v>0</v>
      </c>
      <c r="F364" s="42">
        <f t="shared" si="379"/>
        <v>-3.3333333333333333E-2</v>
      </c>
      <c r="G364" s="42">
        <f t="shared" si="380"/>
        <v>-0.23333333333333334</v>
      </c>
      <c r="H364" s="42">
        <f t="shared" si="381"/>
        <v>-0.36666666666666664</v>
      </c>
      <c r="I364" s="42">
        <f t="shared" si="382"/>
        <v>-0.43333333333333335</v>
      </c>
      <c r="J364" s="42">
        <f t="shared" si="383"/>
        <v>-0.56666666666666665</v>
      </c>
      <c r="K364" s="42">
        <f t="shared" si="384"/>
        <v>-0.6333333333333333</v>
      </c>
      <c r="L364" s="42">
        <f t="shared" si="385"/>
        <v>-0.76666666666666672</v>
      </c>
      <c r="M364" s="42">
        <f t="shared" si="386"/>
        <v>-0.96666666666666667</v>
      </c>
      <c r="O364" s="43" t="str">
        <f t="shared" si="376"/>
        <v/>
      </c>
    </row>
    <row r="365" spans="1:15" ht="19.2" thickBot="1" x14ac:dyDescent="0.5">
      <c r="F365" s="42"/>
      <c r="G365" s="42"/>
      <c r="H365" s="42"/>
      <c r="I365" s="42"/>
      <c r="J365" s="42"/>
      <c r="K365" s="42"/>
      <c r="L365" s="42"/>
      <c r="M365" s="42"/>
    </row>
    <row r="366" spans="1:15" ht="19.2" thickBot="1" x14ac:dyDescent="0.5">
      <c r="C366" s="44"/>
      <c r="E366" s="34">
        <f>E347</f>
        <v>0</v>
      </c>
      <c r="F366" s="45">
        <v>1</v>
      </c>
      <c r="G366" s="46">
        <v>7</v>
      </c>
      <c r="H366" s="46">
        <v>11</v>
      </c>
      <c r="I366" s="46">
        <v>13</v>
      </c>
      <c r="J366" s="46">
        <v>17</v>
      </c>
      <c r="K366" s="46">
        <v>19</v>
      </c>
      <c r="L366" s="46">
        <v>23</v>
      </c>
      <c r="M366" s="47">
        <v>29</v>
      </c>
      <c r="O366" s="27" t="s">
        <v>2</v>
      </c>
    </row>
    <row r="367" spans="1:15" x14ac:dyDescent="0.45">
      <c r="A367" s="29">
        <f>A357+1</f>
        <v>36</v>
      </c>
      <c r="D367" s="27">
        <f>C357</f>
        <v>0</v>
      </c>
      <c r="E367" s="28">
        <f>D367*$E$6</f>
        <v>0</v>
      </c>
      <c r="F367" s="42">
        <f>(E367-1)/30</f>
        <v>-3.3333333333333333E-2</v>
      </c>
      <c r="G367" s="42">
        <f>($E367-7)/30</f>
        <v>-0.23333333333333334</v>
      </c>
      <c r="H367" s="42">
        <f>($E367-11)/30</f>
        <v>-0.36666666666666664</v>
      </c>
      <c r="I367" s="42">
        <f>($E367-13)/30</f>
        <v>-0.43333333333333335</v>
      </c>
      <c r="J367" s="42">
        <f>($E367-17)/30</f>
        <v>-0.56666666666666665</v>
      </c>
      <c r="K367" s="42">
        <f>($E367-19)/30</f>
        <v>-0.6333333333333333</v>
      </c>
      <c r="L367" s="42">
        <f>($E367-23)/30</f>
        <v>-0.76666666666666672</v>
      </c>
      <c r="M367" s="42">
        <f>($E367-29)/30</f>
        <v>-0.96666666666666667</v>
      </c>
      <c r="O367" s="43" t="str">
        <f t="shared" ref="O367:O374" si="387">FactorNumber(E367)</f>
        <v/>
      </c>
    </row>
    <row r="368" spans="1:15" x14ac:dyDescent="0.45">
      <c r="D368" s="27">
        <f t="shared" ref="D368:D374" si="388">C358</f>
        <v>0</v>
      </c>
      <c r="E368" s="28">
        <f t="shared" ref="E368:E374" si="389">D368*$E$6</f>
        <v>0</v>
      </c>
      <c r="F368" s="42">
        <f t="shared" ref="F368:F374" si="390">(E368-1)/30</f>
        <v>-3.3333333333333333E-2</v>
      </c>
      <c r="G368" s="42">
        <f t="shared" ref="G368:G374" si="391">($E368-7)/30</f>
        <v>-0.23333333333333334</v>
      </c>
      <c r="H368" s="42">
        <f t="shared" ref="H368:H374" si="392">($E368-11)/30</f>
        <v>-0.36666666666666664</v>
      </c>
      <c r="I368" s="42">
        <f t="shared" ref="I368:I374" si="393">($E368-13)/30</f>
        <v>-0.43333333333333335</v>
      </c>
      <c r="J368" s="42">
        <f t="shared" ref="J368:J374" si="394">($E368-17)/30</f>
        <v>-0.56666666666666665</v>
      </c>
      <c r="K368" s="42">
        <f t="shared" ref="K368:K374" si="395">($E368-19)/30</f>
        <v>-0.6333333333333333</v>
      </c>
      <c r="L368" s="42">
        <f t="shared" ref="L368:L374" si="396">($E368-23)/30</f>
        <v>-0.76666666666666672</v>
      </c>
      <c r="M368" s="42">
        <f t="shared" ref="M368:M374" si="397">($E368-29)/30</f>
        <v>-0.96666666666666667</v>
      </c>
      <c r="O368" s="43" t="str">
        <f t="shared" si="387"/>
        <v/>
      </c>
    </row>
    <row r="369" spans="1:15" x14ac:dyDescent="0.45">
      <c r="D369" s="27">
        <f t="shared" si="388"/>
        <v>0</v>
      </c>
      <c r="E369" s="28">
        <f t="shared" si="389"/>
        <v>0</v>
      </c>
      <c r="F369" s="42">
        <f t="shared" si="390"/>
        <v>-3.3333333333333333E-2</v>
      </c>
      <c r="G369" s="42">
        <f t="shared" si="391"/>
        <v>-0.23333333333333334</v>
      </c>
      <c r="H369" s="42">
        <f t="shared" si="392"/>
        <v>-0.36666666666666664</v>
      </c>
      <c r="I369" s="42">
        <f t="shared" si="393"/>
        <v>-0.43333333333333335</v>
      </c>
      <c r="J369" s="42">
        <f t="shared" si="394"/>
        <v>-0.56666666666666665</v>
      </c>
      <c r="K369" s="42">
        <f t="shared" si="395"/>
        <v>-0.6333333333333333</v>
      </c>
      <c r="L369" s="42">
        <f t="shared" si="396"/>
        <v>-0.76666666666666672</v>
      </c>
      <c r="M369" s="42">
        <f t="shared" si="397"/>
        <v>-0.96666666666666667</v>
      </c>
      <c r="O369" s="43" t="str">
        <f t="shared" si="387"/>
        <v/>
      </c>
    </row>
    <row r="370" spans="1:15" x14ac:dyDescent="0.45">
      <c r="D370" s="27">
        <f t="shared" si="388"/>
        <v>0</v>
      </c>
      <c r="E370" s="28">
        <f t="shared" si="389"/>
        <v>0</v>
      </c>
      <c r="F370" s="42">
        <f t="shared" si="390"/>
        <v>-3.3333333333333333E-2</v>
      </c>
      <c r="G370" s="42">
        <f t="shared" si="391"/>
        <v>-0.23333333333333334</v>
      </c>
      <c r="H370" s="42">
        <f t="shared" si="392"/>
        <v>-0.36666666666666664</v>
      </c>
      <c r="I370" s="42">
        <f t="shared" si="393"/>
        <v>-0.43333333333333335</v>
      </c>
      <c r="J370" s="42">
        <f t="shared" si="394"/>
        <v>-0.56666666666666665</v>
      </c>
      <c r="K370" s="42">
        <f t="shared" si="395"/>
        <v>-0.6333333333333333</v>
      </c>
      <c r="L370" s="42">
        <f t="shared" si="396"/>
        <v>-0.76666666666666672</v>
      </c>
      <c r="M370" s="42">
        <f t="shared" si="397"/>
        <v>-0.96666666666666667</v>
      </c>
      <c r="O370" s="43" t="str">
        <f t="shared" si="387"/>
        <v/>
      </c>
    </row>
    <row r="371" spans="1:15" x14ac:dyDescent="0.45">
      <c r="D371" s="27">
        <f t="shared" si="388"/>
        <v>0</v>
      </c>
      <c r="E371" s="28">
        <f t="shared" si="389"/>
        <v>0</v>
      </c>
      <c r="F371" s="42">
        <f t="shared" si="390"/>
        <v>-3.3333333333333333E-2</v>
      </c>
      <c r="G371" s="42">
        <f t="shared" si="391"/>
        <v>-0.23333333333333334</v>
      </c>
      <c r="H371" s="42">
        <f t="shared" si="392"/>
        <v>-0.36666666666666664</v>
      </c>
      <c r="I371" s="42">
        <f t="shared" si="393"/>
        <v>-0.43333333333333335</v>
      </c>
      <c r="J371" s="42">
        <f t="shared" si="394"/>
        <v>-0.56666666666666665</v>
      </c>
      <c r="K371" s="42">
        <f t="shared" si="395"/>
        <v>-0.6333333333333333</v>
      </c>
      <c r="L371" s="42">
        <f t="shared" si="396"/>
        <v>-0.76666666666666672</v>
      </c>
      <c r="M371" s="42">
        <f t="shared" si="397"/>
        <v>-0.96666666666666667</v>
      </c>
      <c r="O371" s="43" t="str">
        <f t="shared" si="387"/>
        <v/>
      </c>
    </row>
    <row r="372" spans="1:15" x14ac:dyDescent="0.45">
      <c r="D372" s="27">
        <f t="shared" si="388"/>
        <v>0</v>
      </c>
      <c r="E372" s="28">
        <f t="shared" si="389"/>
        <v>0</v>
      </c>
      <c r="F372" s="42">
        <f t="shared" si="390"/>
        <v>-3.3333333333333333E-2</v>
      </c>
      <c r="G372" s="42">
        <f t="shared" si="391"/>
        <v>-0.23333333333333334</v>
      </c>
      <c r="H372" s="42">
        <f t="shared" si="392"/>
        <v>-0.36666666666666664</v>
      </c>
      <c r="I372" s="42">
        <f t="shared" si="393"/>
        <v>-0.43333333333333335</v>
      </c>
      <c r="J372" s="42">
        <f t="shared" si="394"/>
        <v>-0.56666666666666665</v>
      </c>
      <c r="K372" s="42">
        <f t="shared" si="395"/>
        <v>-0.6333333333333333</v>
      </c>
      <c r="L372" s="42">
        <f t="shared" si="396"/>
        <v>-0.76666666666666672</v>
      </c>
      <c r="M372" s="42">
        <f t="shared" si="397"/>
        <v>-0.96666666666666667</v>
      </c>
      <c r="O372" s="43" t="str">
        <f t="shared" si="387"/>
        <v/>
      </c>
    </row>
    <row r="373" spans="1:15" x14ac:dyDescent="0.45">
      <c r="D373" s="27">
        <f t="shared" si="388"/>
        <v>0</v>
      </c>
      <c r="E373" s="28">
        <f t="shared" si="389"/>
        <v>0</v>
      </c>
      <c r="F373" s="42">
        <f t="shared" si="390"/>
        <v>-3.3333333333333333E-2</v>
      </c>
      <c r="G373" s="42">
        <f t="shared" si="391"/>
        <v>-0.23333333333333334</v>
      </c>
      <c r="H373" s="42">
        <f t="shared" si="392"/>
        <v>-0.36666666666666664</v>
      </c>
      <c r="I373" s="42">
        <f t="shared" si="393"/>
        <v>-0.43333333333333335</v>
      </c>
      <c r="J373" s="42">
        <f t="shared" si="394"/>
        <v>-0.56666666666666665</v>
      </c>
      <c r="K373" s="42">
        <f t="shared" si="395"/>
        <v>-0.6333333333333333</v>
      </c>
      <c r="L373" s="42">
        <f t="shared" si="396"/>
        <v>-0.76666666666666672</v>
      </c>
      <c r="M373" s="42">
        <f t="shared" si="397"/>
        <v>-0.96666666666666667</v>
      </c>
      <c r="O373" s="43" t="str">
        <f t="shared" si="387"/>
        <v/>
      </c>
    </row>
    <row r="374" spans="1:15" x14ac:dyDescent="0.45">
      <c r="D374" s="27">
        <f t="shared" si="388"/>
        <v>0</v>
      </c>
      <c r="E374" s="28">
        <f t="shared" si="389"/>
        <v>0</v>
      </c>
      <c r="F374" s="42">
        <f t="shared" si="390"/>
        <v>-3.3333333333333333E-2</v>
      </c>
      <c r="G374" s="42">
        <f t="shared" si="391"/>
        <v>-0.23333333333333334</v>
      </c>
      <c r="H374" s="42">
        <f t="shared" si="392"/>
        <v>-0.36666666666666664</v>
      </c>
      <c r="I374" s="42">
        <f t="shared" si="393"/>
        <v>-0.43333333333333335</v>
      </c>
      <c r="J374" s="42">
        <f t="shared" si="394"/>
        <v>-0.56666666666666665</v>
      </c>
      <c r="K374" s="42">
        <f t="shared" si="395"/>
        <v>-0.6333333333333333</v>
      </c>
      <c r="L374" s="42">
        <f t="shared" si="396"/>
        <v>-0.76666666666666672</v>
      </c>
      <c r="M374" s="42">
        <f t="shared" si="397"/>
        <v>-0.96666666666666667</v>
      </c>
      <c r="O374" s="43" t="str">
        <f t="shared" si="387"/>
        <v/>
      </c>
    </row>
    <row r="375" spans="1:15" ht="19.2" thickBot="1" x14ac:dyDescent="0.5">
      <c r="F375" s="42"/>
      <c r="G375" s="42"/>
      <c r="H375" s="42"/>
      <c r="I375" s="42"/>
      <c r="J375" s="42"/>
      <c r="K375" s="42"/>
      <c r="L375" s="42"/>
      <c r="M375" s="42"/>
    </row>
    <row r="376" spans="1:15" ht="19.2" thickBot="1" x14ac:dyDescent="0.5">
      <c r="C376" s="44"/>
      <c r="E376" s="34">
        <f>E357</f>
        <v>0</v>
      </c>
      <c r="F376" s="45">
        <v>1</v>
      </c>
      <c r="G376" s="46">
        <v>7</v>
      </c>
      <c r="H376" s="46">
        <v>11</v>
      </c>
      <c r="I376" s="46">
        <v>13</v>
      </c>
      <c r="J376" s="46">
        <v>17</v>
      </c>
      <c r="K376" s="46">
        <v>19</v>
      </c>
      <c r="L376" s="46">
        <v>23</v>
      </c>
      <c r="M376" s="47">
        <v>29</v>
      </c>
      <c r="O376" s="27" t="s">
        <v>2</v>
      </c>
    </row>
    <row r="377" spans="1:15" x14ac:dyDescent="0.45">
      <c r="A377" s="29">
        <f>A367+1</f>
        <v>37</v>
      </c>
      <c r="D377" s="27">
        <f>C367</f>
        <v>0</v>
      </c>
      <c r="E377" s="28">
        <f>D377*$E$6</f>
        <v>0</v>
      </c>
      <c r="F377" s="42">
        <f>(E377-1)/30</f>
        <v>-3.3333333333333333E-2</v>
      </c>
      <c r="G377" s="42">
        <f>($E377-7)/30</f>
        <v>-0.23333333333333334</v>
      </c>
      <c r="H377" s="42">
        <f>($E377-11)/30</f>
        <v>-0.36666666666666664</v>
      </c>
      <c r="I377" s="42">
        <f>($E377-13)/30</f>
        <v>-0.43333333333333335</v>
      </c>
      <c r="J377" s="42">
        <f>($E377-17)/30</f>
        <v>-0.56666666666666665</v>
      </c>
      <c r="K377" s="42">
        <f>($E377-19)/30</f>
        <v>-0.6333333333333333</v>
      </c>
      <c r="L377" s="42">
        <f>($E377-23)/30</f>
        <v>-0.76666666666666672</v>
      </c>
      <c r="M377" s="42">
        <f>($E377-29)/30</f>
        <v>-0.96666666666666667</v>
      </c>
      <c r="O377" s="43" t="str">
        <f t="shared" ref="O377:O384" si="398">FactorNumber(E377)</f>
        <v/>
      </c>
    </row>
    <row r="378" spans="1:15" x14ac:dyDescent="0.45">
      <c r="D378" s="27">
        <f t="shared" ref="D378:D384" si="399">C368</f>
        <v>0</v>
      </c>
      <c r="E378" s="28">
        <f t="shared" ref="E378:E384" si="400">D378*$E$6</f>
        <v>0</v>
      </c>
      <c r="F378" s="42">
        <f t="shared" ref="F378:F384" si="401">(E378-1)/30</f>
        <v>-3.3333333333333333E-2</v>
      </c>
      <c r="G378" s="42">
        <f t="shared" ref="G378:G384" si="402">($E378-7)/30</f>
        <v>-0.23333333333333334</v>
      </c>
      <c r="H378" s="42">
        <f t="shared" ref="H378:H384" si="403">($E378-11)/30</f>
        <v>-0.36666666666666664</v>
      </c>
      <c r="I378" s="42">
        <f t="shared" ref="I378:I384" si="404">($E378-13)/30</f>
        <v>-0.43333333333333335</v>
      </c>
      <c r="J378" s="42">
        <f t="shared" ref="J378:J384" si="405">($E378-17)/30</f>
        <v>-0.56666666666666665</v>
      </c>
      <c r="K378" s="42">
        <f t="shared" ref="K378:K384" si="406">($E378-19)/30</f>
        <v>-0.6333333333333333</v>
      </c>
      <c r="L378" s="42">
        <f t="shared" ref="L378:L384" si="407">($E378-23)/30</f>
        <v>-0.76666666666666672</v>
      </c>
      <c r="M378" s="42">
        <f t="shared" ref="M378:M384" si="408">($E378-29)/30</f>
        <v>-0.96666666666666667</v>
      </c>
      <c r="O378" s="43" t="str">
        <f t="shared" si="398"/>
        <v/>
      </c>
    </row>
    <row r="379" spans="1:15" x14ac:dyDescent="0.45">
      <c r="D379" s="27">
        <f t="shared" si="399"/>
        <v>0</v>
      </c>
      <c r="E379" s="28">
        <f t="shared" si="400"/>
        <v>0</v>
      </c>
      <c r="F379" s="42">
        <f t="shared" si="401"/>
        <v>-3.3333333333333333E-2</v>
      </c>
      <c r="G379" s="42">
        <f t="shared" si="402"/>
        <v>-0.23333333333333334</v>
      </c>
      <c r="H379" s="42">
        <f t="shared" si="403"/>
        <v>-0.36666666666666664</v>
      </c>
      <c r="I379" s="42">
        <f t="shared" si="404"/>
        <v>-0.43333333333333335</v>
      </c>
      <c r="J379" s="42">
        <f t="shared" si="405"/>
        <v>-0.56666666666666665</v>
      </c>
      <c r="K379" s="42">
        <f t="shared" si="406"/>
        <v>-0.6333333333333333</v>
      </c>
      <c r="L379" s="42">
        <f t="shared" si="407"/>
        <v>-0.76666666666666672</v>
      </c>
      <c r="M379" s="42">
        <f t="shared" si="408"/>
        <v>-0.96666666666666667</v>
      </c>
      <c r="O379" s="43" t="str">
        <f t="shared" si="398"/>
        <v/>
      </c>
    </row>
    <row r="380" spans="1:15" x14ac:dyDescent="0.45">
      <c r="D380" s="27">
        <f t="shared" si="399"/>
        <v>0</v>
      </c>
      <c r="E380" s="28">
        <f t="shared" si="400"/>
        <v>0</v>
      </c>
      <c r="F380" s="42">
        <f t="shared" si="401"/>
        <v>-3.3333333333333333E-2</v>
      </c>
      <c r="G380" s="42">
        <f t="shared" si="402"/>
        <v>-0.23333333333333334</v>
      </c>
      <c r="H380" s="42">
        <f t="shared" si="403"/>
        <v>-0.36666666666666664</v>
      </c>
      <c r="I380" s="42">
        <f t="shared" si="404"/>
        <v>-0.43333333333333335</v>
      </c>
      <c r="J380" s="42">
        <f t="shared" si="405"/>
        <v>-0.56666666666666665</v>
      </c>
      <c r="K380" s="42">
        <f t="shared" si="406"/>
        <v>-0.6333333333333333</v>
      </c>
      <c r="L380" s="42">
        <f t="shared" si="407"/>
        <v>-0.76666666666666672</v>
      </c>
      <c r="M380" s="42">
        <f t="shared" si="408"/>
        <v>-0.96666666666666667</v>
      </c>
      <c r="O380" s="43" t="str">
        <f t="shared" si="398"/>
        <v/>
      </c>
    </row>
    <row r="381" spans="1:15" x14ac:dyDescent="0.45">
      <c r="D381" s="27">
        <f t="shared" si="399"/>
        <v>0</v>
      </c>
      <c r="E381" s="28">
        <f t="shared" si="400"/>
        <v>0</v>
      </c>
      <c r="F381" s="42">
        <f t="shared" si="401"/>
        <v>-3.3333333333333333E-2</v>
      </c>
      <c r="G381" s="42">
        <f t="shared" si="402"/>
        <v>-0.23333333333333334</v>
      </c>
      <c r="H381" s="42">
        <f t="shared" si="403"/>
        <v>-0.36666666666666664</v>
      </c>
      <c r="I381" s="42">
        <f t="shared" si="404"/>
        <v>-0.43333333333333335</v>
      </c>
      <c r="J381" s="42">
        <f t="shared" si="405"/>
        <v>-0.56666666666666665</v>
      </c>
      <c r="K381" s="42">
        <f t="shared" si="406"/>
        <v>-0.6333333333333333</v>
      </c>
      <c r="L381" s="42">
        <f t="shared" si="407"/>
        <v>-0.76666666666666672</v>
      </c>
      <c r="M381" s="42">
        <f t="shared" si="408"/>
        <v>-0.96666666666666667</v>
      </c>
      <c r="O381" s="43" t="str">
        <f t="shared" si="398"/>
        <v/>
      </c>
    </row>
    <row r="382" spans="1:15" x14ac:dyDescent="0.45">
      <c r="D382" s="27">
        <f t="shared" si="399"/>
        <v>0</v>
      </c>
      <c r="E382" s="28">
        <f t="shared" si="400"/>
        <v>0</v>
      </c>
      <c r="F382" s="42">
        <f t="shared" si="401"/>
        <v>-3.3333333333333333E-2</v>
      </c>
      <c r="G382" s="42">
        <f t="shared" si="402"/>
        <v>-0.23333333333333334</v>
      </c>
      <c r="H382" s="42">
        <f t="shared" si="403"/>
        <v>-0.36666666666666664</v>
      </c>
      <c r="I382" s="42">
        <f t="shared" si="404"/>
        <v>-0.43333333333333335</v>
      </c>
      <c r="J382" s="42">
        <f t="shared" si="405"/>
        <v>-0.56666666666666665</v>
      </c>
      <c r="K382" s="42">
        <f t="shared" si="406"/>
        <v>-0.6333333333333333</v>
      </c>
      <c r="L382" s="42">
        <f t="shared" si="407"/>
        <v>-0.76666666666666672</v>
      </c>
      <c r="M382" s="42">
        <f t="shared" si="408"/>
        <v>-0.96666666666666667</v>
      </c>
      <c r="O382" s="43" t="str">
        <f t="shared" si="398"/>
        <v/>
      </c>
    </row>
    <row r="383" spans="1:15" x14ac:dyDescent="0.45">
      <c r="D383" s="27">
        <f t="shared" si="399"/>
        <v>0</v>
      </c>
      <c r="E383" s="28">
        <f t="shared" si="400"/>
        <v>0</v>
      </c>
      <c r="F383" s="42">
        <f t="shared" si="401"/>
        <v>-3.3333333333333333E-2</v>
      </c>
      <c r="G383" s="42">
        <f t="shared" si="402"/>
        <v>-0.23333333333333334</v>
      </c>
      <c r="H383" s="42">
        <f t="shared" si="403"/>
        <v>-0.36666666666666664</v>
      </c>
      <c r="I383" s="42">
        <f t="shared" si="404"/>
        <v>-0.43333333333333335</v>
      </c>
      <c r="J383" s="42">
        <f t="shared" si="405"/>
        <v>-0.56666666666666665</v>
      </c>
      <c r="K383" s="42">
        <f t="shared" si="406"/>
        <v>-0.6333333333333333</v>
      </c>
      <c r="L383" s="42">
        <f t="shared" si="407"/>
        <v>-0.76666666666666672</v>
      </c>
      <c r="M383" s="42">
        <f t="shared" si="408"/>
        <v>-0.96666666666666667</v>
      </c>
      <c r="O383" s="43" t="str">
        <f t="shared" si="398"/>
        <v/>
      </c>
    </row>
    <row r="384" spans="1:15" x14ac:dyDescent="0.45">
      <c r="D384" s="27">
        <f t="shared" si="399"/>
        <v>0</v>
      </c>
      <c r="E384" s="28">
        <f t="shared" si="400"/>
        <v>0</v>
      </c>
      <c r="F384" s="42">
        <f t="shared" si="401"/>
        <v>-3.3333333333333333E-2</v>
      </c>
      <c r="G384" s="42">
        <f t="shared" si="402"/>
        <v>-0.23333333333333334</v>
      </c>
      <c r="H384" s="42">
        <f t="shared" si="403"/>
        <v>-0.36666666666666664</v>
      </c>
      <c r="I384" s="42">
        <f t="shared" si="404"/>
        <v>-0.43333333333333335</v>
      </c>
      <c r="J384" s="42">
        <f t="shared" si="405"/>
        <v>-0.56666666666666665</v>
      </c>
      <c r="K384" s="42">
        <f t="shared" si="406"/>
        <v>-0.6333333333333333</v>
      </c>
      <c r="L384" s="42">
        <f t="shared" si="407"/>
        <v>-0.76666666666666672</v>
      </c>
      <c r="M384" s="42">
        <f t="shared" si="408"/>
        <v>-0.96666666666666667</v>
      </c>
      <c r="O384" s="43" t="str">
        <f t="shared" si="398"/>
        <v/>
      </c>
    </row>
    <row r="385" spans="1:15" ht="19.2" thickBot="1" x14ac:dyDescent="0.5">
      <c r="F385" s="42"/>
      <c r="G385" s="42"/>
      <c r="H385" s="42"/>
      <c r="I385" s="42"/>
      <c r="J385" s="42"/>
      <c r="K385" s="42"/>
      <c r="L385" s="42"/>
      <c r="M385" s="42"/>
    </row>
    <row r="386" spans="1:15" ht="19.2" thickBot="1" x14ac:dyDescent="0.5">
      <c r="C386" s="44"/>
      <c r="E386" s="34">
        <f>E367</f>
        <v>0</v>
      </c>
      <c r="F386" s="45">
        <v>1</v>
      </c>
      <c r="G386" s="46">
        <v>7</v>
      </c>
      <c r="H386" s="46">
        <v>11</v>
      </c>
      <c r="I386" s="46">
        <v>13</v>
      </c>
      <c r="J386" s="46">
        <v>17</v>
      </c>
      <c r="K386" s="46">
        <v>19</v>
      </c>
      <c r="L386" s="46">
        <v>23</v>
      </c>
      <c r="M386" s="47">
        <v>29</v>
      </c>
      <c r="O386" s="27" t="s">
        <v>2</v>
      </c>
    </row>
    <row r="387" spans="1:15" x14ac:dyDescent="0.45">
      <c r="A387" s="29">
        <f>A377+1</f>
        <v>38</v>
      </c>
      <c r="D387" s="27">
        <f>C377</f>
        <v>0</v>
      </c>
      <c r="E387" s="28">
        <f>D387*$E$6</f>
        <v>0</v>
      </c>
      <c r="F387" s="42">
        <f>(E387-1)/30</f>
        <v>-3.3333333333333333E-2</v>
      </c>
      <c r="G387" s="42">
        <f>($E387-7)/30</f>
        <v>-0.23333333333333334</v>
      </c>
      <c r="H387" s="42">
        <f>($E387-11)/30</f>
        <v>-0.36666666666666664</v>
      </c>
      <c r="I387" s="42">
        <f>($E387-13)/30</f>
        <v>-0.43333333333333335</v>
      </c>
      <c r="J387" s="42">
        <f>($E387-17)/30</f>
        <v>-0.56666666666666665</v>
      </c>
      <c r="K387" s="42">
        <f>($E387-19)/30</f>
        <v>-0.6333333333333333</v>
      </c>
      <c r="L387" s="42">
        <f>($E387-23)/30</f>
        <v>-0.76666666666666672</v>
      </c>
      <c r="M387" s="42">
        <f>($E387-29)/30</f>
        <v>-0.96666666666666667</v>
      </c>
      <c r="O387" s="43" t="str">
        <f t="shared" ref="O387:O394" si="409">FactorNumber(E387)</f>
        <v/>
      </c>
    </row>
    <row r="388" spans="1:15" x14ac:dyDescent="0.45">
      <c r="D388" s="27">
        <f t="shared" ref="D388:D394" si="410">C378</f>
        <v>0</v>
      </c>
      <c r="E388" s="28">
        <f t="shared" ref="E388:E394" si="411">D388*$E$6</f>
        <v>0</v>
      </c>
      <c r="F388" s="42">
        <f t="shared" ref="F388:F394" si="412">(E388-1)/30</f>
        <v>-3.3333333333333333E-2</v>
      </c>
      <c r="G388" s="42">
        <f t="shared" ref="G388:G394" si="413">($E388-7)/30</f>
        <v>-0.23333333333333334</v>
      </c>
      <c r="H388" s="42">
        <f t="shared" ref="H388:H394" si="414">($E388-11)/30</f>
        <v>-0.36666666666666664</v>
      </c>
      <c r="I388" s="42">
        <f t="shared" ref="I388:I394" si="415">($E388-13)/30</f>
        <v>-0.43333333333333335</v>
      </c>
      <c r="J388" s="42">
        <f t="shared" ref="J388:J394" si="416">($E388-17)/30</f>
        <v>-0.56666666666666665</v>
      </c>
      <c r="K388" s="42">
        <f t="shared" ref="K388:K394" si="417">($E388-19)/30</f>
        <v>-0.6333333333333333</v>
      </c>
      <c r="L388" s="42">
        <f t="shared" ref="L388:L394" si="418">($E388-23)/30</f>
        <v>-0.76666666666666672</v>
      </c>
      <c r="M388" s="42">
        <f t="shared" ref="M388:M394" si="419">($E388-29)/30</f>
        <v>-0.96666666666666667</v>
      </c>
      <c r="O388" s="43" t="str">
        <f t="shared" si="409"/>
        <v/>
      </c>
    </row>
    <row r="389" spans="1:15" x14ac:dyDescent="0.45">
      <c r="D389" s="27">
        <f t="shared" si="410"/>
        <v>0</v>
      </c>
      <c r="E389" s="28">
        <f t="shared" si="411"/>
        <v>0</v>
      </c>
      <c r="F389" s="42">
        <f t="shared" si="412"/>
        <v>-3.3333333333333333E-2</v>
      </c>
      <c r="G389" s="42">
        <f t="shared" si="413"/>
        <v>-0.23333333333333334</v>
      </c>
      <c r="H389" s="42">
        <f t="shared" si="414"/>
        <v>-0.36666666666666664</v>
      </c>
      <c r="I389" s="42">
        <f t="shared" si="415"/>
        <v>-0.43333333333333335</v>
      </c>
      <c r="J389" s="42">
        <f t="shared" si="416"/>
        <v>-0.56666666666666665</v>
      </c>
      <c r="K389" s="42">
        <f t="shared" si="417"/>
        <v>-0.6333333333333333</v>
      </c>
      <c r="L389" s="42">
        <f t="shared" si="418"/>
        <v>-0.76666666666666672</v>
      </c>
      <c r="M389" s="42">
        <f t="shared" si="419"/>
        <v>-0.96666666666666667</v>
      </c>
      <c r="O389" s="43" t="str">
        <f t="shared" si="409"/>
        <v/>
      </c>
    </row>
    <row r="390" spans="1:15" x14ac:dyDescent="0.45">
      <c r="D390" s="27">
        <f t="shared" si="410"/>
        <v>0</v>
      </c>
      <c r="E390" s="28">
        <f t="shared" si="411"/>
        <v>0</v>
      </c>
      <c r="F390" s="42">
        <f t="shared" si="412"/>
        <v>-3.3333333333333333E-2</v>
      </c>
      <c r="G390" s="42">
        <f t="shared" si="413"/>
        <v>-0.23333333333333334</v>
      </c>
      <c r="H390" s="42">
        <f t="shared" si="414"/>
        <v>-0.36666666666666664</v>
      </c>
      <c r="I390" s="42">
        <f t="shared" si="415"/>
        <v>-0.43333333333333335</v>
      </c>
      <c r="J390" s="42">
        <f t="shared" si="416"/>
        <v>-0.56666666666666665</v>
      </c>
      <c r="K390" s="42">
        <f t="shared" si="417"/>
        <v>-0.6333333333333333</v>
      </c>
      <c r="L390" s="42">
        <f t="shared" si="418"/>
        <v>-0.76666666666666672</v>
      </c>
      <c r="M390" s="42">
        <f t="shared" si="419"/>
        <v>-0.96666666666666667</v>
      </c>
      <c r="O390" s="43" t="str">
        <f t="shared" si="409"/>
        <v/>
      </c>
    </row>
    <row r="391" spans="1:15" x14ac:dyDescent="0.45">
      <c r="D391" s="27">
        <f t="shared" si="410"/>
        <v>0</v>
      </c>
      <c r="E391" s="28">
        <f t="shared" si="411"/>
        <v>0</v>
      </c>
      <c r="F391" s="42">
        <f t="shared" si="412"/>
        <v>-3.3333333333333333E-2</v>
      </c>
      <c r="G391" s="42">
        <f t="shared" si="413"/>
        <v>-0.23333333333333334</v>
      </c>
      <c r="H391" s="42">
        <f t="shared" si="414"/>
        <v>-0.36666666666666664</v>
      </c>
      <c r="I391" s="42">
        <f t="shared" si="415"/>
        <v>-0.43333333333333335</v>
      </c>
      <c r="J391" s="42">
        <f t="shared" si="416"/>
        <v>-0.56666666666666665</v>
      </c>
      <c r="K391" s="42">
        <f t="shared" si="417"/>
        <v>-0.6333333333333333</v>
      </c>
      <c r="L391" s="42">
        <f t="shared" si="418"/>
        <v>-0.76666666666666672</v>
      </c>
      <c r="M391" s="42">
        <f t="shared" si="419"/>
        <v>-0.96666666666666667</v>
      </c>
      <c r="O391" s="43" t="str">
        <f t="shared" si="409"/>
        <v/>
      </c>
    </row>
    <row r="392" spans="1:15" x14ac:dyDescent="0.45">
      <c r="D392" s="27">
        <f t="shared" si="410"/>
        <v>0</v>
      </c>
      <c r="E392" s="28">
        <f t="shared" si="411"/>
        <v>0</v>
      </c>
      <c r="F392" s="42">
        <f t="shared" si="412"/>
        <v>-3.3333333333333333E-2</v>
      </c>
      <c r="G392" s="42">
        <f t="shared" si="413"/>
        <v>-0.23333333333333334</v>
      </c>
      <c r="H392" s="42">
        <f t="shared" si="414"/>
        <v>-0.36666666666666664</v>
      </c>
      <c r="I392" s="42">
        <f t="shared" si="415"/>
        <v>-0.43333333333333335</v>
      </c>
      <c r="J392" s="42">
        <f t="shared" si="416"/>
        <v>-0.56666666666666665</v>
      </c>
      <c r="K392" s="42">
        <f t="shared" si="417"/>
        <v>-0.6333333333333333</v>
      </c>
      <c r="L392" s="42">
        <f t="shared" si="418"/>
        <v>-0.76666666666666672</v>
      </c>
      <c r="M392" s="42">
        <f t="shared" si="419"/>
        <v>-0.96666666666666667</v>
      </c>
      <c r="O392" s="43" t="str">
        <f t="shared" si="409"/>
        <v/>
      </c>
    </row>
    <row r="393" spans="1:15" x14ac:dyDescent="0.45">
      <c r="D393" s="27">
        <f t="shared" si="410"/>
        <v>0</v>
      </c>
      <c r="E393" s="28">
        <f t="shared" si="411"/>
        <v>0</v>
      </c>
      <c r="F393" s="42">
        <f t="shared" si="412"/>
        <v>-3.3333333333333333E-2</v>
      </c>
      <c r="G393" s="42">
        <f t="shared" si="413"/>
        <v>-0.23333333333333334</v>
      </c>
      <c r="H393" s="42">
        <f t="shared" si="414"/>
        <v>-0.36666666666666664</v>
      </c>
      <c r="I393" s="42">
        <f t="shared" si="415"/>
        <v>-0.43333333333333335</v>
      </c>
      <c r="J393" s="42">
        <f t="shared" si="416"/>
        <v>-0.56666666666666665</v>
      </c>
      <c r="K393" s="42">
        <f t="shared" si="417"/>
        <v>-0.6333333333333333</v>
      </c>
      <c r="L393" s="42">
        <f t="shared" si="418"/>
        <v>-0.76666666666666672</v>
      </c>
      <c r="M393" s="42">
        <f t="shared" si="419"/>
        <v>-0.96666666666666667</v>
      </c>
      <c r="O393" s="43" t="str">
        <f t="shared" si="409"/>
        <v/>
      </c>
    </row>
    <row r="394" spans="1:15" x14ac:dyDescent="0.45">
      <c r="D394" s="27">
        <f t="shared" si="410"/>
        <v>0</v>
      </c>
      <c r="E394" s="28">
        <f t="shared" si="411"/>
        <v>0</v>
      </c>
      <c r="F394" s="42">
        <f t="shared" si="412"/>
        <v>-3.3333333333333333E-2</v>
      </c>
      <c r="G394" s="42">
        <f t="shared" si="413"/>
        <v>-0.23333333333333334</v>
      </c>
      <c r="H394" s="42">
        <f t="shared" si="414"/>
        <v>-0.36666666666666664</v>
      </c>
      <c r="I394" s="42">
        <f t="shared" si="415"/>
        <v>-0.43333333333333335</v>
      </c>
      <c r="J394" s="42">
        <f t="shared" si="416"/>
        <v>-0.56666666666666665</v>
      </c>
      <c r="K394" s="42">
        <f t="shared" si="417"/>
        <v>-0.6333333333333333</v>
      </c>
      <c r="L394" s="42">
        <f t="shared" si="418"/>
        <v>-0.76666666666666672</v>
      </c>
      <c r="M394" s="42">
        <f t="shared" si="419"/>
        <v>-0.96666666666666667</v>
      </c>
      <c r="O394" s="43" t="str">
        <f t="shared" si="409"/>
        <v/>
      </c>
    </row>
    <row r="395" spans="1:15" ht="19.2" thickBot="1" x14ac:dyDescent="0.5">
      <c r="F395" s="42"/>
      <c r="G395" s="42"/>
      <c r="H395" s="42"/>
      <c r="I395" s="42"/>
      <c r="J395" s="42"/>
      <c r="K395" s="42"/>
      <c r="L395" s="42"/>
      <c r="M395" s="42"/>
    </row>
    <row r="396" spans="1:15" ht="19.2" thickBot="1" x14ac:dyDescent="0.5">
      <c r="C396" s="44"/>
      <c r="E396" s="34">
        <f>E377</f>
        <v>0</v>
      </c>
      <c r="F396" s="45">
        <v>1</v>
      </c>
      <c r="G396" s="46">
        <v>7</v>
      </c>
      <c r="H396" s="46">
        <v>11</v>
      </c>
      <c r="I396" s="46">
        <v>13</v>
      </c>
      <c r="J396" s="46">
        <v>17</v>
      </c>
      <c r="K396" s="46">
        <v>19</v>
      </c>
      <c r="L396" s="46">
        <v>23</v>
      </c>
      <c r="M396" s="47">
        <v>29</v>
      </c>
      <c r="O396" s="27" t="s">
        <v>2</v>
      </c>
    </row>
    <row r="397" spans="1:15" x14ac:dyDescent="0.45">
      <c r="A397" s="29">
        <f>A387+1</f>
        <v>39</v>
      </c>
      <c r="D397" s="27">
        <f>C387</f>
        <v>0</v>
      </c>
      <c r="E397" s="28">
        <f>D397*$E$6</f>
        <v>0</v>
      </c>
      <c r="F397" s="42">
        <f>(E397-1)/30</f>
        <v>-3.3333333333333333E-2</v>
      </c>
      <c r="G397" s="42">
        <f>($E397-7)/30</f>
        <v>-0.23333333333333334</v>
      </c>
      <c r="H397" s="42">
        <f>($E397-11)/30</f>
        <v>-0.36666666666666664</v>
      </c>
      <c r="I397" s="42">
        <f>($E397-13)/30</f>
        <v>-0.43333333333333335</v>
      </c>
      <c r="J397" s="42">
        <f>($E397-17)/30</f>
        <v>-0.56666666666666665</v>
      </c>
      <c r="K397" s="42">
        <f>($E397-19)/30</f>
        <v>-0.6333333333333333</v>
      </c>
      <c r="L397" s="42">
        <f>($E397-23)/30</f>
        <v>-0.76666666666666672</v>
      </c>
      <c r="M397" s="42">
        <f>($E397-29)/30</f>
        <v>-0.96666666666666667</v>
      </c>
      <c r="O397" s="43" t="str">
        <f t="shared" ref="O397:O404" si="420">FactorNumber(E397)</f>
        <v/>
      </c>
    </row>
    <row r="398" spans="1:15" x14ac:dyDescent="0.45">
      <c r="D398" s="27">
        <f t="shared" ref="D398:D404" si="421">C388</f>
        <v>0</v>
      </c>
      <c r="E398" s="28">
        <f t="shared" ref="E398:E404" si="422">D398*$E$6</f>
        <v>0</v>
      </c>
      <c r="F398" s="42">
        <f t="shared" ref="F398:F404" si="423">(E398-1)/30</f>
        <v>-3.3333333333333333E-2</v>
      </c>
      <c r="G398" s="42">
        <f t="shared" ref="G398:G404" si="424">($E398-7)/30</f>
        <v>-0.23333333333333334</v>
      </c>
      <c r="H398" s="42">
        <f t="shared" ref="H398:H404" si="425">($E398-11)/30</f>
        <v>-0.36666666666666664</v>
      </c>
      <c r="I398" s="42">
        <f t="shared" ref="I398:I404" si="426">($E398-13)/30</f>
        <v>-0.43333333333333335</v>
      </c>
      <c r="J398" s="42">
        <f t="shared" ref="J398:J404" si="427">($E398-17)/30</f>
        <v>-0.56666666666666665</v>
      </c>
      <c r="K398" s="42">
        <f t="shared" ref="K398:K404" si="428">($E398-19)/30</f>
        <v>-0.6333333333333333</v>
      </c>
      <c r="L398" s="42">
        <f t="shared" ref="L398:L404" si="429">($E398-23)/30</f>
        <v>-0.76666666666666672</v>
      </c>
      <c r="M398" s="42">
        <f t="shared" ref="M398:M404" si="430">($E398-29)/30</f>
        <v>-0.96666666666666667</v>
      </c>
      <c r="O398" s="43" t="str">
        <f t="shared" si="420"/>
        <v/>
      </c>
    </row>
    <row r="399" spans="1:15" x14ac:dyDescent="0.45">
      <c r="D399" s="27">
        <f t="shared" si="421"/>
        <v>0</v>
      </c>
      <c r="E399" s="28">
        <f t="shared" si="422"/>
        <v>0</v>
      </c>
      <c r="F399" s="42">
        <f t="shared" si="423"/>
        <v>-3.3333333333333333E-2</v>
      </c>
      <c r="G399" s="42">
        <f t="shared" si="424"/>
        <v>-0.23333333333333334</v>
      </c>
      <c r="H399" s="42">
        <f t="shared" si="425"/>
        <v>-0.36666666666666664</v>
      </c>
      <c r="I399" s="42">
        <f t="shared" si="426"/>
        <v>-0.43333333333333335</v>
      </c>
      <c r="J399" s="42">
        <f t="shared" si="427"/>
        <v>-0.56666666666666665</v>
      </c>
      <c r="K399" s="42">
        <f t="shared" si="428"/>
        <v>-0.6333333333333333</v>
      </c>
      <c r="L399" s="42">
        <f t="shared" si="429"/>
        <v>-0.76666666666666672</v>
      </c>
      <c r="M399" s="42">
        <f t="shared" si="430"/>
        <v>-0.96666666666666667</v>
      </c>
      <c r="O399" s="43" t="str">
        <f t="shared" si="420"/>
        <v/>
      </c>
    </row>
    <row r="400" spans="1:15" x14ac:dyDescent="0.45">
      <c r="D400" s="27">
        <f t="shared" si="421"/>
        <v>0</v>
      </c>
      <c r="E400" s="28">
        <f t="shared" si="422"/>
        <v>0</v>
      </c>
      <c r="F400" s="42">
        <f t="shared" si="423"/>
        <v>-3.3333333333333333E-2</v>
      </c>
      <c r="G400" s="42">
        <f t="shared" si="424"/>
        <v>-0.23333333333333334</v>
      </c>
      <c r="H400" s="42">
        <f t="shared" si="425"/>
        <v>-0.36666666666666664</v>
      </c>
      <c r="I400" s="42">
        <f t="shared" si="426"/>
        <v>-0.43333333333333335</v>
      </c>
      <c r="J400" s="42">
        <f t="shared" si="427"/>
        <v>-0.56666666666666665</v>
      </c>
      <c r="K400" s="42">
        <f t="shared" si="428"/>
        <v>-0.6333333333333333</v>
      </c>
      <c r="L400" s="42">
        <f t="shared" si="429"/>
        <v>-0.76666666666666672</v>
      </c>
      <c r="M400" s="42">
        <f t="shared" si="430"/>
        <v>-0.96666666666666667</v>
      </c>
      <c r="O400" s="43" t="str">
        <f t="shared" si="420"/>
        <v/>
      </c>
    </row>
    <row r="401" spans="1:15" x14ac:dyDescent="0.45">
      <c r="D401" s="27">
        <f t="shared" si="421"/>
        <v>0</v>
      </c>
      <c r="E401" s="28">
        <f t="shared" si="422"/>
        <v>0</v>
      </c>
      <c r="F401" s="42">
        <f t="shared" si="423"/>
        <v>-3.3333333333333333E-2</v>
      </c>
      <c r="G401" s="42">
        <f t="shared" si="424"/>
        <v>-0.23333333333333334</v>
      </c>
      <c r="H401" s="42">
        <f t="shared" si="425"/>
        <v>-0.36666666666666664</v>
      </c>
      <c r="I401" s="42">
        <f t="shared" si="426"/>
        <v>-0.43333333333333335</v>
      </c>
      <c r="J401" s="42">
        <f t="shared" si="427"/>
        <v>-0.56666666666666665</v>
      </c>
      <c r="K401" s="42">
        <f t="shared" si="428"/>
        <v>-0.6333333333333333</v>
      </c>
      <c r="L401" s="42">
        <f t="shared" si="429"/>
        <v>-0.76666666666666672</v>
      </c>
      <c r="M401" s="42">
        <f t="shared" si="430"/>
        <v>-0.96666666666666667</v>
      </c>
      <c r="O401" s="43" t="str">
        <f t="shared" si="420"/>
        <v/>
      </c>
    </row>
    <row r="402" spans="1:15" x14ac:dyDescent="0.45">
      <c r="D402" s="27">
        <f t="shared" si="421"/>
        <v>0</v>
      </c>
      <c r="E402" s="28">
        <f t="shared" si="422"/>
        <v>0</v>
      </c>
      <c r="F402" s="42">
        <f t="shared" si="423"/>
        <v>-3.3333333333333333E-2</v>
      </c>
      <c r="G402" s="42">
        <f t="shared" si="424"/>
        <v>-0.23333333333333334</v>
      </c>
      <c r="H402" s="42">
        <f t="shared" si="425"/>
        <v>-0.36666666666666664</v>
      </c>
      <c r="I402" s="42">
        <f t="shared" si="426"/>
        <v>-0.43333333333333335</v>
      </c>
      <c r="J402" s="42">
        <f t="shared" si="427"/>
        <v>-0.56666666666666665</v>
      </c>
      <c r="K402" s="42">
        <f t="shared" si="428"/>
        <v>-0.6333333333333333</v>
      </c>
      <c r="L402" s="42">
        <f t="shared" si="429"/>
        <v>-0.76666666666666672</v>
      </c>
      <c r="M402" s="42">
        <f t="shared" si="430"/>
        <v>-0.96666666666666667</v>
      </c>
      <c r="O402" s="43" t="str">
        <f t="shared" si="420"/>
        <v/>
      </c>
    </row>
    <row r="403" spans="1:15" x14ac:dyDescent="0.45">
      <c r="D403" s="27">
        <f t="shared" si="421"/>
        <v>0</v>
      </c>
      <c r="E403" s="28">
        <f t="shared" si="422"/>
        <v>0</v>
      </c>
      <c r="F403" s="42">
        <f t="shared" si="423"/>
        <v>-3.3333333333333333E-2</v>
      </c>
      <c r="G403" s="42">
        <f t="shared" si="424"/>
        <v>-0.23333333333333334</v>
      </c>
      <c r="H403" s="42">
        <f t="shared" si="425"/>
        <v>-0.36666666666666664</v>
      </c>
      <c r="I403" s="42">
        <f t="shared" si="426"/>
        <v>-0.43333333333333335</v>
      </c>
      <c r="J403" s="42">
        <f t="shared" si="427"/>
        <v>-0.56666666666666665</v>
      </c>
      <c r="K403" s="42">
        <f t="shared" si="428"/>
        <v>-0.6333333333333333</v>
      </c>
      <c r="L403" s="42">
        <f t="shared" si="429"/>
        <v>-0.76666666666666672</v>
      </c>
      <c r="M403" s="42">
        <f t="shared" si="430"/>
        <v>-0.96666666666666667</v>
      </c>
      <c r="O403" s="43" t="str">
        <f t="shared" si="420"/>
        <v/>
      </c>
    </row>
    <row r="404" spans="1:15" x14ac:dyDescent="0.45">
      <c r="D404" s="27">
        <f t="shared" si="421"/>
        <v>0</v>
      </c>
      <c r="E404" s="28">
        <f t="shared" si="422"/>
        <v>0</v>
      </c>
      <c r="F404" s="42">
        <f t="shared" si="423"/>
        <v>-3.3333333333333333E-2</v>
      </c>
      <c r="G404" s="42">
        <f t="shared" si="424"/>
        <v>-0.23333333333333334</v>
      </c>
      <c r="H404" s="42">
        <f t="shared" si="425"/>
        <v>-0.36666666666666664</v>
      </c>
      <c r="I404" s="42">
        <f t="shared" si="426"/>
        <v>-0.43333333333333335</v>
      </c>
      <c r="J404" s="42">
        <f t="shared" si="427"/>
        <v>-0.56666666666666665</v>
      </c>
      <c r="K404" s="42">
        <f t="shared" si="428"/>
        <v>-0.6333333333333333</v>
      </c>
      <c r="L404" s="42">
        <f t="shared" si="429"/>
        <v>-0.76666666666666672</v>
      </c>
      <c r="M404" s="42">
        <f t="shared" si="430"/>
        <v>-0.96666666666666667</v>
      </c>
      <c r="O404" s="43" t="str">
        <f t="shared" si="420"/>
        <v/>
      </c>
    </row>
    <row r="405" spans="1:15" ht="19.2" thickBot="1" x14ac:dyDescent="0.5">
      <c r="F405" s="42"/>
      <c r="G405" s="42"/>
      <c r="H405" s="42"/>
      <c r="I405" s="42"/>
      <c r="J405" s="42"/>
      <c r="K405" s="42"/>
      <c r="L405" s="42"/>
      <c r="M405" s="42"/>
    </row>
    <row r="406" spans="1:15" ht="19.2" thickBot="1" x14ac:dyDescent="0.5">
      <c r="C406" s="44"/>
      <c r="E406" s="34">
        <f>E387</f>
        <v>0</v>
      </c>
      <c r="F406" s="45">
        <v>1</v>
      </c>
      <c r="G406" s="46">
        <v>7</v>
      </c>
      <c r="H406" s="46">
        <v>11</v>
      </c>
      <c r="I406" s="46">
        <v>13</v>
      </c>
      <c r="J406" s="46">
        <v>17</v>
      </c>
      <c r="K406" s="46">
        <v>19</v>
      </c>
      <c r="L406" s="46">
        <v>23</v>
      </c>
      <c r="M406" s="47">
        <v>29</v>
      </c>
      <c r="O406" s="27" t="s">
        <v>2</v>
      </c>
    </row>
    <row r="407" spans="1:15" x14ac:dyDescent="0.45">
      <c r="A407" s="29">
        <f>A397+1</f>
        <v>40</v>
      </c>
      <c r="D407" s="27">
        <f>C397</f>
        <v>0</v>
      </c>
      <c r="E407" s="28">
        <f>D407*$E$6</f>
        <v>0</v>
      </c>
      <c r="F407" s="42">
        <f>(E407-1)/30</f>
        <v>-3.3333333333333333E-2</v>
      </c>
      <c r="G407" s="42">
        <f>($E407-7)/30</f>
        <v>-0.23333333333333334</v>
      </c>
      <c r="H407" s="42">
        <f>($E407-11)/30</f>
        <v>-0.36666666666666664</v>
      </c>
      <c r="I407" s="42">
        <f>($E407-13)/30</f>
        <v>-0.43333333333333335</v>
      </c>
      <c r="J407" s="42">
        <f>($E407-17)/30</f>
        <v>-0.56666666666666665</v>
      </c>
      <c r="K407" s="42">
        <f>($E407-19)/30</f>
        <v>-0.6333333333333333</v>
      </c>
      <c r="L407" s="42">
        <f>($E407-23)/30</f>
        <v>-0.76666666666666672</v>
      </c>
      <c r="M407" s="42">
        <f>($E407-29)/30</f>
        <v>-0.96666666666666667</v>
      </c>
      <c r="O407" s="43" t="str">
        <f t="shared" ref="O407:O414" si="431">FactorNumber(E407)</f>
        <v/>
      </c>
    </row>
    <row r="408" spans="1:15" x14ac:dyDescent="0.45">
      <c r="D408" s="27">
        <f t="shared" ref="D408:D414" si="432">C398</f>
        <v>0</v>
      </c>
      <c r="E408" s="28">
        <f t="shared" ref="E408:E414" si="433">D408*$E$6</f>
        <v>0</v>
      </c>
      <c r="F408" s="42">
        <f t="shared" ref="F408:F414" si="434">(E408-1)/30</f>
        <v>-3.3333333333333333E-2</v>
      </c>
      <c r="G408" s="42">
        <f t="shared" ref="G408:G414" si="435">($E408-7)/30</f>
        <v>-0.23333333333333334</v>
      </c>
      <c r="H408" s="42">
        <f t="shared" ref="H408:H414" si="436">($E408-11)/30</f>
        <v>-0.36666666666666664</v>
      </c>
      <c r="I408" s="42">
        <f t="shared" ref="I408:I414" si="437">($E408-13)/30</f>
        <v>-0.43333333333333335</v>
      </c>
      <c r="J408" s="42">
        <f t="shared" ref="J408:J414" si="438">($E408-17)/30</f>
        <v>-0.56666666666666665</v>
      </c>
      <c r="K408" s="42">
        <f t="shared" ref="K408:K414" si="439">($E408-19)/30</f>
        <v>-0.6333333333333333</v>
      </c>
      <c r="L408" s="42">
        <f t="shared" ref="L408:L414" si="440">($E408-23)/30</f>
        <v>-0.76666666666666672</v>
      </c>
      <c r="M408" s="42">
        <f t="shared" ref="M408:M414" si="441">($E408-29)/30</f>
        <v>-0.96666666666666667</v>
      </c>
      <c r="O408" s="43" t="str">
        <f t="shared" si="431"/>
        <v/>
      </c>
    </row>
    <row r="409" spans="1:15" x14ac:dyDescent="0.45">
      <c r="D409" s="27">
        <f t="shared" si="432"/>
        <v>0</v>
      </c>
      <c r="E409" s="28">
        <f t="shared" si="433"/>
        <v>0</v>
      </c>
      <c r="F409" s="42">
        <f t="shared" si="434"/>
        <v>-3.3333333333333333E-2</v>
      </c>
      <c r="G409" s="42">
        <f t="shared" si="435"/>
        <v>-0.23333333333333334</v>
      </c>
      <c r="H409" s="42">
        <f t="shared" si="436"/>
        <v>-0.36666666666666664</v>
      </c>
      <c r="I409" s="42">
        <f t="shared" si="437"/>
        <v>-0.43333333333333335</v>
      </c>
      <c r="J409" s="42">
        <f t="shared" si="438"/>
        <v>-0.56666666666666665</v>
      </c>
      <c r="K409" s="42">
        <f t="shared" si="439"/>
        <v>-0.6333333333333333</v>
      </c>
      <c r="L409" s="42">
        <f t="shared" si="440"/>
        <v>-0.76666666666666672</v>
      </c>
      <c r="M409" s="42">
        <f t="shared" si="441"/>
        <v>-0.96666666666666667</v>
      </c>
      <c r="O409" s="43" t="str">
        <f t="shared" si="431"/>
        <v/>
      </c>
    </row>
    <row r="410" spans="1:15" x14ac:dyDescent="0.45">
      <c r="D410" s="27">
        <f t="shared" si="432"/>
        <v>0</v>
      </c>
      <c r="E410" s="28">
        <f t="shared" si="433"/>
        <v>0</v>
      </c>
      <c r="F410" s="42">
        <f t="shared" si="434"/>
        <v>-3.3333333333333333E-2</v>
      </c>
      <c r="G410" s="42">
        <f t="shared" si="435"/>
        <v>-0.23333333333333334</v>
      </c>
      <c r="H410" s="42">
        <f t="shared" si="436"/>
        <v>-0.36666666666666664</v>
      </c>
      <c r="I410" s="42">
        <f t="shared" si="437"/>
        <v>-0.43333333333333335</v>
      </c>
      <c r="J410" s="42">
        <f t="shared" si="438"/>
        <v>-0.56666666666666665</v>
      </c>
      <c r="K410" s="42">
        <f t="shared" si="439"/>
        <v>-0.6333333333333333</v>
      </c>
      <c r="L410" s="42">
        <f t="shared" si="440"/>
        <v>-0.76666666666666672</v>
      </c>
      <c r="M410" s="42">
        <f t="shared" si="441"/>
        <v>-0.96666666666666667</v>
      </c>
      <c r="O410" s="43" t="str">
        <f t="shared" si="431"/>
        <v/>
      </c>
    </row>
    <row r="411" spans="1:15" x14ac:dyDescent="0.45">
      <c r="D411" s="27">
        <f t="shared" si="432"/>
        <v>0</v>
      </c>
      <c r="E411" s="28">
        <f t="shared" si="433"/>
        <v>0</v>
      </c>
      <c r="F411" s="42">
        <f t="shared" si="434"/>
        <v>-3.3333333333333333E-2</v>
      </c>
      <c r="G411" s="42">
        <f t="shared" si="435"/>
        <v>-0.23333333333333334</v>
      </c>
      <c r="H411" s="42">
        <f t="shared" si="436"/>
        <v>-0.36666666666666664</v>
      </c>
      <c r="I411" s="42">
        <f t="shared" si="437"/>
        <v>-0.43333333333333335</v>
      </c>
      <c r="J411" s="42">
        <f t="shared" si="438"/>
        <v>-0.56666666666666665</v>
      </c>
      <c r="K411" s="42">
        <f t="shared" si="439"/>
        <v>-0.6333333333333333</v>
      </c>
      <c r="L411" s="42">
        <f t="shared" si="440"/>
        <v>-0.76666666666666672</v>
      </c>
      <c r="M411" s="42">
        <f t="shared" si="441"/>
        <v>-0.96666666666666667</v>
      </c>
      <c r="O411" s="43" t="str">
        <f t="shared" si="431"/>
        <v/>
      </c>
    </row>
    <row r="412" spans="1:15" x14ac:dyDescent="0.45">
      <c r="D412" s="27">
        <f t="shared" si="432"/>
        <v>0</v>
      </c>
      <c r="E412" s="28">
        <f t="shared" si="433"/>
        <v>0</v>
      </c>
      <c r="F412" s="42">
        <f t="shared" si="434"/>
        <v>-3.3333333333333333E-2</v>
      </c>
      <c r="G412" s="42">
        <f t="shared" si="435"/>
        <v>-0.23333333333333334</v>
      </c>
      <c r="H412" s="42">
        <f t="shared" si="436"/>
        <v>-0.36666666666666664</v>
      </c>
      <c r="I412" s="42">
        <f t="shared" si="437"/>
        <v>-0.43333333333333335</v>
      </c>
      <c r="J412" s="42">
        <f t="shared" si="438"/>
        <v>-0.56666666666666665</v>
      </c>
      <c r="K412" s="42">
        <f t="shared" si="439"/>
        <v>-0.6333333333333333</v>
      </c>
      <c r="L412" s="42">
        <f t="shared" si="440"/>
        <v>-0.76666666666666672</v>
      </c>
      <c r="M412" s="42">
        <f t="shared" si="441"/>
        <v>-0.96666666666666667</v>
      </c>
      <c r="O412" s="43" t="str">
        <f t="shared" si="431"/>
        <v/>
      </c>
    </row>
    <row r="413" spans="1:15" x14ac:dyDescent="0.45">
      <c r="D413" s="27">
        <f t="shared" si="432"/>
        <v>0</v>
      </c>
      <c r="E413" s="28">
        <f t="shared" si="433"/>
        <v>0</v>
      </c>
      <c r="F413" s="42">
        <f t="shared" si="434"/>
        <v>-3.3333333333333333E-2</v>
      </c>
      <c r="G413" s="42">
        <f t="shared" si="435"/>
        <v>-0.23333333333333334</v>
      </c>
      <c r="H413" s="42">
        <f t="shared" si="436"/>
        <v>-0.36666666666666664</v>
      </c>
      <c r="I413" s="42">
        <f t="shared" si="437"/>
        <v>-0.43333333333333335</v>
      </c>
      <c r="J413" s="42">
        <f t="shared" si="438"/>
        <v>-0.56666666666666665</v>
      </c>
      <c r="K413" s="42">
        <f t="shared" si="439"/>
        <v>-0.6333333333333333</v>
      </c>
      <c r="L413" s="42">
        <f t="shared" si="440"/>
        <v>-0.76666666666666672</v>
      </c>
      <c r="M413" s="42">
        <f t="shared" si="441"/>
        <v>-0.96666666666666667</v>
      </c>
      <c r="O413" s="43" t="str">
        <f t="shared" si="431"/>
        <v/>
      </c>
    </row>
    <row r="414" spans="1:15" x14ac:dyDescent="0.45">
      <c r="D414" s="27">
        <f t="shared" si="432"/>
        <v>0</v>
      </c>
      <c r="E414" s="28">
        <f t="shared" si="433"/>
        <v>0</v>
      </c>
      <c r="F414" s="42">
        <f t="shared" si="434"/>
        <v>-3.3333333333333333E-2</v>
      </c>
      <c r="G414" s="42">
        <f t="shared" si="435"/>
        <v>-0.23333333333333334</v>
      </c>
      <c r="H414" s="42">
        <f t="shared" si="436"/>
        <v>-0.36666666666666664</v>
      </c>
      <c r="I414" s="42">
        <f t="shared" si="437"/>
        <v>-0.43333333333333335</v>
      </c>
      <c r="J414" s="42">
        <f t="shared" si="438"/>
        <v>-0.56666666666666665</v>
      </c>
      <c r="K414" s="42">
        <f t="shared" si="439"/>
        <v>-0.6333333333333333</v>
      </c>
      <c r="L414" s="42">
        <f t="shared" si="440"/>
        <v>-0.76666666666666672</v>
      </c>
      <c r="M414" s="42">
        <f t="shared" si="441"/>
        <v>-0.96666666666666667</v>
      </c>
      <c r="O414" s="43" t="str">
        <f t="shared" si="431"/>
        <v/>
      </c>
    </row>
    <row r="415" spans="1:15" ht="19.2" thickBot="1" x14ac:dyDescent="0.5">
      <c r="F415" s="42"/>
      <c r="G415" s="42"/>
      <c r="H415" s="42"/>
      <c r="I415" s="42"/>
      <c r="J415" s="42"/>
      <c r="K415" s="42"/>
      <c r="L415" s="42"/>
      <c r="M415" s="42"/>
    </row>
    <row r="416" spans="1:15" ht="19.2" thickBot="1" x14ac:dyDescent="0.5">
      <c r="C416" s="44"/>
      <c r="E416" s="34">
        <f>E397</f>
        <v>0</v>
      </c>
      <c r="F416" s="45">
        <v>1</v>
      </c>
      <c r="G416" s="46">
        <v>7</v>
      </c>
      <c r="H416" s="46">
        <v>11</v>
      </c>
      <c r="I416" s="46">
        <v>13</v>
      </c>
      <c r="J416" s="46">
        <v>17</v>
      </c>
      <c r="K416" s="46">
        <v>19</v>
      </c>
      <c r="L416" s="46">
        <v>23</v>
      </c>
      <c r="M416" s="47">
        <v>29</v>
      </c>
      <c r="O416" s="27" t="s">
        <v>2</v>
      </c>
    </row>
    <row r="417" spans="1:15" x14ac:dyDescent="0.45">
      <c r="A417" s="29">
        <f>A407+1</f>
        <v>41</v>
      </c>
      <c r="D417" s="27">
        <f>C407</f>
        <v>0</v>
      </c>
      <c r="E417" s="28">
        <f>D417*$E$6</f>
        <v>0</v>
      </c>
      <c r="F417" s="42">
        <f>(E417-1)/30</f>
        <v>-3.3333333333333333E-2</v>
      </c>
      <c r="G417" s="42">
        <f>($E417-7)/30</f>
        <v>-0.23333333333333334</v>
      </c>
      <c r="H417" s="42">
        <f>($E417-11)/30</f>
        <v>-0.36666666666666664</v>
      </c>
      <c r="I417" s="42">
        <f>($E417-13)/30</f>
        <v>-0.43333333333333335</v>
      </c>
      <c r="J417" s="42">
        <f>($E417-17)/30</f>
        <v>-0.56666666666666665</v>
      </c>
      <c r="K417" s="42">
        <f>($E417-19)/30</f>
        <v>-0.6333333333333333</v>
      </c>
      <c r="L417" s="42">
        <f>($E417-23)/30</f>
        <v>-0.76666666666666672</v>
      </c>
      <c r="M417" s="42">
        <f>($E417-29)/30</f>
        <v>-0.96666666666666667</v>
      </c>
      <c r="O417" s="43" t="str">
        <f t="shared" ref="O417:O424" si="442">FactorNumber(E417)</f>
        <v/>
      </c>
    </row>
    <row r="418" spans="1:15" x14ac:dyDescent="0.45">
      <c r="D418" s="27">
        <f t="shared" ref="D418:D424" si="443">C408</f>
        <v>0</v>
      </c>
      <c r="E418" s="28">
        <f t="shared" ref="E418:E424" si="444">D418*$E$6</f>
        <v>0</v>
      </c>
      <c r="F418" s="42">
        <f t="shared" ref="F418:F424" si="445">(E418-1)/30</f>
        <v>-3.3333333333333333E-2</v>
      </c>
      <c r="G418" s="42">
        <f t="shared" ref="G418:G424" si="446">($E418-7)/30</f>
        <v>-0.23333333333333334</v>
      </c>
      <c r="H418" s="42">
        <f t="shared" ref="H418:H424" si="447">($E418-11)/30</f>
        <v>-0.36666666666666664</v>
      </c>
      <c r="I418" s="42">
        <f t="shared" ref="I418:I424" si="448">($E418-13)/30</f>
        <v>-0.43333333333333335</v>
      </c>
      <c r="J418" s="42">
        <f t="shared" ref="J418:J424" si="449">($E418-17)/30</f>
        <v>-0.56666666666666665</v>
      </c>
      <c r="K418" s="42">
        <f t="shared" ref="K418:K424" si="450">($E418-19)/30</f>
        <v>-0.6333333333333333</v>
      </c>
      <c r="L418" s="42">
        <f t="shared" ref="L418:L424" si="451">($E418-23)/30</f>
        <v>-0.76666666666666672</v>
      </c>
      <c r="M418" s="42">
        <f t="shared" ref="M418:M424" si="452">($E418-29)/30</f>
        <v>-0.96666666666666667</v>
      </c>
      <c r="O418" s="43" t="str">
        <f t="shared" si="442"/>
        <v/>
      </c>
    </row>
    <row r="419" spans="1:15" x14ac:dyDescent="0.45">
      <c r="D419" s="27">
        <f t="shared" si="443"/>
        <v>0</v>
      </c>
      <c r="E419" s="28">
        <f t="shared" si="444"/>
        <v>0</v>
      </c>
      <c r="F419" s="42">
        <f t="shared" si="445"/>
        <v>-3.3333333333333333E-2</v>
      </c>
      <c r="G419" s="42">
        <f t="shared" si="446"/>
        <v>-0.23333333333333334</v>
      </c>
      <c r="H419" s="42">
        <f t="shared" si="447"/>
        <v>-0.36666666666666664</v>
      </c>
      <c r="I419" s="42">
        <f t="shared" si="448"/>
        <v>-0.43333333333333335</v>
      </c>
      <c r="J419" s="42">
        <f t="shared" si="449"/>
        <v>-0.56666666666666665</v>
      </c>
      <c r="K419" s="42">
        <f t="shared" si="450"/>
        <v>-0.6333333333333333</v>
      </c>
      <c r="L419" s="42">
        <f t="shared" si="451"/>
        <v>-0.76666666666666672</v>
      </c>
      <c r="M419" s="42">
        <f t="shared" si="452"/>
        <v>-0.96666666666666667</v>
      </c>
      <c r="O419" s="43" t="str">
        <f t="shared" si="442"/>
        <v/>
      </c>
    </row>
    <row r="420" spans="1:15" x14ac:dyDescent="0.45">
      <c r="D420" s="27">
        <f t="shared" si="443"/>
        <v>0</v>
      </c>
      <c r="E420" s="28">
        <f t="shared" si="444"/>
        <v>0</v>
      </c>
      <c r="F420" s="42">
        <f t="shared" si="445"/>
        <v>-3.3333333333333333E-2</v>
      </c>
      <c r="G420" s="42">
        <f t="shared" si="446"/>
        <v>-0.23333333333333334</v>
      </c>
      <c r="H420" s="42">
        <f t="shared" si="447"/>
        <v>-0.36666666666666664</v>
      </c>
      <c r="I420" s="42">
        <f t="shared" si="448"/>
        <v>-0.43333333333333335</v>
      </c>
      <c r="J420" s="42">
        <f t="shared" si="449"/>
        <v>-0.56666666666666665</v>
      </c>
      <c r="K420" s="42">
        <f t="shared" si="450"/>
        <v>-0.6333333333333333</v>
      </c>
      <c r="L420" s="42">
        <f t="shared" si="451"/>
        <v>-0.76666666666666672</v>
      </c>
      <c r="M420" s="42">
        <f t="shared" si="452"/>
        <v>-0.96666666666666667</v>
      </c>
      <c r="O420" s="43" t="str">
        <f t="shared" si="442"/>
        <v/>
      </c>
    </row>
    <row r="421" spans="1:15" x14ac:dyDescent="0.45">
      <c r="D421" s="27">
        <f t="shared" si="443"/>
        <v>0</v>
      </c>
      <c r="E421" s="28">
        <f t="shared" si="444"/>
        <v>0</v>
      </c>
      <c r="F421" s="42">
        <f t="shared" si="445"/>
        <v>-3.3333333333333333E-2</v>
      </c>
      <c r="G421" s="42">
        <f t="shared" si="446"/>
        <v>-0.23333333333333334</v>
      </c>
      <c r="H421" s="42">
        <f t="shared" si="447"/>
        <v>-0.36666666666666664</v>
      </c>
      <c r="I421" s="42">
        <f t="shared" si="448"/>
        <v>-0.43333333333333335</v>
      </c>
      <c r="J421" s="42">
        <f t="shared" si="449"/>
        <v>-0.56666666666666665</v>
      </c>
      <c r="K421" s="42">
        <f t="shared" si="450"/>
        <v>-0.6333333333333333</v>
      </c>
      <c r="L421" s="42">
        <f t="shared" si="451"/>
        <v>-0.76666666666666672</v>
      </c>
      <c r="M421" s="42">
        <f t="shared" si="452"/>
        <v>-0.96666666666666667</v>
      </c>
      <c r="O421" s="43" t="str">
        <f t="shared" si="442"/>
        <v/>
      </c>
    </row>
    <row r="422" spans="1:15" x14ac:dyDescent="0.45">
      <c r="D422" s="27">
        <f t="shared" si="443"/>
        <v>0</v>
      </c>
      <c r="E422" s="28">
        <f t="shared" si="444"/>
        <v>0</v>
      </c>
      <c r="F422" s="42">
        <f t="shared" si="445"/>
        <v>-3.3333333333333333E-2</v>
      </c>
      <c r="G422" s="42">
        <f t="shared" si="446"/>
        <v>-0.23333333333333334</v>
      </c>
      <c r="H422" s="42">
        <f t="shared" si="447"/>
        <v>-0.36666666666666664</v>
      </c>
      <c r="I422" s="42">
        <f t="shared" si="448"/>
        <v>-0.43333333333333335</v>
      </c>
      <c r="J422" s="42">
        <f t="shared" si="449"/>
        <v>-0.56666666666666665</v>
      </c>
      <c r="K422" s="42">
        <f t="shared" si="450"/>
        <v>-0.6333333333333333</v>
      </c>
      <c r="L422" s="42">
        <f t="shared" si="451"/>
        <v>-0.76666666666666672</v>
      </c>
      <c r="M422" s="42">
        <f t="shared" si="452"/>
        <v>-0.96666666666666667</v>
      </c>
      <c r="O422" s="43" t="str">
        <f t="shared" si="442"/>
        <v/>
      </c>
    </row>
    <row r="423" spans="1:15" x14ac:dyDescent="0.45">
      <c r="D423" s="27">
        <f t="shared" si="443"/>
        <v>0</v>
      </c>
      <c r="E423" s="28">
        <f t="shared" si="444"/>
        <v>0</v>
      </c>
      <c r="F423" s="42">
        <f t="shared" si="445"/>
        <v>-3.3333333333333333E-2</v>
      </c>
      <c r="G423" s="42">
        <f t="shared" si="446"/>
        <v>-0.23333333333333334</v>
      </c>
      <c r="H423" s="42">
        <f t="shared" si="447"/>
        <v>-0.36666666666666664</v>
      </c>
      <c r="I423" s="42">
        <f t="shared" si="448"/>
        <v>-0.43333333333333335</v>
      </c>
      <c r="J423" s="42">
        <f t="shared" si="449"/>
        <v>-0.56666666666666665</v>
      </c>
      <c r="K423" s="42">
        <f t="shared" si="450"/>
        <v>-0.6333333333333333</v>
      </c>
      <c r="L423" s="42">
        <f t="shared" si="451"/>
        <v>-0.76666666666666672</v>
      </c>
      <c r="M423" s="42">
        <f t="shared" si="452"/>
        <v>-0.96666666666666667</v>
      </c>
      <c r="O423" s="43" t="str">
        <f t="shared" si="442"/>
        <v/>
      </c>
    </row>
    <row r="424" spans="1:15" x14ac:dyDescent="0.45">
      <c r="D424" s="27">
        <f t="shared" si="443"/>
        <v>0</v>
      </c>
      <c r="E424" s="28">
        <f t="shared" si="444"/>
        <v>0</v>
      </c>
      <c r="F424" s="42">
        <f t="shared" si="445"/>
        <v>-3.3333333333333333E-2</v>
      </c>
      <c r="G424" s="42">
        <f t="shared" si="446"/>
        <v>-0.23333333333333334</v>
      </c>
      <c r="H424" s="42">
        <f t="shared" si="447"/>
        <v>-0.36666666666666664</v>
      </c>
      <c r="I424" s="42">
        <f t="shared" si="448"/>
        <v>-0.43333333333333335</v>
      </c>
      <c r="J424" s="42">
        <f t="shared" si="449"/>
        <v>-0.56666666666666665</v>
      </c>
      <c r="K424" s="42">
        <f t="shared" si="450"/>
        <v>-0.6333333333333333</v>
      </c>
      <c r="L424" s="42">
        <f t="shared" si="451"/>
        <v>-0.76666666666666672</v>
      </c>
      <c r="M424" s="42">
        <f t="shared" si="452"/>
        <v>-0.96666666666666667</v>
      </c>
      <c r="O424" s="43" t="str">
        <f t="shared" si="442"/>
        <v/>
      </c>
    </row>
    <row r="425" spans="1:15" ht="19.2" thickBot="1" x14ac:dyDescent="0.5">
      <c r="F425" s="42"/>
      <c r="G425" s="42"/>
      <c r="H425" s="42"/>
      <c r="I425" s="42"/>
      <c r="J425" s="42"/>
      <c r="K425" s="42"/>
      <c r="L425" s="42"/>
      <c r="M425" s="42"/>
    </row>
    <row r="426" spans="1:15" ht="19.2" thickBot="1" x14ac:dyDescent="0.5">
      <c r="C426" s="44"/>
      <c r="E426" s="34">
        <f>E407</f>
        <v>0</v>
      </c>
      <c r="F426" s="45">
        <v>1</v>
      </c>
      <c r="G426" s="46">
        <v>7</v>
      </c>
      <c r="H426" s="46">
        <v>11</v>
      </c>
      <c r="I426" s="46">
        <v>13</v>
      </c>
      <c r="J426" s="46">
        <v>17</v>
      </c>
      <c r="K426" s="46">
        <v>19</v>
      </c>
      <c r="L426" s="46">
        <v>23</v>
      </c>
      <c r="M426" s="47">
        <v>29</v>
      </c>
      <c r="O426" s="27" t="s">
        <v>2</v>
      </c>
    </row>
    <row r="427" spans="1:15" x14ac:dyDescent="0.45">
      <c r="A427" s="29">
        <f>A417+1</f>
        <v>42</v>
      </c>
      <c r="D427" s="27">
        <f>C417</f>
        <v>0</v>
      </c>
      <c r="E427" s="28">
        <f>D427*$E$6</f>
        <v>0</v>
      </c>
      <c r="F427" s="42">
        <f>(E427-1)/30</f>
        <v>-3.3333333333333333E-2</v>
      </c>
      <c r="G427" s="42">
        <f>($E427-7)/30</f>
        <v>-0.23333333333333334</v>
      </c>
      <c r="H427" s="42">
        <f>($E427-11)/30</f>
        <v>-0.36666666666666664</v>
      </c>
      <c r="I427" s="42">
        <f>($E427-13)/30</f>
        <v>-0.43333333333333335</v>
      </c>
      <c r="J427" s="42">
        <f>($E427-17)/30</f>
        <v>-0.56666666666666665</v>
      </c>
      <c r="K427" s="42">
        <f>($E427-19)/30</f>
        <v>-0.6333333333333333</v>
      </c>
      <c r="L427" s="42">
        <f>($E427-23)/30</f>
        <v>-0.76666666666666672</v>
      </c>
      <c r="M427" s="42">
        <f>($E427-29)/30</f>
        <v>-0.96666666666666667</v>
      </c>
      <c r="O427" s="43" t="str">
        <f t="shared" ref="O427:O434" si="453">FactorNumber(E427)</f>
        <v/>
      </c>
    </row>
    <row r="428" spans="1:15" x14ac:dyDescent="0.45">
      <c r="D428" s="27">
        <f t="shared" ref="D428:D434" si="454">C418</f>
        <v>0</v>
      </c>
      <c r="E428" s="28">
        <f t="shared" ref="E428:E434" si="455">D428*$E$6</f>
        <v>0</v>
      </c>
      <c r="F428" s="42">
        <f t="shared" ref="F428:F434" si="456">(E428-1)/30</f>
        <v>-3.3333333333333333E-2</v>
      </c>
      <c r="G428" s="42">
        <f t="shared" ref="G428:G434" si="457">($E428-7)/30</f>
        <v>-0.23333333333333334</v>
      </c>
      <c r="H428" s="42">
        <f t="shared" ref="H428:H434" si="458">($E428-11)/30</f>
        <v>-0.36666666666666664</v>
      </c>
      <c r="I428" s="42">
        <f t="shared" ref="I428:I434" si="459">($E428-13)/30</f>
        <v>-0.43333333333333335</v>
      </c>
      <c r="J428" s="42">
        <f t="shared" ref="J428:J434" si="460">($E428-17)/30</f>
        <v>-0.56666666666666665</v>
      </c>
      <c r="K428" s="42">
        <f t="shared" ref="K428:K434" si="461">($E428-19)/30</f>
        <v>-0.6333333333333333</v>
      </c>
      <c r="L428" s="42">
        <f t="shared" ref="L428:L434" si="462">($E428-23)/30</f>
        <v>-0.76666666666666672</v>
      </c>
      <c r="M428" s="42">
        <f t="shared" ref="M428:M434" si="463">($E428-29)/30</f>
        <v>-0.96666666666666667</v>
      </c>
      <c r="O428" s="43" t="str">
        <f t="shared" si="453"/>
        <v/>
      </c>
    </row>
    <row r="429" spans="1:15" x14ac:dyDescent="0.45">
      <c r="D429" s="27">
        <f t="shared" si="454"/>
        <v>0</v>
      </c>
      <c r="E429" s="28">
        <f t="shared" si="455"/>
        <v>0</v>
      </c>
      <c r="F429" s="42">
        <f t="shared" si="456"/>
        <v>-3.3333333333333333E-2</v>
      </c>
      <c r="G429" s="42">
        <f t="shared" si="457"/>
        <v>-0.23333333333333334</v>
      </c>
      <c r="H429" s="42">
        <f t="shared" si="458"/>
        <v>-0.36666666666666664</v>
      </c>
      <c r="I429" s="42">
        <f t="shared" si="459"/>
        <v>-0.43333333333333335</v>
      </c>
      <c r="J429" s="42">
        <f t="shared" si="460"/>
        <v>-0.56666666666666665</v>
      </c>
      <c r="K429" s="42">
        <f t="shared" si="461"/>
        <v>-0.6333333333333333</v>
      </c>
      <c r="L429" s="42">
        <f t="shared" si="462"/>
        <v>-0.76666666666666672</v>
      </c>
      <c r="M429" s="42">
        <f t="shared" si="463"/>
        <v>-0.96666666666666667</v>
      </c>
      <c r="O429" s="43" t="str">
        <f t="shared" si="453"/>
        <v/>
      </c>
    </row>
    <row r="430" spans="1:15" x14ac:dyDescent="0.45">
      <c r="D430" s="27">
        <f t="shared" si="454"/>
        <v>0</v>
      </c>
      <c r="E430" s="28">
        <f t="shared" si="455"/>
        <v>0</v>
      </c>
      <c r="F430" s="42">
        <f t="shared" si="456"/>
        <v>-3.3333333333333333E-2</v>
      </c>
      <c r="G430" s="42">
        <f t="shared" si="457"/>
        <v>-0.23333333333333334</v>
      </c>
      <c r="H430" s="42">
        <f t="shared" si="458"/>
        <v>-0.36666666666666664</v>
      </c>
      <c r="I430" s="42">
        <f t="shared" si="459"/>
        <v>-0.43333333333333335</v>
      </c>
      <c r="J430" s="42">
        <f t="shared" si="460"/>
        <v>-0.56666666666666665</v>
      </c>
      <c r="K430" s="42">
        <f t="shared" si="461"/>
        <v>-0.6333333333333333</v>
      </c>
      <c r="L430" s="42">
        <f t="shared" si="462"/>
        <v>-0.76666666666666672</v>
      </c>
      <c r="M430" s="42">
        <f t="shared" si="463"/>
        <v>-0.96666666666666667</v>
      </c>
      <c r="O430" s="43" t="str">
        <f t="shared" si="453"/>
        <v/>
      </c>
    </row>
    <row r="431" spans="1:15" x14ac:dyDescent="0.45">
      <c r="D431" s="27">
        <f t="shared" si="454"/>
        <v>0</v>
      </c>
      <c r="E431" s="28">
        <f t="shared" si="455"/>
        <v>0</v>
      </c>
      <c r="F431" s="42">
        <f t="shared" si="456"/>
        <v>-3.3333333333333333E-2</v>
      </c>
      <c r="G431" s="42">
        <f t="shared" si="457"/>
        <v>-0.23333333333333334</v>
      </c>
      <c r="H431" s="42">
        <f t="shared" si="458"/>
        <v>-0.36666666666666664</v>
      </c>
      <c r="I431" s="42">
        <f t="shared" si="459"/>
        <v>-0.43333333333333335</v>
      </c>
      <c r="J431" s="42">
        <f t="shared" si="460"/>
        <v>-0.56666666666666665</v>
      </c>
      <c r="K431" s="42">
        <f t="shared" si="461"/>
        <v>-0.6333333333333333</v>
      </c>
      <c r="L431" s="42">
        <f t="shared" si="462"/>
        <v>-0.76666666666666672</v>
      </c>
      <c r="M431" s="42">
        <f t="shared" si="463"/>
        <v>-0.96666666666666667</v>
      </c>
      <c r="O431" s="43" t="str">
        <f t="shared" si="453"/>
        <v/>
      </c>
    </row>
    <row r="432" spans="1:15" x14ac:dyDescent="0.45">
      <c r="D432" s="27">
        <f t="shared" si="454"/>
        <v>0</v>
      </c>
      <c r="E432" s="28">
        <f t="shared" si="455"/>
        <v>0</v>
      </c>
      <c r="F432" s="42">
        <f t="shared" si="456"/>
        <v>-3.3333333333333333E-2</v>
      </c>
      <c r="G432" s="42">
        <f t="shared" si="457"/>
        <v>-0.23333333333333334</v>
      </c>
      <c r="H432" s="42">
        <f t="shared" si="458"/>
        <v>-0.36666666666666664</v>
      </c>
      <c r="I432" s="42">
        <f t="shared" si="459"/>
        <v>-0.43333333333333335</v>
      </c>
      <c r="J432" s="42">
        <f t="shared" si="460"/>
        <v>-0.56666666666666665</v>
      </c>
      <c r="K432" s="42">
        <f t="shared" si="461"/>
        <v>-0.6333333333333333</v>
      </c>
      <c r="L432" s="42">
        <f t="shared" si="462"/>
        <v>-0.76666666666666672</v>
      </c>
      <c r="M432" s="42">
        <f t="shared" si="463"/>
        <v>-0.96666666666666667</v>
      </c>
      <c r="O432" s="43" t="str">
        <f t="shared" si="453"/>
        <v/>
      </c>
    </row>
    <row r="433" spans="1:15" x14ac:dyDescent="0.45">
      <c r="D433" s="27">
        <f t="shared" si="454"/>
        <v>0</v>
      </c>
      <c r="E433" s="28">
        <f t="shared" si="455"/>
        <v>0</v>
      </c>
      <c r="F433" s="42">
        <f t="shared" si="456"/>
        <v>-3.3333333333333333E-2</v>
      </c>
      <c r="G433" s="42">
        <f t="shared" si="457"/>
        <v>-0.23333333333333334</v>
      </c>
      <c r="H433" s="42">
        <f t="shared" si="458"/>
        <v>-0.36666666666666664</v>
      </c>
      <c r="I433" s="42">
        <f t="shared" si="459"/>
        <v>-0.43333333333333335</v>
      </c>
      <c r="J433" s="42">
        <f t="shared" si="460"/>
        <v>-0.56666666666666665</v>
      </c>
      <c r="K433" s="42">
        <f t="shared" si="461"/>
        <v>-0.6333333333333333</v>
      </c>
      <c r="L433" s="42">
        <f t="shared" si="462"/>
        <v>-0.76666666666666672</v>
      </c>
      <c r="M433" s="42">
        <f t="shared" si="463"/>
        <v>-0.96666666666666667</v>
      </c>
      <c r="O433" s="43" t="str">
        <f t="shared" si="453"/>
        <v/>
      </c>
    </row>
    <row r="434" spans="1:15" x14ac:dyDescent="0.45">
      <c r="D434" s="27">
        <f t="shared" si="454"/>
        <v>0</v>
      </c>
      <c r="E434" s="28">
        <f t="shared" si="455"/>
        <v>0</v>
      </c>
      <c r="F434" s="42">
        <f t="shared" si="456"/>
        <v>-3.3333333333333333E-2</v>
      </c>
      <c r="G434" s="42">
        <f t="shared" si="457"/>
        <v>-0.23333333333333334</v>
      </c>
      <c r="H434" s="42">
        <f t="shared" si="458"/>
        <v>-0.36666666666666664</v>
      </c>
      <c r="I434" s="42">
        <f t="shared" si="459"/>
        <v>-0.43333333333333335</v>
      </c>
      <c r="J434" s="42">
        <f t="shared" si="460"/>
        <v>-0.56666666666666665</v>
      </c>
      <c r="K434" s="42">
        <f t="shared" si="461"/>
        <v>-0.6333333333333333</v>
      </c>
      <c r="L434" s="42">
        <f t="shared" si="462"/>
        <v>-0.76666666666666672</v>
      </c>
      <c r="M434" s="42">
        <f t="shared" si="463"/>
        <v>-0.96666666666666667</v>
      </c>
      <c r="O434" s="43" t="str">
        <f t="shared" si="453"/>
        <v/>
      </c>
    </row>
    <row r="435" spans="1:15" ht="19.2" thickBot="1" x14ac:dyDescent="0.5">
      <c r="F435" s="42"/>
      <c r="G435" s="42"/>
      <c r="H435" s="42"/>
      <c r="I435" s="42"/>
      <c r="J435" s="42"/>
      <c r="K435" s="42"/>
      <c r="L435" s="42"/>
      <c r="M435" s="42"/>
    </row>
    <row r="436" spans="1:15" ht="19.2" thickBot="1" x14ac:dyDescent="0.5">
      <c r="C436" s="44"/>
      <c r="E436" s="34">
        <f>E417</f>
        <v>0</v>
      </c>
      <c r="F436" s="45">
        <v>1</v>
      </c>
      <c r="G436" s="46">
        <v>7</v>
      </c>
      <c r="H436" s="46">
        <v>11</v>
      </c>
      <c r="I436" s="46">
        <v>13</v>
      </c>
      <c r="J436" s="46">
        <v>17</v>
      </c>
      <c r="K436" s="46">
        <v>19</v>
      </c>
      <c r="L436" s="46">
        <v>23</v>
      </c>
      <c r="M436" s="47">
        <v>29</v>
      </c>
      <c r="O436" s="27" t="s">
        <v>2</v>
      </c>
    </row>
    <row r="437" spans="1:15" x14ac:dyDescent="0.45">
      <c r="A437" s="29">
        <f>A427+1</f>
        <v>43</v>
      </c>
      <c r="D437" s="27">
        <f>C427</f>
        <v>0</v>
      </c>
      <c r="E437" s="28">
        <f>D437*$E$6</f>
        <v>0</v>
      </c>
      <c r="F437" s="42">
        <f>(E437-1)/30</f>
        <v>-3.3333333333333333E-2</v>
      </c>
      <c r="G437" s="42">
        <f>($E437-7)/30</f>
        <v>-0.23333333333333334</v>
      </c>
      <c r="H437" s="42">
        <f>($E437-11)/30</f>
        <v>-0.36666666666666664</v>
      </c>
      <c r="I437" s="42">
        <f>($E437-13)/30</f>
        <v>-0.43333333333333335</v>
      </c>
      <c r="J437" s="42">
        <f>($E437-17)/30</f>
        <v>-0.56666666666666665</v>
      </c>
      <c r="K437" s="42">
        <f>($E437-19)/30</f>
        <v>-0.6333333333333333</v>
      </c>
      <c r="L437" s="42">
        <f>($E437-23)/30</f>
        <v>-0.76666666666666672</v>
      </c>
      <c r="M437" s="42">
        <f>($E437-29)/30</f>
        <v>-0.96666666666666667</v>
      </c>
      <c r="O437" s="43" t="str">
        <f t="shared" ref="O437:O444" si="464">FactorNumber(E437)</f>
        <v/>
      </c>
    </row>
    <row r="438" spans="1:15" x14ac:dyDescent="0.45">
      <c r="D438" s="27">
        <f t="shared" ref="D438:D444" si="465">C428</f>
        <v>0</v>
      </c>
      <c r="E438" s="28">
        <f t="shared" ref="E438:E444" si="466">D438*$E$6</f>
        <v>0</v>
      </c>
      <c r="F438" s="42">
        <f t="shared" ref="F438:F444" si="467">(E438-1)/30</f>
        <v>-3.3333333333333333E-2</v>
      </c>
      <c r="G438" s="42">
        <f t="shared" ref="G438:G444" si="468">($E438-7)/30</f>
        <v>-0.23333333333333334</v>
      </c>
      <c r="H438" s="42">
        <f t="shared" ref="H438:H444" si="469">($E438-11)/30</f>
        <v>-0.36666666666666664</v>
      </c>
      <c r="I438" s="42">
        <f t="shared" ref="I438:I444" si="470">($E438-13)/30</f>
        <v>-0.43333333333333335</v>
      </c>
      <c r="J438" s="42">
        <f t="shared" ref="J438:J444" si="471">($E438-17)/30</f>
        <v>-0.56666666666666665</v>
      </c>
      <c r="K438" s="42">
        <f t="shared" ref="K438:K444" si="472">($E438-19)/30</f>
        <v>-0.6333333333333333</v>
      </c>
      <c r="L438" s="42">
        <f t="shared" ref="L438:L444" si="473">($E438-23)/30</f>
        <v>-0.76666666666666672</v>
      </c>
      <c r="M438" s="42">
        <f t="shared" ref="M438:M444" si="474">($E438-29)/30</f>
        <v>-0.96666666666666667</v>
      </c>
      <c r="O438" s="43" t="str">
        <f t="shared" si="464"/>
        <v/>
      </c>
    </row>
    <row r="439" spans="1:15" x14ac:dyDescent="0.45">
      <c r="D439" s="27">
        <f t="shared" si="465"/>
        <v>0</v>
      </c>
      <c r="E439" s="28">
        <f t="shared" si="466"/>
        <v>0</v>
      </c>
      <c r="F439" s="42">
        <f t="shared" si="467"/>
        <v>-3.3333333333333333E-2</v>
      </c>
      <c r="G439" s="42">
        <f t="shared" si="468"/>
        <v>-0.23333333333333334</v>
      </c>
      <c r="H439" s="42">
        <f t="shared" si="469"/>
        <v>-0.36666666666666664</v>
      </c>
      <c r="I439" s="42">
        <f t="shared" si="470"/>
        <v>-0.43333333333333335</v>
      </c>
      <c r="J439" s="42">
        <f t="shared" si="471"/>
        <v>-0.56666666666666665</v>
      </c>
      <c r="K439" s="42">
        <f t="shared" si="472"/>
        <v>-0.6333333333333333</v>
      </c>
      <c r="L439" s="42">
        <f t="shared" si="473"/>
        <v>-0.76666666666666672</v>
      </c>
      <c r="M439" s="42">
        <f t="shared" si="474"/>
        <v>-0.96666666666666667</v>
      </c>
      <c r="O439" s="43" t="str">
        <f t="shared" si="464"/>
        <v/>
      </c>
    </row>
    <row r="440" spans="1:15" x14ac:dyDescent="0.45">
      <c r="D440" s="27">
        <f t="shared" si="465"/>
        <v>0</v>
      </c>
      <c r="E440" s="28">
        <f t="shared" si="466"/>
        <v>0</v>
      </c>
      <c r="F440" s="42">
        <f t="shared" si="467"/>
        <v>-3.3333333333333333E-2</v>
      </c>
      <c r="G440" s="42">
        <f t="shared" si="468"/>
        <v>-0.23333333333333334</v>
      </c>
      <c r="H440" s="42">
        <f t="shared" si="469"/>
        <v>-0.36666666666666664</v>
      </c>
      <c r="I440" s="42">
        <f t="shared" si="470"/>
        <v>-0.43333333333333335</v>
      </c>
      <c r="J440" s="42">
        <f t="shared" si="471"/>
        <v>-0.56666666666666665</v>
      </c>
      <c r="K440" s="42">
        <f t="shared" si="472"/>
        <v>-0.6333333333333333</v>
      </c>
      <c r="L440" s="42">
        <f t="shared" si="473"/>
        <v>-0.76666666666666672</v>
      </c>
      <c r="M440" s="42">
        <f t="shared" si="474"/>
        <v>-0.96666666666666667</v>
      </c>
      <c r="O440" s="43" t="str">
        <f t="shared" si="464"/>
        <v/>
      </c>
    </row>
    <row r="441" spans="1:15" x14ac:dyDescent="0.45">
      <c r="D441" s="27">
        <f t="shared" si="465"/>
        <v>0</v>
      </c>
      <c r="E441" s="28">
        <f t="shared" si="466"/>
        <v>0</v>
      </c>
      <c r="F441" s="42">
        <f t="shared" si="467"/>
        <v>-3.3333333333333333E-2</v>
      </c>
      <c r="G441" s="42">
        <f t="shared" si="468"/>
        <v>-0.23333333333333334</v>
      </c>
      <c r="H441" s="42">
        <f t="shared" si="469"/>
        <v>-0.36666666666666664</v>
      </c>
      <c r="I441" s="42">
        <f t="shared" si="470"/>
        <v>-0.43333333333333335</v>
      </c>
      <c r="J441" s="42">
        <f t="shared" si="471"/>
        <v>-0.56666666666666665</v>
      </c>
      <c r="K441" s="42">
        <f t="shared" si="472"/>
        <v>-0.6333333333333333</v>
      </c>
      <c r="L441" s="42">
        <f t="shared" si="473"/>
        <v>-0.76666666666666672</v>
      </c>
      <c r="M441" s="42">
        <f t="shared" si="474"/>
        <v>-0.96666666666666667</v>
      </c>
      <c r="O441" s="43" t="str">
        <f t="shared" si="464"/>
        <v/>
      </c>
    </row>
    <row r="442" spans="1:15" x14ac:dyDescent="0.45">
      <c r="D442" s="27">
        <f t="shared" si="465"/>
        <v>0</v>
      </c>
      <c r="E442" s="28">
        <f t="shared" si="466"/>
        <v>0</v>
      </c>
      <c r="F442" s="42">
        <f t="shared" si="467"/>
        <v>-3.3333333333333333E-2</v>
      </c>
      <c r="G442" s="42">
        <f t="shared" si="468"/>
        <v>-0.23333333333333334</v>
      </c>
      <c r="H442" s="42">
        <f t="shared" si="469"/>
        <v>-0.36666666666666664</v>
      </c>
      <c r="I442" s="42">
        <f t="shared" si="470"/>
        <v>-0.43333333333333335</v>
      </c>
      <c r="J442" s="42">
        <f t="shared" si="471"/>
        <v>-0.56666666666666665</v>
      </c>
      <c r="K442" s="42">
        <f t="shared" si="472"/>
        <v>-0.6333333333333333</v>
      </c>
      <c r="L442" s="42">
        <f t="shared" si="473"/>
        <v>-0.76666666666666672</v>
      </c>
      <c r="M442" s="42">
        <f t="shared" si="474"/>
        <v>-0.96666666666666667</v>
      </c>
      <c r="O442" s="43" t="str">
        <f t="shared" si="464"/>
        <v/>
      </c>
    </row>
    <row r="443" spans="1:15" x14ac:dyDescent="0.45">
      <c r="D443" s="27">
        <f t="shared" si="465"/>
        <v>0</v>
      </c>
      <c r="E443" s="28">
        <f t="shared" si="466"/>
        <v>0</v>
      </c>
      <c r="F443" s="42">
        <f t="shared" si="467"/>
        <v>-3.3333333333333333E-2</v>
      </c>
      <c r="G443" s="42">
        <f t="shared" si="468"/>
        <v>-0.23333333333333334</v>
      </c>
      <c r="H443" s="42">
        <f t="shared" si="469"/>
        <v>-0.36666666666666664</v>
      </c>
      <c r="I443" s="42">
        <f t="shared" si="470"/>
        <v>-0.43333333333333335</v>
      </c>
      <c r="J443" s="42">
        <f t="shared" si="471"/>
        <v>-0.56666666666666665</v>
      </c>
      <c r="K443" s="42">
        <f t="shared" si="472"/>
        <v>-0.6333333333333333</v>
      </c>
      <c r="L443" s="42">
        <f t="shared" si="473"/>
        <v>-0.76666666666666672</v>
      </c>
      <c r="M443" s="42">
        <f t="shared" si="474"/>
        <v>-0.96666666666666667</v>
      </c>
      <c r="O443" s="43" t="str">
        <f t="shared" si="464"/>
        <v/>
      </c>
    </row>
    <row r="444" spans="1:15" x14ac:dyDescent="0.45">
      <c r="D444" s="27">
        <f t="shared" si="465"/>
        <v>0</v>
      </c>
      <c r="E444" s="28">
        <f t="shared" si="466"/>
        <v>0</v>
      </c>
      <c r="F444" s="42">
        <f t="shared" si="467"/>
        <v>-3.3333333333333333E-2</v>
      </c>
      <c r="G444" s="42">
        <f t="shared" si="468"/>
        <v>-0.23333333333333334</v>
      </c>
      <c r="H444" s="42">
        <f t="shared" si="469"/>
        <v>-0.36666666666666664</v>
      </c>
      <c r="I444" s="42">
        <f t="shared" si="470"/>
        <v>-0.43333333333333335</v>
      </c>
      <c r="J444" s="42">
        <f t="shared" si="471"/>
        <v>-0.56666666666666665</v>
      </c>
      <c r="K444" s="42">
        <f t="shared" si="472"/>
        <v>-0.6333333333333333</v>
      </c>
      <c r="L444" s="42">
        <f t="shared" si="473"/>
        <v>-0.76666666666666672</v>
      </c>
      <c r="M444" s="42">
        <f t="shared" si="474"/>
        <v>-0.96666666666666667</v>
      </c>
      <c r="O444" s="43" t="str">
        <f t="shared" si="464"/>
        <v/>
      </c>
    </row>
    <row r="445" spans="1:15" ht="19.2" thickBot="1" x14ac:dyDescent="0.5">
      <c r="F445" s="42"/>
      <c r="G445" s="42"/>
      <c r="H445" s="42"/>
      <c r="I445" s="42"/>
      <c r="J445" s="42"/>
      <c r="K445" s="42"/>
      <c r="L445" s="42"/>
      <c r="M445" s="42"/>
    </row>
    <row r="446" spans="1:15" ht="19.2" thickBot="1" x14ac:dyDescent="0.5">
      <c r="C446" s="44"/>
      <c r="E446" s="34">
        <f>E427</f>
        <v>0</v>
      </c>
      <c r="F446" s="45">
        <v>1</v>
      </c>
      <c r="G446" s="46">
        <v>7</v>
      </c>
      <c r="H446" s="46">
        <v>11</v>
      </c>
      <c r="I446" s="46">
        <v>13</v>
      </c>
      <c r="J446" s="46">
        <v>17</v>
      </c>
      <c r="K446" s="46">
        <v>19</v>
      </c>
      <c r="L446" s="46">
        <v>23</v>
      </c>
      <c r="M446" s="47">
        <v>29</v>
      </c>
      <c r="O446" s="27" t="s">
        <v>2</v>
      </c>
    </row>
    <row r="447" spans="1:15" x14ac:dyDescent="0.45">
      <c r="A447" s="29">
        <f>A437+1</f>
        <v>44</v>
      </c>
      <c r="D447" s="27">
        <f>C437</f>
        <v>0</v>
      </c>
      <c r="E447" s="28">
        <f>D447*$E$6</f>
        <v>0</v>
      </c>
      <c r="F447" s="42">
        <f>(E447-1)/30</f>
        <v>-3.3333333333333333E-2</v>
      </c>
      <c r="G447" s="42">
        <f>($E447-7)/30</f>
        <v>-0.23333333333333334</v>
      </c>
      <c r="H447" s="42">
        <f>($E447-11)/30</f>
        <v>-0.36666666666666664</v>
      </c>
      <c r="I447" s="42">
        <f>($E447-13)/30</f>
        <v>-0.43333333333333335</v>
      </c>
      <c r="J447" s="42">
        <f>($E447-17)/30</f>
        <v>-0.56666666666666665</v>
      </c>
      <c r="K447" s="42">
        <f>($E447-19)/30</f>
        <v>-0.6333333333333333</v>
      </c>
      <c r="L447" s="42">
        <f>($E447-23)/30</f>
        <v>-0.76666666666666672</v>
      </c>
      <c r="M447" s="42">
        <f>($E447-29)/30</f>
        <v>-0.96666666666666667</v>
      </c>
      <c r="O447" s="43" t="str">
        <f t="shared" ref="O447:O454" si="475">FactorNumber(E447)</f>
        <v/>
      </c>
    </row>
    <row r="448" spans="1:15" x14ac:dyDescent="0.45">
      <c r="D448" s="27">
        <f t="shared" ref="D448:D454" si="476">C438</f>
        <v>0</v>
      </c>
      <c r="E448" s="28">
        <f t="shared" ref="E448:E454" si="477">D448*$E$6</f>
        <v>0</v>
      </c>
      <c r="F448" s="42">
        <f t="shared" ref="F448:F454" si="478">(E448-1)/30</f>
        <v>-3.3333333333333333E-2</v>
      </c>
      <c r="G448" s="42">
        <f t="shared" ref="G448:G454" si="479">($E448-7)/30</f>
        <v>-0.23333333333333334</v>
      </c>
      <c r="H448" s="42">
        <f t="shared" ref="H448:H454" si="480">($E448-11)/30</f>
        <v>-0.36666666666666664</v>
      </c>
      <c r="I448" s="42">
        <f t="shared" ref="I448:I454" si="481">($E448-13)/30</f>
        <v>-0.43333333333333335</v>
      </c>
      <c r="J448" s="42">
        <f t="shared" ref="J448:J454" si="482">($E448-17)/30</f>
        <v>-0.56666666666666665</v>
      </c>
      <c r="K448" s="42">
        <f t="shared" ref="K448:K454" si="483">($E448-19)/30</f>
        <v>-0.6333333333333333</v>
      </c>
      <c r="L448" s="42">
        <f t="shared" ref="L448:L454" si="484">($E448-23)/30</f>
        <v>-0.76666666666666672</v>
      </c>
      <c r="M448" s="42">
        <f t="shared" ref="M448:M454" si="485">($E448-29)/30</f>
        <v>-0.96666666666666667</v>
      </c>
      <c r="O448" s="43" t="str">
        <f t="shared" si="475"/>
        <v/>
      </c>
    </row>
    <row r="449" spans="1:15" x14ac:dyDescent="0.45">
      <c r="D449" s="27">
        <f t="shared" si="476"/>
        <v>0</v>
      </c>
      <c r="E449" s="28">
        <f t="shared" si="477"/>
        <v>0</v>
      </c>
      <c r="F449" s="42">
        <f t="shared" si="478"/>
        <v>-3.3333333333333333E-2</v>
      </c>
      <c r="G449" s="42">
        <f t="shared" si="479"/>
        <v>-0.23333333333333334</v>
      </c>
      <c r="H449" s="42">
        <f t="shared" si="480"/>
        <v>-0.36666666666666664</v>
      </c>
      <c r="I449" s="42">
        <f t="shared" si="481"/>
        <v>-0.43333333333333335</v>
      </c>
      <c r="J449" s="42">
        <f t="shared" si="482"/>
        <v>-0.56666666666666665</v>
      </c>
      <c r="K449" s="42">
        <f t="shared" si="483"/>
        <v>-0.6333333333333333</v>
      </c>
      <c r="L449" s="42">
        <f t="shared" si="484"/>
        <v>-0.76666666666666672</v>
      </c>
      <c r="M449" s="42">
        <f t="shared" si="485"/>
        <v>-0.96666666666666667</v>
      </c>
      <c r="O449" s="43" t="str">
        <f t="shared" si="475"/>
        <v/>
      </c>
    </row>
    <row r="450" spans="1:15" x14ac:dyDescent="0.45">
      <c r="D450" s="27">
        <f t="shared" si="476"/>
        <v>0</v>
      </c>
      <c r="E450" s="28">
        <f t="shared" si="477"/>
        <v>0</v>
      </c>
      <c r="F450" s="42">
        <f t="shared" si="478"/>
        <v>-3.3333333333333333E-2</v>
      </c>
      <c r="G450" s="42">
        <f t="shared" si="479"/>
        <v>-0.23333333333333334</v>
      </c>
      <c r="H450" s="42">
        <f t="shared" si="480"/>
        <v>-0.36666666666666664</v>
      </c>
      <c r="I450" s="42">
        <f t="shared" si="481"/>
        <v>-0.43333333333333335</v>
      </c>
      <c r="J450" s="42">
        <f t="shared" si="482"/>
        <v>-0.56666666666666665</v>
      </c>
      <c r="K450" s="42">
        <f t="shared" si="483"/>
        <v>-0.6333333333333333</v>
      </c>
      <c r="L450" s="42">
        <f t="shared" si="484"/>
        <v>-0.76666666666666672</v>
      </c>
      <c r="M450" s="42">
        <f t="shared" si="485"/>
        <v>-0.96666666666666667</v>
      </c>
      <c r="O450" s="43" t="str">
        <f t="shared" si="475"/>
        <v/>
      </c>
    </row>
    <row r="451" spans="1:15" x14ac:dyDescent="0.45">
      <c r="D451" s="27">
        <f t="shared" si="476"/>
        <v>0</v>
      </c>
      <c r="E451" s="28">
        <f t="shared" si="477"/>
        <v>0</v>
      </c>
      <c r="F451" s="42">
        <f t="shared" si="478"/>
        <v>-3.3333333333333333E-2</v>
      </c>
      <c r="G451" s="42">
        <f t="shared" si="479"/>
        <v>-0.23333333333333334</v>
      </c>
      <c r="H451" s="42">
        <f t="shared" si="480"/>
        <v>-0.36666666666666664</v>
      </c>
      <c r="I451" s="42">
        <f t="shared" si="481"/>
        <v>-0.43333333333333335</v>
      </c>
      <c r="J451" s="42">
        <f t="shared" si="482"/>
        <v>-0.56666666666666665</v>
      </c>
      <c r="K451" s="42">
        <f t="shared" si="483"/>
        <v>-0.6333333333333333</v>
      </c>
      <c r="L451" s="42">
        <f t="shared" si="484"/>
        <v>-0.76666666666666672</v>
      </c>
      <c r="M451" s="42">
        <f t="shared" si="485"/>
        <v>-0.96666666666666667</v>
      </c>
      <c r="O451" s="43" t="str">
        <f t="shared" si="475"/>
        <v/>
      </c>
    </row>
    <row r="452" spans="1:15" x14ac:dyDescent="0.45">
      <c r="D452" s="27">
        <f t="shared" si="476"/>
        <v>0</v>
      </c>
      <c r="E452" s="28">
        <f t="shared" si="477"/>
        <v>0</v>
      </c>
      <c r="F452" s="42">
        <f t="shared" si="478"/>
        <v>-3.3333333333333333E-2</v>
      </c>
      <c r="G452" s="42">
        <f t="shared" si="479"/>
        <v>-0.23333333333333334</v>
      </c>
      <c r="H452" s="42">
        <f t="shared" si="480"/>
        <v>-0.36666666666666664</v>
      </c>
      <c r="I452" s="42">
        <f t="shared" si="481"/>
        <v>-0.43333333333333335</v>
      </c>
      <c r="J452" s="42">
        <f t="shared" si="482"/>
        <v>-0.56666666666666665</v>
      </c>
      <c r="K452" s="42">
        <f t="shared" si="483"/>
        <v>-0.6333333333333333</v>
      </c>
      <c r="L452" s="42">
        <f t="shared" si="484"/>
        <v>-0.76666666666666672</v>
      </c>
      <c r="M452" s="42">
        <f t="shared" si="485"/>
        <v>-0.96666666666666667</v>
      </c>
      <c r="O452" s="43" t="str">
        <f t="shared" si="475"/>
        <v/>
      </c>
    </row>
    <row r="453" spans="1:15" x14ac:dyDescent="0.45">
      <c r="D453" s="27">
        <f t="shared" si="476"/>
        <v>0</v>
      </c>
      <c r="E453" s="28">
        <f t="shared" si="477"/>
        <v>0</v>
      </c>
      <c r="F453" s="42">
        <f t="shared" si="478"/>
        <v>-3.3333333333333333E-2</v>
      </c>
      <c r="G453" s="42">
        <f t="shared" si="479"/>
        <v>-0.23333333333333334</v>
      </c>
      <c r="H453" s="42">
        <f t="shared" si="480"/>
        <v>-0.36666666666666664</v>
      </c>
      <c r="I453" s="42">
        <f t="shared" si="481"/>
        <v>-0.43333333333333335</v>
      </c>
      <c r="J453" s="42">
        <f t="shared" si="482"/>
        <v>-0.56666666666666665</v>
      </c>
      <c r="K453" s="42">
        <f t="shared" si="483"/>
        <v>-0.6333333333333333</v>
      </c>
      <c r="L453" s="42">
        <f t="shared" si="484"/>
        <v>-0.76666666666666672</v>
      </c>
      <c r="M453" s="42">
        <f t="shared" si="485"/>
        <v>-0.96666666666666667</v>
      </c>
      <c r="O453" s="43" t="str">
        <f t="shared" si="475"/>
        <v/>
      </c>
    </row>
    <row r="454" spans="1:15" x14ac:dyDescent="0.45">
      <c r="D454" s="27">
        <f t="shared" si="476"/>
        <v>0</v>
      </c>
      <c r="E454" s="28">
        <f t="shared" si="477"/>
        <v>0</v>
      </c>
      <c r="F454" s="42">
        <f t="shared" si="478"/>
        <v>-3.3333333333333333E-2</v>
      </c>
      <c r="G454" s="42">
        <f t="shared" si="479"/>
        <v>-0.23333333333333334</v>
      </c>
      <c r="H454" s="42">
        <f t="shared" si="480"/>
        <v>-0.36666666666666664</v>
      </c>
      <c r="I454" s="42">
        <f t="shared" si="481"/>
        <v>-0.43333333333333335</v>
      </c>
      <c r="J454" s="42">
        <f t="shared" si="482"/>
        <v>-0.56666666666666665</v>
      </c>
      <c r="K454" s="42">
        <f t="shared" si="483"/>
        <v>-0.6333333333333333</v>
      </c>
      <c r="L454" s="42">
        <f t="shared" si="484"/>
        <v>-0.76666666666666672</v>
      </c>
      <c r="M454" s="42">
        <f t="shared" si="485"/>
        <v>-0.96666666666666667</v>
      </c>
      <c r="O454" s="43" t="str">
        <f t="shared" si="475"/>
        <v/>
      </c>
    </row>
    <row r="455" spans="1:15" ht="19.2" thickBot="1" x14ac:dyDescent="0.5">
      <c r="F455" s="42"/>
      <c r="G455" s="42"/>
      <c r="H455" s="42"/>
      <c r="I455" s="42"/>
      <c r="J455" s="42"/>
      <c r="K455" s="42"/>
      <c r="L455" s="42"/>
      <c r="M455" s="42"/>
    </row>
    <row r="456" spans="1:15" ht="19.2" thickBot="1" x14ac:dyDescent="0.5">
      <c r="C456" s="44"/>
      <c r="E456" s="34">
        <f>E437</f>
        <v>0</v>
      </c>
      <c r="F456" s="45">
        <v>1</v>
      </c>
      <c r="G456" s="46">
        <v>7</v>
      </c>
      <c r="H456" s="46">
        <v>11</v>
      </c>
      <c r="I456" s="46">
        <v>13</v>
      </c>
      <c r="J456" s="46">
        <v>17</v>
      </c>
      <c r="K456" s="46">
        <v>19</v>
      </c>
      <c r="L456" s="46">
        <v>23</v>
      </c>
      <c r="M456" s="47">
        <v>29</v>
      </c>
      <c r="O456" s="27" t="s">
        <v>2</v>
      </c>
    </row>
    <row r="457" spans="1:15" x14ac:dyDescent="0.45">
      <c r="A457" s="29">
        <f>A447+1</f>
        <v>45</v>
      </c>
      <c r="D457" s="27">
        <f>C447</f>
        <v>0</v>
      </c>
      <c r="E457" s="28">
        <f>D457*$E$6</f>
        <v>0</v>
      </c>
      <c r="F457" s="42">
        <f>(E457-1)/30</f>
        <v>-3.3333333333333333E-2</v>
      </c>
      <c r="G457" s="42">
        <f>($E457-7)/30</f>
        <v>-0.23333333333333334</v>
      </c>
      <c r="H457" s="42">
        <f>($E457-11)/30</f>
        <v>-0.36666666666666664</v>
      </c>
      <c r="I457" s="42">
        <f>($E457-13)/30</f>
        <v>-0.43333333333333335</v>
      </c>
      <c r="J457" s="42">
        <f>($E457-17)/30</f>
        <v>-0.56666666666666665</v>
      </c>
      <c r="K457" s="42">
        <f>($E457-19)/30</f>
        <v>-0.6333333333333333</v>
      </c>
      <c r="L457" s="42">
        <f>($E457-23)/30</f>
        <v>-0.76666666666666672</v>
      </c>
      <c r="M457" s="42">
        <f>($E457-29)/30</f>
        <v>-0.96666666666666667</v>
      </c>
      <c r="O457" s="43" t="str">
        <f t="shared" ref="O457:O464" si="486">FactorNumber(E457)</f>
        <v/>
      </c>
    </row>
    <row r="458" spans="1:15" x14ac:dyDescent="0.45">
      <c r="D458" s="27">
        <f t="shared" ref="D458:D464" si="487">C448</f>
        <v>0</v>
      </c>
      <c r="E458" s="28">
        <f t="shared" ref="E458:E464" si="488">D458*$E$6</f>
        <v>0</v>
      </c>
      <c r="F458" s="42">
        <f t="shared" ref="F458:F464" si="489">(E458-1)/30</f>
        <v>-3.3333333333333333E-2</v>
      </c>
      <c r="G458" s="42">
        <f t="shared" ref="G458:G464" si="490">($E458-7)/30</f>
        <v>-0.23333333333333334</v>
      </c>
      <c r="H458" s="42">
        <f t="shared" ref="H458:H464" si="491">($E458-11)/30</f>
        <v>-0.36666666666666664</v>
      </c>
      <c r="I458" s="42">
        <f t="shared" ref="I458:I464" si="492">($E458-13)/30</f>
        <v>-0.43333333333333335</v>
      </c>
      <c r="J458" s="42">
        <f t="shared" ref="J458:J464" si="493">($E458-17)/30</f>
        <v>-0.56666666666666665</v>
      </c>
      <c r="K458" s="42">
        <f t="shared" ref="K458:K464" si="494">($E458-19)/30</f>
        <v>-0.6333333333333333</v>
      </c>
      <c r="L458" s="42">
        <f t="shared" ref="L458:L464" si="495">($E458-23)/30</f>
        <v>-0.76666666666666672</v>
      </c>
      <c r="M458" s="42">
        <f t="shared" ref="M458:M464" si="496">($E458-29)/30</f>
        <v>-0.96666666666666667</v>
      </c>
      <c r="O458" s="43" t="str">
        <f t="shared" si="486"/>
        <v/>
      </c>
    </row>
    <row r="459" spans="1:15" x14ac:dyDescent="0.45">
      <c r="D459" s="27">
        <f t="shared" si="487"/>
        <v>0</v>
      </c>
      <c r="E459" s="28">
        <f t="shared" si="488"/>
        <v>0</v>
      </c>
      <c r="F459" s="42">
        <f t="shared" si="489"/>
        <v>-3.3333333333333333E-2</v>
      </c>
      <c r="G459" s="42">
        <f t="shared" si="490"/>
        <v>-0.23333333333333334</v>
      </c>
      <c r="H459" s="42">
        <f t="shared" si="491"/>
        <v>-0.36666666666666664</v>
      </c>
      <c r="I459" s="42">
        <f t="shared" si="492"/>
        <v>-0.43333333333333335</v>
      </c>
      <c r="J459" s="42">
        <f t="shared" si="493"/>
        <v>-0.56666666666666665</v>
      </c>
      <c r="K459" s="42">
        <f t="shared" si="494"/>
        <v>-0.6333333333333333</v>
      </c>
      <c r="L459" s="42">
        <f t="shared" si="495"/>
        <v>-0.76666666666666672</v>
      </c>
      <c r="M459" s="42">
        <f t="shared" si="496"/>
        <v>-0.96666666666666667</v>
      </c>
      <c r="O459" s="43" t="str">
        <f t="shared" si="486"/>
        <v/>
      </c>
    </row>
    <row r="460" spans="1:15" x14ac:dyDescent="0.45">
      <c r="D460" s="27">
        <f t="shared" si="487"/>
        <v>0</v>
      </c>
      <c r="E460" s="28">
        <f t="shared" si="488"/>
        <v>0</v>
      </c>
      <c r="F460" s="42">
        <f t="shared" si="489"/>
        <v>-3.3333333333333333E-2</v>
      </c>
      <c r="G460" s="42">
        <f t="shared" si="490"/>
        <v>-0.23333333333333334</v>
      </c>
      <c r="H460" s="42">
        <f t="shared" si="491"/>
        <v>-0.36666666666666664</v>
      </c>
      <c r="I460" s="42">
        <f t="shared" si="492"/>
        <v>-0.43333333333333335</v>
      </c>
      <c r="J460" s="42">
        <f t="shared" si="493"/>
        <v>-0.56666666666666665</v>
      </c>
      <c r="K460" s="42">
        <f t="shared" si="494"/>
        <v>-0.6333333333333333</v>
      </c>
      <c r="L460" s="42">
        <f t="shared" si="495"/>
        <v>-0.76666666666666672</v>
      </c>
      <c r="M460" s="42">
        <f t="shared" si="496"/>
        <v>-0.96666666666666667</v>
      </c>
      <c r="O460" s="43" t="str">
        <f t="shared" si="486"/>
        <v/>
      </c>
    </row>
    <row r="461" spans="1:15" x14ac:dyDescent="0.45">
      <c r="D461" s="27">
        <f t="shared" si="487"/>
        <v>0</v>
      </c>
      <c r="E461" s="28">
        <f t="shared" si="488"/>
        <v>0</v>
      </c>
      <c r="F461" s="42">
        <f t="shared" si="489"/>
        <v>-3.3333333333333333E-2</v>
      </c>
      <c r="G461" s="42">
        <f t="shared" si="490"/>
        <v>-0.23333333333333334</v>
      </c>
      <c r="H461" s="42">
        <f t="shared" si="491"/>
        <v>-0.36666666666666664</v>
      </c>
      <c r="I461" s="42">
        <f t="shared" si="492"/>
        <v>-0.43333333333333335</v>
      </c>
      <c r="J461" s="42">
        <f t="shared" si="493"/>
        <v>-0.56666666666666665</v>
      </c>
      <c r="K461" s="42">
        <f t="shared" si="494"/>
        <v>-0.6333333333333333</v>
      </c>
      <c r="L461" s="42">
        <f t="shared" si="495"/>
        <v>-0.76666666666666672</v>
      </c>
      <c r="M461" s="42">
        <f t="shared" si="496"/>
        <v>-0.96666666666666667</v>
      </c>
      <c r="O461" s="43" t="str">
        <f t="shared" si="486"/>
        <v/>
      </c>
    </row>
    <row r="462" spans="1:15" x14ac:dyDescent="0.45">
      <c r="D462" s="27">
        <f t="shared" si="487"/>
        <v>0</v>
      </c>
      <c r="E462" s="28">
        <f t="shared" si="488"/>
        <v>0</v>
      </c>
      <c r="F462" s="42">
        <f t="shared" si="489"/>
        <v>-3.3333333333333333E-2</v>
      </c>
      <c r="G462" s="42">
        <f t="shared" si="490"/>
        <v>-0.23333333333333334</v>
      </c>
      <c r="H462" s="42">
        <f t="shared" si="491"/>
        <v>-0.36666666666666664</v>
      </c>
      <c r="I462" s="42">
        <f t="shared" si="492"/>
        <v>-0.43333333333333335</v>
      </c>
      <c r="J462" s="42">
        <f t="shared" si="493"/>
        <v>-0.56666666666666665</v>
      </c>
      <c r="K462" s="42">
        <f t="shared" si="494"/>
        <v>-0.6333333333333333</v>
      </c>
      <c r="L462" s="42">
        <f t="shared" si="495"/>
        <v>-0.76666666666666672</v>
      </c>
      <c r="M462" s="42">
        <f t="shared" si="496"/>
        <v>-0.96666666666666667</v>
      </c>
      <c r="O462" s="43" t="str">
        <f t="shared" si="486"/>
        <v/>
      </c>
    </row>
    <row r="463" spans="1:15" x14ac:dyDescent="0.45">
      <c r="D463" s="27">
        <f t="shared" si="487"/>
        <v>0</v>
      </c>
      <c r="E463" s="28">
        <f t="shared" si="488"/>
        <v>0</v>
      </c>
      <c r="F463" s="42">
        <f t="shared" si="489"/>
        <v>-3.3333333333333333E-2</v>
      </c>
      <c r="G463" s="42">
        <f t="shared" si="490"/>
        <v>-0.23333333333333334</v>
      </c>
      <c r="H463" s="42">
        <f t="shared" si="491"/>
        <v>-0.36666666666666664</v>
      </c>
      <c r="I463" s="42">
        <f t="shared" si="492"/>
        <v>-0.43333333333333335</v>
      </c>
      <c r="J463" s="42">
        <f t="shared" si="493"/>
        <v>-0.56666666666666665</v>
      </c>
      <c r="K463" s="42">
        <f t="shared" si="494"/>
        <v>-0.6333333333333333</v>
      </c>
      <c r="L463" s="42">
        <f t="shared" si="495"/>
        <v>-0.76666666666666672</v>
      </c>
      <c r="M463" s="42">
        <f t="shared" si="496"/>
        <v>-0.96666666666666667</v>
      </c>
      <c r="O463" s="43" t="str">
        <f t="shared" si="486"/>
        <v/>
      </c>
    </row>
    <row r="464" spans="1:15" x14ac:dyDescent="0.45">
      <c r="D464" s="27">
        <f t="shared" si="487"/>
        <v>0</v>
      </c>
      <c r="E464" s="28">
        <f t="shared" si="488"/>
        <v>0</v>
      </c>
      <c r="F464" s="42">
        <f t="shared" si="489"/>
        <v>-3.3333333333333333E-2</v>
      </c>
      <c r="G464" s="42">
        <f t="shared" si="490"/>
        <v>-0.23333333333333334</v>
      </c>
      <c r="H464" s="42">
        <f t="shared" si="491"/>
        <v>-0.36666666666666664</v>
      </c>
      <c r="I464" s="42">
        <f t="shared" si="492"/>
        <v>-0.43333333333333335</v>
      </c>
      <c r="J464" s="42">
        <f t="shared" si="493"/>
        <v>-0.56666666666666665</v>
      </c>
      <c r="K464" s="42">
        <f t="shared" si="494"/>
        <v>-0.6333333333333333</v>
      </c>
      <c r="L464" s="42">
        <f t="shared" si="495"/>
        <v>-0.76666666666666672</v>
      </c>
      <c r="M464" s="42">
        <f t="shared" si="496"/>
        <v>-0.96666666666666667</v>
      </c>
      <c r="O464" s="43" t="str">
        <f t="shared" si="486"/>
        <v/>
      </c>
    </row>
    <row r="465" spans="1:15" ht="19.2" thickBot="1" x14ac:dyDescent="0.5">
      <c r="F465" s="42"/>
      <c r="G465" s="42"/>
      <c r="H465" s="42"/>
      <c r="I465" s="42"/>
      <c r="J465" s="42"/>
      <c r="K465" s="42"/>
      <c r="L465" s="42"/>
      <c r="M465" s="42"/>
    </row>
    <row r="466" spans="1:15" ht="19.2" thickBot="1" x14ac:dyDescent="0.5">
      <c r="C466" s="44"/>
      <c r="E466" s="34">
        <f>E447</f>
        <v>0</v>
      </c>
      <c r="F466" s="45">
        <v>1</v>
      </c>
      <c r="G466" s="46">
        <v>7</v>
      </c>
      <c r="H466" s="46">
        <v>11</v>
      </c>
      <c r="I466" s="46">
        <v>13</v>
      </c>
      <c r="J466" s="46">
        <v>17</v>
      </c>
      <c r="K466" s="46">
        <v>19</v>
      </c>
      <c r="L466" s="46">
        <v>23</v>
      </c>
      <c r="M466" s="47">
        <v>29</v>
      </c>
      <c r="O466" s="27" t="s">
        <v>2</v>
      </c>
    </row>
    <row r="467" spans="1:15" x14ac:dyDescent="0.45">
      <c r="A467" s="29">
        <f>A457+1</f>
        <v>46</v>
      </c>
      <c r="D467" s="27">
        <f>C457</f>
        <v>0</v>
      </c>
      <c r="E467" s="28">
        <f>D467*$E$6</f>
        <v>0</v>
      </c>
      <c r="F467" s="42">
        <f>(E467-1)/30</f>
        <v>-3.3333333333333333E-2</v>
      </c>
      <c r="G467" s="42">
        <f>($E467-7)/30</f>
        <v>-0.23333333333333334</v>
      </c>
      <c r="H467" s="42">
        <f>($E467-11)/30</f>
        <v>-0.36666666666666664</v>
      </c>
      <c r="I467" s="42">
        <f>($E467-13)/30</f>
        <v>-0.43333333333333335</v>
      </c>
      <c r="J467" s="42">
        <f>($E467-17)/30</f>
        <v>-0.56666666666666665</v>
      </c>
      <c r="K467" s="42">
        <f>($E467-19)/30</f>
        <v>-0.6333333333333333</v>
      </c>
      <c r="L467" s="42">
        <f>($E467-23)/30</f>
        <v>-0.76666666666666672</v>
      </c>
      <c r="M467" s="42">
        <f>($E467-29)/30</f>
        <v>-0.96666666666666667</v>
      </c>
      <c r="O467" s="43" t="str">
        <f t="shared" ref="O467:O474" si="497">FactorNumber(E467)</f>
        <v/>
      </c>
    </row>
    <row r="468" spans="1:15" x14ac:dyDescent="0.45">
      <c r="D468" s="27">
        <f t="shared" ref="D468:D474" si="498">C458</f>
        <v>0</v>
      </c>
      <c r="E468" s="28">
        <f t="shared" ref="E468:E474" si="499">D468*$E$6</f>
        <v>0</v>
      </c>
      <c r="F468" s="42">
        <f t="shared" ref="F468:F474" si="500">(E468-1)/30</f>
        <v>-3.3333333333333333E-2</v>
      </c>
      <c r="G468" s="42">
        <f t="shared" ref="G468:G474" si="501">($E468-7)/30</f>
        <v>-0.23333333333333334</v>
      </c>
      <c r="H468" s="42">
        <f t="shared" ref="H468:H474" si="502">($E468-11)/30</f>
        <v>-0.36666666666666664</v>
      </c>
      <c r="I468" s="42">
        <f t="shared" ref="I468:I474" si="503">($E468-13)/30</f>
        <v>-0.43333333333333335</v>
      </c>
      <c r="J468" s="42">
        <f t="shared" ref="J468:J474" si="504">($E468-17)/30</f>
        <v>-0.56666666666666665</v>
      </c>
      <c r="K468" s="42">
        <f t="shared" ref="K468:K474" si="505">($E468-19)/30</f>
        <v>-0.6333333333333333</v>
      </c>
      <c r="L468" s="42">
        <f t="shared" ref="L468:L474" si="506">($E468-23)/30</f>
        <v>-0.76666666666666672</v>
      </c>
      <c r="M468" s="42">
        <f t="shared" ref="M468:M474" si="507">($E468-29)/30</f>
        <v>-0.96666666666666667</v>
      </c>
      <c r="O468" s="43" t="str">
        <f t="shared" si="497"/>
        <v/>
      </c>
    </row>
    <row r="469" spans="1:15" x14ac:dyDescent="0.45">
      <c r="D469" s="27">
        <f t="shared" si="498"/>
        <v>0</v>
      </c>
      <c r="E469" s="28">
        <f t="shared" si="499"/>
        <v>0</v>
      </c>
      <c r="F469" s="42">
        <f t="shared" si="500"/>
        <v>-3.3333333333333333E-2</v>
      </c>
      <c r="G469" s="42">
        <f t="shared" si="501"/>
        <v>-0.23333333333333334</v>
      </c>
      <c r="H469" s="42">
        <f t="shared" si="502"/>
        <v>-0.36666666666666664</v>
      </c>
      <c r="I469" s="42">
        <f t="shared" si="503"/>
        <v>-0.43333333333333335</v>
      </c>
      <c r="J469" s="42">
        <f t="shared" si="504"/>
        <v>-0.56666666666666665</v>
      </c>
      <c r="K469" s="42">
        <f t="shared" si="505"/>
        <v>-0.6333333333333333</v>
      </c>
      <c r="L469" s="42">
        <f t="shared" si="506"/>
        <v>-0.76666666666666672</v>
      </c>
      <c r="M469" s="42">
        <f t="shared" si="507"/>
        <v>-0.96666666666666667</v>
      </c>
      <c r="O469" s="43" t="str">
        <f t="shared" si="497"/>
        <v/>
      </c>
    </row>
    <row r="470" spans="1:15" x14ac:dyDescent="0.45">
      <c r="D470" s="27">
        <f t="shared" si="498"/>
        <v>0</v>
      </c>
      <c r="E470" s="28">
        <f t="shared" si="499"/>
        <v>0</v>
      </c>
      <c r="F470" s="42">
        <f t="shared" si="500"/>
        <v>-3.3333333333333333E-2</v>
      </c>
      <c r="G470" s="42">
        <f t="shared" si="501"/>
        <v>-0.23333333333333334</v>
      </c>
      <c r="H470" s="42">
        <f t="shared" si="502"/>
        <v>-0.36666666666666664</v>
      </c>
      <c r="I470" s="42">
        <f t="shared" si="503"/>
        <v>-0.43333333333333335</v>
      </c>
      <c r="J470" s="42">
        <f t="shared" si="504"/>
        <v>-0.56666666666666665</v>
      </c>
      <c r="K470" s="42">
        <f t="shared" si="505"/>
        <v>-0.6333333333333333</v>
      </c>
      <c r="L470" s="42">
        <f t="shared" si="506"/>
        <v>-0.76666666666666672</v>
      </c>
      <c r="M470" s="42">
        <f t="shared" si="507"/>
        <v>-0.96666666666666667</v>
      </c>
      <c r="O470" s="43" t="str">
        <f t="shared" si="497"/>
        <v/>
      </c>
    </row>
    <row r="471" spans="1:15" x14ac:dyDescent="0.45">
      <c r="D471" s="27">
        <f t="shared" si="498"/>
        <v>0</v>
      </c>
      <c r="E471" s="28">
        <f t="shared" si="499"/>
        <v>0</v>
      </c>
      <c r="F471" s="42">
        <f t="shared" si="500"/>
        <v>-3.3333333333333333E-2</v>
      </c>
      <c r="G471" s="42">
        <f t="shared" si="501"/>
        <v>-0.23333333333333334</v>
      </c>
      <c r="H471" s="42">
        <f t="shared" si="502"/>
        <v>-0.36666666666666664</v>
      </c>
      <c r="I471" s="42">
        <f t="shared" si="503"/>
        <v>-0.43333333333333335</v>
      </c>
      <c r="J471" s="42">
        <f t="shared" si="504"/>
        <v>-0.56666666666666665</v>
      </c>
      <c r="K471" s="42">
        <f t="shared" si="505"/>
        <v>-0.6333333333333333</v>
      </c>
      <c r="L471" s="42">
        <f t="shared" si="506"/>
        <v>-0.76666666666666672</v>
      </c>
      <c r="M471" s="42">
        <f t="shared" si="507"/>
        <v>-0.96666666666666667</v>
      </c>
      <c r="O471" s="43" t="str">
        <f t="shared" si="497"/>
        <v/>
      </c>
    </row>
    <row r="472" spans="1:15" x14ac:dyDescent="0.45">
      <c r="D472" s="27">
        <f t="shared" si="498"/>
        <v>0</v>
      </c>
      <c r="E472" s="28">
        <f t="shared" si="499"/>
        <v>0</v>
      </c>
      <c r="F472" s="42">
        <f t="shared" si="500"/>
        <v>-3.3333333333333333E-2</v>
      </c>
      <c r="G472" s="42">
        <f t="shared" si="501"/>
        <v>-0.23333333333333334</v>
      </c>
      <c r="H472" s="42">
        <f t="shared" si="502"/>
        <v>-0.36666666666666664</v>
      </c>
      <c r="I472" s="42">
        <f t="shared" si="503"/>
        <v>-0.43333333333333335</v>
      </c>
      <c r="J472" s="42">
        <f t="shared" si="504"/>
        <v>-0.56666666666666665</v>
      </c>
      <c r="K472" s="42">
        <f t="shared" si="505"/>
        <v>-0.6333333333333333</v>
      </c>
      <c r="L472" s="42">
        <f t="shared" si="506"/>
        <v>-0.76666666666666672</v>
      </c>
      <c r="M472" s="42">
        <f t="shared" si="507"/>
        <v>-0.96666666666666667</v>
      </c>
      <c r="O472" s="43" t="str">
        <f t="shared" si="497"/>
        <v/>
      </c>
    </row>
    <row r="473" spans="1:15" x14ac:dyDescent="0.45">
      <c r="D473" s="27">
        <f t="shared" si="498"/>
        <v>0</v>
      </c>
      <c r="E473" s="28">
        <f t="shared" si="499"/>
        <v>0</v>
      </c>
      <c r="F473" s="42">
        <f t="shared" si="500"/>
        <v>-3.3333333333333333E-2</v>
      </c>
      <c r="G473" s="42">
        <f t="shared" si="501"/>
        <v>-0.23333333333333334</v>
      </c>
      <c r="H473" s="42">
        <f t="shared" si="502"/>
        <v>-0.36666666666666664</v>
      </c>
      <c r="I473" s="42">
        <f t="shared" si="503"/>
        <v>-0.43333333333333335</v>
      </c>
      <c r="J473" s="42">
        <f t="shared" si="504"/>
        <v>-0.56666666666666665</v>
      </c>
      <c r="K473" s="42">
        <f t="shared" si="505"/>
        <v>-0.6333333333333333</v>
      </c>
      <c r="L473" s="42">
        <f t="shared" si="506"/>
        <v>-0.76666666666666672</v>
      </c>
      <c r="M473" s="42">
        <f t="shared" si="507"/>
        <v>-0.96666666666666667</v>
      </c>
      <c r="O473" s="43" t="str">
        <f t="shared" si="497"/>
        <v/>
      </c>
    </row>
    <row r="474" spans="1:15" x14ac:dyDescent="0.45">
      <c r="D474" s="27">
        <f t="shared" si="498"/>
        <v>0</v>
      </c>
      <c r="E474" s="28">
        <f t="shared" si="499"/>
        <v>0</v>
      </c>
      <c r="F474" s="42">
        <f t="shared" si="500"/>
        <v>-3.3333333333333333E-2</v>
      </c>
      <c r="G474" s="42">
        <f t="shared" si="501"/>
        <v>-0.23333333333333334</v>
      </c>
      <c r="H474" s="42">
        <f t="shared" si="502"/>
        <v>-0.36666666666666664</v>
      </c>
      <c r="I474" s="42">
        <f t="shared" si="503"/>
        <v>-0.43333333333333335</v>
      </c>
      <c r="J474" s="42">
        <f t="shared" si="504"/>
        <v>-0.56666666666666665</v>
      </c>
      <c r="K474" s="42">
        <f t="shared" si="505"/>
        <v>-0.6333333333333333</v>
      </c>
      <c r="L474" s="42">
        <f t="shared" si="506"/>
        <v>-0.76666666666666672</v>
      </c>
      <c r="M474" s="42">
        <f t="shared" si="507"/>
        <v>-0.96666666666666667</v>
      </c>
      <c r="O474" s="43" t="str">
        <f t="shared" si="497"/>
        <v/>
      </c>
    </row>
    <row r="475" spans="1:15" ht="19.2" thickBot="1" x14ac:dyDescent="0.5">
      <c r="F475" s="42"/>
      <c r="G475" s="42"/>
      <c r="H475" s="42"/>
      <c r="I475" s="42"/>
      <c r="J475" s="42"/>
      <c r="K475" s="42"/>
      <c r="L475" s="42"/>
      <c r="M475" s="42"/>
    </row>
    <row r="476" spans="1:15" ht="19.2" thickBot="1" x14ac:dyDescent="0.5">
      <c r="C476" s="44"/>
      <c r="E476" s="34">
        <f>E457</f>
        <v>0</v>
      </c>
      <c r="F476" s="45">
        <v>1</v>
      </c>
      <c r="G476" s="46">
        <v>7</v>
      </c>
      <c r="H476" s="46">
        <v>11</v>
      </c>
      <c r="I476" s="46">
        <v>13</v>
      </c>
      <c r="J476" s="46">
        <v>17</v>
      </c>
      <c r="K476" s="46">
        <v>19</v>
      </c>
      <c r="L476" s="46">
        <v>23</v>
      </c>
      <c r="M476" s="47">
        <v>29</v>
      </c>
      <c r="O476" s="27" t="s">
        <v>2</v>
      </c>
    </row>
    <row r="477" spans="1:15" x14ac:dyDescent="0.45">
      <c r="A477" s="29">
        <f>A467+1</f>
        <v>47</v>
      </c>
      <c r="D477" s="27">
        <f>C467</f>
        <v>0</v>
      </c>
      <c r="E477" s="28">
        <f>D477*$E$6</f>
        <v>0</v>
      </c>
      <c r="F477" s="42">
        <f>(E477-1)/30</f>
        <v>-3.3333333333333333E-2</v>
      </c>
      <c r="G477" s="42">
        <f>($E477-7)/30</f>
        <v>-0.23333333333333334</v>
      </c>
      <c r="H477" s="42">
        <f>($E477-11)/30</f>
        <v>-0.36666666666666664</v>
      </c>
      <c r="I477" s="42">
        <f>($E477-13)/30</f>
        <v>-0.43333333333333335</v>
      </c>
      <c r="J477" s="42">
        <f>($E477-17)/30</f>
        <v>-0.56666666666666665</v>
      </c>
      <c r="K477" s="42">
        <f>($E477-19)/30</f>
        <v>-0.6333333333333333</v>
      </c>
      <c r="L477" s="42">
        <f>($E477-23)/30</f>
        <v>-0.76666666666666672</v>
      </c>
      <c r="M477" s="42">
        <f>($E477-29)/30</f>
        <v>-0.96666666666666667</v>
      </c>
      <c r="O477" s="43" t="str">
        <f t="shared" ref="O477:O484" si="508">FactorNumber(E477)</f>
        <v/>
      </c>
    </row>
    <row r="478" spans="1:15" x14ac:dyDescent="0.45">
      <c r="D478" s="27">
        <f t="shared" ref="D478:D484" si="509">C468</f>
        <v>0</v>
      </c>
      <c r="E478" s="28">
        <f t="shared" ref="E478:E484" si="510">D478*$E$6</f>
        <v>0</v>
      </c>
      <c r="F478" s="42">
        <f t="shared" ref="F478:F484" si="511">(E478-1)/30</f>
        <v>-3.3333333333333333E-2</v>
      </c>
      <c r="G478" s="42">
        <f t="shared" ref="G478:G484" si="512">($E478-7)/30</f>
        <v>-0.23333333333333334</v>
      </c>
      <c r="H478" s="42">
        <f t="shared" ref="H478:H484" si="513">($E478-11)/30</f>
        <v>-0.36666666666666664</v>
      </c>
      <c r="I478" s="42">
        <f t="shared" ref="I478:I484" si="514">($E478-13)/30</f>
        <v>-0.43333333333333335</v>
      </c>
      <c r="J478" s="42">
        <f t="shared" ref="J478:J484" si="515">($E478-17)/30</f>
        <v>-0.56666666666666665</v>
      </c>
      <c r="K478" s="42">
        <f t="shared" ref="K478:K484" si="516">($E478-19)/30</f>
        <v>-0.6333333333333333</v>
      </c>
      <c r="L478" s="42">
        <f t="shared" ref="L478:L484" si="517">($E478-23)/30</f>
        <v>-0.76666666666666672</v>
      </c>
      <c r="M478" s="42">
        <f t="shared" ref="M478:M484" si="518">($E478-29)/30</f>
        <v>-0.96666666666666667</v>
      </c>
      <c r="O478" s="43" t="str">
        <f t="shared" si="508"/>
        <v/>
      </c>
    </row>
    <row r="479" spans="1:15" x14ac:dyDescent="0.45">
      <c r="D479" s="27">
        <f t="shared" si="509"/>
        <v>0</v>
      </c>
      <c r="E479" s="28">
        <f t="shared" si="510"/>
        <v>0</v>
      </c>
      <c r="F479" s="42">
        <f t="shared" si="511"/>
        <v>-3.3333333333333333E-2</v>
      </c>
      <c r="G479" s="42">
        <f t="shared" si="512"/>
        <v>-0.23333333333333334</v>
      </c>
      <c r="H479" s="42">
        <f t="shared" si="513"/>
        <v>-0.36666666666666664</v>
      </c>
      <c r="I479" s="42">
        <f t="shared" si="514"/>
        <v>-0.43333333333333335</v>
      </c>
      <c r="J479" s="42">
        <f t="shared" si="515"/>
        <v>-0.56666666666666665</v>
      </c>
      <c r="K479" s="42">
        <f t="shared" si="516"/>
        <v>-0.6333333333333333</v>
      </c>
      <c r="L479" s="42">
        <f t="shared" si="517"/>
        <v>-0.76666666666666672</v>
      </c>
      <c r="M479" s="42">
        <f t="shared" si="518"/>
        <v>-0.96666666666666667</v>
      </c>
      <c r="O479" s="43" t="str">
        <f t="shared" si="508"/>
        <v/>
      </c>
    </row>
    <row r="480" spans="1:15" x14ac:dyDescent="0.45">
      <c r="D480" s="27">
        <f t="shared" si="509"/>
        <v>0</v>
      </c>
      <c r="E480" s="28">
        <f t="shared" si="510"/>
        <v>0</v>
      </c>
      <c r="F480" s="42">
        <f t="shared" si="511"/>
        <v>-3.3333333333333333E-2</v>
      </c>
      <c r="G480" s="42">
        <f t="shared" si="512"/>
        <v>-0.23333333333333334</v>
      </c>
      <c r="H480" s="42">
        <f t="shared" si="513"/>
        <v>-0.36666666666666664</v>
      </c>
      <c r="I480" s="42">
        <f t="shared" si="514"/>
        <v>-0.43333333333333335</v>
      </c>
      <c r="J480" s="42">
        <f t="shared" si="515"/>
        <v>-0.56666666666666665</v>
      </c>
      <c r="K480" s="42">
        <f t="shared" si="516"/>
        <v>-0.6333333333333333</v>
      </c>
      <c r="L480" s="42">
        <f t="shared" si="517"/>
        <v>-0.76666666666666672</v>
      </c>
      <c r="M480" s="42">
        <f t="shared" si="518"/>
        <v>-0.96666666666666667</v>
      </c>
      <c r="O480" s="43" t="str">
        <f t="shared" si="508"/>
        <v/>
      </c>
    </row>
    <row r="481" spans="1:15" x14ac:dyDescent="0.45">
      <c r="D481" s="27">
        <f t="shared" si="509"/>
        <v>0</v>
      </c>
      <c r="E481" s="28">
        <f t="shared" si="510"/>
        <v>0</v>
      </c>
      <c r="F481" s="42">
        <f t="shared" si="511"/>
        <v>-3.3333333333333333E-2</v>
      </c>
      <c r="G481" s="42">
        <f t="shared" si="512"/>
        <v>-0.23333333333333334</v>
      </c>
      <c r="H481" s="42">
        <f t="shared" si="513"/>
        <v>-0.36666666666666664</v>
      </c>
      <c r="I481" s="42">
        <f t="shared" si="514"/>
        <v>-0.43333333333333335</v>
      </c>
      <c r="J481" s="42">
        <f t="shared" si="515"/>
        <v>-0.56666666666666665</v>
      </c>
      <c r="K481" s="42">
        <f t="shared" si="516"/>
        <v>-0.6333333333333333</v>
      </c>
      <c r="L481" s="42">
        <f t="shared" si="517"/>
        <v>-0.76666666666666672</v>
      </c>
      <c r="M481" s="42">
        <f t="shared" si="518"/>
        <v>-0.96666666666666667</v>
      </c>
      <c r="O481" s="43" t="str">
        <f t="shared" si="508"/>
        <v/>
      </c>
    </row>
    <row r="482" spans="1:15" x14ac:dyDescent="0.45">
      <c r="D482" s="27">
        <f t="shared" si="509"/>
        <v>0</v>
      </c>
      <c r="E482" s="28">
        <f t="shared" si="510"/>
        <v>0</v>
      </c>
      <c r="F482" s="42">
        <f t="shared" si="511"/>
        <v>-3.3333333333333333E-2</v>
      </c>
      <c r="G482" s="42">
        <f t="shared" si="512"/>
        <v>-0.23333333333333334</v>
      </c>
      <c r="H482" s="42">
        <f t="shared" si="513"/>
        <v>-0.36666666666666664</v>
      </c>
      <c r="I482" s="42">
        <f t="shared" si="514"/>
        <v>-0.43333333333333335</v>
      </c>
      <c r="J482" s="42">
        <f t="shared" si="515"/>
        <v>-0.56666666666666665</v>
      </c>
      <c r="K482" s="42">
        <f t="shared" si="516"/>
        <v>-0.6333333333333333</v>
      </c>
      <c r="L482" s="42">
        <f t="shared" si="517"/>
        <v>-0.76666666666666672</v>
      </c>
      <c r="M482" s="42">
        <f t="shared" si="518"/>
        <v>-0.96666666666666667</v>
      </c>
      <c r="O482" s="43" t="str">
        <f t="shared" si="508"/>
        <v/>
      </c>
    </row>
    <row r="483" spans="1:15" x14ac:dyDescent="0.45">
      <c r="D483" s="27">
        <f t="shared" si="509"/>
        <v>0</v>
      </c>
      <c r="E483" s="28">
        <f t="shared" si="510"/>
        <v>0</v>
      </c>
      <c r="F483" s="42">
        <f t="shared" si="511"/>
        <v>-3.3333333333333333E-2</v>
      </c>
      <c r="G483" s="42">
        <f t="shared" si="512"/>
        <v>-0.23333333333333334</v>
      </c>
      <c r="H483" s="42">
        <f t="shared" si="513"/>
        <v>-0.36666666666666664</v>
      </c>
      <c r="I483" s="42">
        <f t="shared" si="514"/>
        <v>-0.43333333333333335</v>
      </c>
      <c r="J483" s="42">
        <f t="shared" si="515"/>
        <v>-0.56666666666666665</v>
      </c>
      <c r="K483" s="42">
        <f t="shared" si="516"/>
        <v>-0.6333333333333333</v>
      </c>
      <c r="L483" s="42">
        <f t="shared" si="517"/>
        <v>-0.76666666666666672</v>
      </c>
      <c r="M483" s="42">
        <f t="shared" si="518"/>
        <v>-0.96666666666666667</v>
      </c>
      <c r="O483" s="43" t="str">
        <f t="shared" si="508"/>
        <v/>
      </c>
    </row>
    <row r="484" spans="1:15" x14ac:dyDescent="0.45">
      <c r="D484" s="27">
        <f t="shared" si="509"/>
        <v>0</v>
      </c>
      <c r="E484" s="28">
        <f t="shared" si="510"/>
        <v>0</v>
      </c>
      <c r="F484" s="42">
        <f t="shared" si="511"/>
        <v>-3.3333333333333333E-2</v>
      </c>
      <c r="G484" s="42">
        <f t="shared" si="512"/>
        <v>-0.23333333333333334</v>
      </c>
      <c r="H484" s="42">
        <f t="shared" si="513"/>
        <v>-0.36666666666666664</v>
      </c>
      <c r="I484" s="42">
        <f t="shared" si="514"/>
        <v>-0.43333333333333335</v>
      </c>
      <c r="J484" s="42">
        <f t="shared" si="515"/>
        <v>-0.56666666666666665</v>
      </c>
      <c r="K484" s="42">
        <f t="shared" si="516"/>
        <v>-0.6333333333333333</v>
      </c>
      <c r="L484" s="42">
        <f t="shared" si="517"/>
        <v>-0.76666666666666672</v>
      </c>
      <c r="M484" s="42">
        <f t="shared" si="518"/>
        <v>-0.96666666666666667</v>
      </c>
      <c r="O484" s="43" t="str">
        <f t="shared" si="508"/>
        <v/>
      </c>
    </row>
    <row r="485" spans="1:15" ht="19.2" thickBot="1" x14ac:dyDescent="0.5">
      <c r="F485" s="42"/>
      <c r="G485" s="42"/>
      <c r="H485" s="42"/>
      <c r="I485" s="42"/>
      <c r="J485" s="42"/>
      <c r="K485" s="42"/>
      <c r="L485" s="42"/>
      <c r="M485" s="42"/>
    </row>
    <row r="486" spans="1:15" ht="19.2" thickBot="1" x14ac:dyDescent="0.5">
      <c r="C486" s="44"/>
      <c r="E486" s="34">
        <f>E467</f>
        <v>0</v>
      </c>
      <c r="F486" s="45">
        <v>1</v>
      </c>
      <c r="G486" s="46">
        <v>7</v>
      </c>
      <c r="H486" s="46">
        <v>11</v>
      </c>
      <c r="I486" s="46">
        <v>13</v>
      </c>
      <c r="J486" s="46">
        <v>17</v>
      </c>
      <c r="K486" s="46">
        <v>19</v>
      </c>
      <c r="L486" s="46">
        <v>23</v>
      </c>
      <c r="M486" s="47">
        <v>29</v>
      </c>
      <c r="O486" s="27" t="s">
        <v>2</v>
      </c>
    </row>
    <row r="487" spans="1:15" x14ac:dyDescent="0.45">
      <c r="A487" s="29">
        <f>A477+1</f>
        <v>48</v>
      </c>
      <c r="D487" s="27">
        <f>C477</f>
        <v>0</v>
      </c>
      <c r="E487" s="28">
        <f>D487*$E$6</f>
        <v>0</v>
      </c>
      <c r="F487" s="42">
        <f>(E487-1)/30</f>
        <v>-3.3333333333333333E-2</v>
      </c>
      <c r="G487" s="42">
        <f>($E487-7)/30</f>
        <v>-0.23333333333333334</v>
      </c>
      <c r="H487" s="42">
        <f>($E487-11)/30</f>
        <v>-0.36666666666666664</v>
      </c>
      <c r="I487" s="42">
        <f>($E487-13)/30</f>
        <v>-0.43333333333333335</v>
      </c>
      <c r="J487" s="42">
        <f>($E487-17)/30</f>
        <v>-0.56666666666666665</v>
      </c>
      <c r="K487" s="42">
        <f>($E487-19)/30</f>
        <v>-0.6333333333333333</v>
      </c>
      <c r="L487" s="42">
        <f>($E487-23)/30</f>
        <v>-0.76666666666666672</v>
      </c>
      <c r="M487" s="42">
        <f>($E487-29)/30</f>
        <v>-0.96666666666666667</v>
      </c>
      <c r="O487" s="43" t="str">
        <f t="shared" ref="O487:O494" si="519">FactorNumber(E487)</f>
        <v/>
      </c>
    </row>
    <row r="488" spans="1:15" x14ac:dyDescent="0.45">
      <c r="D488" s="27">
        <f t="shared" ref="D488:D494" si="520">C478</f>
        <v>0</v>
      </c>
      <c r="E488" s="28">
        <f t="shared" ref="E488:E494" si="521">D488*$E$6</f>
        <v>0</v>
      </c>
      <c r="F488" s="42">
        <f t="shared" ref="F488:F494" si="522">(E488-1)/30</f>
        <v>-3.3333333333333333E-2</v>
      </c>
      <c r="G488" s="42">
        <f t="shared" ref="G488:G494" si="523">($E488-7)/30</f>
        <v>-0.23333333333333334</v>
      </c>
      <c r="H488" s="42">
        <f t="shared" ref="H488:H494" si="524">($E488-11)/30</f>
        <v>-0.36666666666666664</v>
      </c>
      <c r="I488" s="42">
        <f t="shared" ref="I488:I494" si="525">($E488-13)/30</f>
        <v>-0.43333333333333335</v>
      </c>
      <c r="J488" s="42">
        <f t="shared" ref="J488:J494" si="526">($E488-17)/30</f>
        <v>-0.56666666666666665</v>
      </c>
      <c r="K488" s="42">
        <f t="shared" ref="K488:K494" si="527">($E488-19)/30</f>
        <v>-0.6333333333333333</v>
      </c>
      <c r="L488" s="42">
        <f t="shared" ref="L488:L494" si="528">($E488-23)/30</f>
        <v>-0.76666666666666672</v>
      </c>
      <c r="M488" s="42">
        <f t="shared" ref="M488:M494" si="529">($E488-29)/30</f>
        <v>-0.96666666666666667</v>
      </c>
      <c r="O488" s="43" t="str">
        <f t="shared" si="519"/>
        <v/>
      </c>
    </row>
    <row r="489" spans="1:15" x14ac:dyDescent="0.45">
      <c r="D489" s="27">
        <f t="shared" si="520"/>
        <v>0</v>
      </c>
      <c r="E489" s="28">
        <f t="shared" si="521"/>
        <v>0</v>
      </c>
      <c r="F489" s="42">
        <f t="shared" si="522"/>
        <v>-3.3333333333333333E-2</v>
      </c>
      <c r="G489" s="42">
        <f t="shared" si="523"/>
        <v>-0.23333333333333334</v>
      </c>
      <c r="H489" s="42">
        <f t="shared" si="524"/>
        <v>-0.36666666666666664</v>
      </c>
      <c r="I489" s="42">
        <f t="shared" si="525"/>
        <v>-0.43333333333333335</v>
      </c>
      <c r="J489" s="42">
        <f t="shared" si="526"/>
        <v>-0.56666666666666665</v>
      </c>
      <c r="K489" s="42">
        <f t="shared" si="527"/>
        <v>-0.6333333333333333</v>
      </c>
      <c r="L489" s="42">
        <f t="shared" si="528"/>
        <v>-0.76666666666666672</v>
      </c>
      <c r="M489" s="42">
        <f t="shared" si="529"/>
        <v>-0.96666666666666667</v>
      </c>
      <c r="O489" s="43" t="str">
        <f t="shared" si="519"/>
        <v/>
      </c>
    </row>
    <row r="490" spans="1:15" x14ac:dyDescent="0.45">
      <c r="D490" s="27">
        <f t="shared" si="520"/>
        <v>0</v>
      </c>
      <c r="E490" s="28">
        <f t="shared" si="521"/>
        <v>0</v>
      </c>
      <c r="F490" s="42">
        <f t="shared" si="522"/>
        <v>-3.3333333333333333E-2</v>
      </c>
      <c r="G490" s="42">
        <f t="shared" si="523"/>
        <v>-0.23333333333333334</v>
      </c>
      <c r="H490" s="42">
        <f t="shared" si="524"/>
        <v>-0.36666666666666664</v>
      </c>
      <c r="I490" s="42">
        <f t="shared" si="525"/>
        <v>-0.43333333333333335</v>
      </c>
      <c r="J490" s="42">
        <f t="shared" si="526"/>
        <v>-0.56666666666666665</v>
      </c>
      <c r="K490" s="42">
        <f t="shared" si="527"/>
        <v>-0.6333333333333333</v>
      </c>
      <c r="L490" s="42">
        <f t="shared" si="528"/>
        <v>-0.76666666666666672</v>
      </c>
      <c r="M490" s="42">
        <f t="shared" si="529"/>
        <v>-0.96666666666666667</v>
      </c>
      <c r="O490" s="43" t="str">
        <f t="shared" si="519"/>
        <v/>
      </c>
    </row>
    <row r="491" spans="1:15" x14ac:dyDescent="0.45">
      <c r="D491" s="27">
        <f t="shared" si="520"/>
        <v>0</v>
      </c>
      <c r="E491" s="28">
        <f t="shared" si="521"/>
        <v>0</v>
      </c>
      <c r="F491" s="42">
        <f t="shared" si="522"/>
        <v>-3.3333333333333333E-2</v>
      </c>
      <c r="G491" s="42">
        <f t="shared" si="523"/>
        <v>-0.23333333333333334</v>
      </c>
      <c r="H491" s="42">
        <f t="shared" si="524"/>
        <v>-0.36666666666666664</v>
      </c>
      <c r="I491" s="42">
        <f t="shared" si="525"/>
        <v>-0.43333333333333335</v>
      </c>
      <c r="J491" s="42">
        <f t="shared" si="526"/>
        <v>-0.56666666666666665</v>
      </c>
      <c r="K491" s="42">
        <f t="shared" si="527"/>
        <v>-0.6333333333333333</v>
      </c>
      <c r="L491" s="42">
        <f t="shared" si="528"/>
        <v>-0.76666666666666672</v>
      </c>
      <c r="M491" s="42">
        <f t="shared" si="529"/>
        <v>-0.96666666666666667</v>
      </c>
      <c r="O491" s="43" t="str">
        <f t="shared" si="519"/>
        <v/>
      </c>
    </row>
    <row r="492" spans="1:15" x14ac:dyDescent="0.45">
      <c r="D492" s="27">
        <f t="shared" si="520"/>
        <v>0</v>
      </c>
      <c r="E492" s="28">
        <f t="shared" si="521"/>
        <v>0</v>
      </c>
      <c r="F492" s="42">
        <f t="shared" si="522"/>
        <v>-3.3333333333333333E-2</v>
      </c>
      <c r="G492" s="42">
        <f t="shared" si="523"/>
        <v>-0.23333333333333334</v>
      </c>
      <c r="H492" s="42">
        <f t="shared" si="524"/>
        <v>-0.36666666666666664</v>
      </c>
      <c r="I492" s="42">
        <f t="shared" si="525"/>
        <v>-0.43333333333333335</v>
      </c>
      <c r="J492" s="42">
        <f t="shared" si="526"/>
        <v>-0.56666666666666665</v>
      </c>
      <c r="K492" s="42">
        <f t="shared" si="527"/>
        <v>-0.6333333333333333</v>
      </c>
      <c r="L492" s="42">
        <f t="shared" si="528"/>
        <v>-0.76666666666666672</v>
      </c>
      <c r="M492" s="42">
        <f t="shared" si="529"/>
        <v>-0.96666666666666667</v>
      </c>
      <c r="O492" s="43" t="str">
        <f t="shared" si="519"/>
        <v/>
      </c>
    </row>
    <row r="493" spans="1:15" x14ac:dyDescent="0.45">
      <c r="D493" s="27">
        <f t="shared" si="520"/>
        <v>0</v>
      </c>
      <c r="E493" s="28">
        <f t="shared" si="521"/>
        <v>0</v>
      </c>
      <c r="F493" s="42">
        <f t="shared" si="522"/>
        <v>-3.3333333333333333E-2</v>
      </c>
      <c r="G493" s="42">
        <f t="shared" si="523"/>
        <v>-0.23333333333333334</v>
      </c>
      <c r="H493" s="42">
        <f t="shared" si="524"/>
        <v>-0.36666666666666664</v>
      </c>
      <c r="I493" s="42">
        <f t="shared" si="525"/>
        <v>-0.43333333333333335</v>
      </c>
      <c r="J493" s="42">
        <f t="shared" si="526"/>
        <v>-0.56666666666666665</v>
      </c>
      <c r="K493" s="42">
        <f t="shared" si="527"/>
        <v>-0.6333333333333333</v>
      </c>
      <c r="L493" s="42">
        <f t="shared" si="528"/>
        <v>-0.76666666666666672</v>
      </c>
      <c r="M493" s="42">
        <f t="shared" si="529"/>
        <v>-0.96666666666666667</v>
      </c>
      <c r="O493" s="43" t="str">
        <f t="shared" si="519"/>
        <v/>
      </c>
    </row>
    <row r="494" spans="1:15" x14ac:dyDescent="0.45">
      <c r="D494" s="27">
        <f t="shared" si="520"/>
        <v>0</v>
      </c>
      <c r="E494" s="28">
        <f t="shared" si="521"/>
        <v>0</v>
      </c>
      <c r="F494" s="42">
        <f t="shared" si="522"/>
        <v>-3.3333333333333333E-2</v>
      </c>
      <c r="G494" s="42">
        <f t="shared" si="523"/>
        <v>-0.23333333333333334</v>
      </c>
      <c r="H494" s="42">
        <f t="shared" si="524"/>
        <v>-0.36666666666666664</v>
      </c>
      <c r="I494" s="42">
        <f t="shared" si="525"/>
        <v>-0.43333333333333335</v>
      </c>
      <c r="J494" s="42">
        <f t="shared" si="526"/>
        <v>-0.56666666666666665</v>
      </c>
      <c r="K494" s="42">
        <f t="shared" si="527"/>
        <v>-0.6333333333333333</v>
      </c>
      <c r="L494" s="42">
        <f t="shared" si="528"/>
        <v>-0.76666666666666672</v>
      </c>
      <c r="M494" s="42">
        <f t="shared" si="529"/>
        <v>-0.96666666666666667</v>
      </c>
      <c r="O494" s="43" t="str">
        <f t="shared" si="519"/>
        <v/>
      </c>
    </row>
    <row r="495" spans="1:15" ht="19.2" thickBot="1" x14ac:dyDescent="0.5">
      <c r="F495" s="42"/>
      <c r="G495" s="42"/>
      <c r="H495" s="42"/>
      <c r="I495" s="42"/>
      <c r="J495" s="42"/>
      <c r="K495" s="42"/>
      <c r="L495" s="42"/>
      <c r="M495" s="42"/>
    </row>
    <row r="496" spans="1:15" ht="19.2" thickBot="1" x14ac:dyDescent="0.5">
      <c r="C496" s="44"/>
      <c r="E496" s="34">
        <f>E477</f>
        <v>0</v>
      </c>
      <c r="F496" s="45">
        <v>1</v>
      </c>
      <c r="G496" s="46">
        <v>7</v>
      </c>
      <c r="H496" s="46">
        <v>11</v>
      </c>
      <c r="I496" s="46">
        <v>13</v>
      </c>
      <c r="J496" s="46">
        <v>17</v>
      </c>
      <c r="K496" s="46">
        <v>19</v>
      </c>
      <c r="L496" s="46">
        <v>23</v>
      </c>
      <c r="M496" s="47">
        <v>29</v>
      </c>
      <c r="O496" s="27" t="s">
        <v>2</v>
      </c>
    </row>
    <row r="497" spans="1:15" x14ac:dyDescent="0.45">
      <c r="A497" s="29">
        <f>A487+1</f>
        <v>49</v>
      </c>
      <c r="D497" s="27">
        <f>C487</f>
        <v>0</v>
      </c>
      <c r="E497" s="28">
        <f>D497*$E$6</f>
        <v>0</v>
      </c>
      <c r="F497" s="42">
        <f>(E497-1)/30</f>
        <v>-3.3333333333333333E-2</v>
      </c>
      <c r="G497" s="42">
        <f>($E497-7)/30</f>
        <v>-0.23333333333333334</v>
      </c>
      <c r="H497" s="42">
        <f>($E497-11)/30</f>
        <v>-0.36666666666666664</v>
      </c>
      <c r="I497" s="42">
        <f>($E497-13)/30</f>
        <v>-0.43333333333333335</v>
      </c>
      <c r="J497" s="42">
        <f>($E497-17)/30</f>
        <v>-0.56666666666666665</v>
      </c>
      <c r="K497" s="42">
        <f>($E497-19)/30</f>
        <v>-0.6333333333333333</v>
      </c>
      <c r="L497" s="42">
        <f>($E497-23)/30</f>
        <v>-0.76666666666666672</v>
      </c>
      <c r="M497" s="42">
        <f>($E497-29)/30</f>
        <v>-0.96666666666666667</v>
      </c>
      <c r="O497" s="43" t="str">
        <f t="shared" ref="O497:O504" si="530">FactorNumber(E497)</f>
        <v/>
      </c>
    </row>
    <row r="498" spans="1:15" x14ac:dyDescent="0.45">
      <c r="D498" s="27">
        <f t="shared" ref="D498:D504" si="531">C488</f>
        <v>0</v>
      </c>
      <c r="E498" s="28">
        <f t="shared" ref="E498:E504" si="532">D498*$E$6</f>
        <v>0</v>
      </c>
      <c r="F498" s="42">
        <f t="shared" ref="F498:F504" si="533">(E498-1)/30</f>
        <v>-3.3333333333333333E-2</v>
      </c>
      <c r="G498" s="42">
        <f t="shared" ref="G498:G504" si="534">($E498-7)/30</f>
        <v>-0.23333333333333334</v>
      </c>
      <c r="H498" s="42">
        <f t="shared" ref="H498:H504" si="535">($E498-11)/30</f>
        <v>-0.36666666666666664</v>
      </c>
      <c r="I498" s="42">
        <f t="shared" ref="I498:I504" si="536">($E498-13)/30</f>
        <v>-0.43333333333333335</v>
      </c>
      <c r="J498" s="42">
        <f t="shared" ref="J498:J504" si="537">($E498-17)/30</f>
        <v>-0.56666666666666665</v>
      </c>
      <c r="K498" s="42">
        <f t="shared" ref="K498:K504" si="538">($E498-19)/30</f>
        <v>-0.6333333333333333</v>
      </c>
      <c r="L498" s="42">
        <f t="shared" ref="L498:L504" si="539">($E498-23)/30</f>
        <v>-0.76666666666666672</v>
      </c>
      <c r="M498" s="42">
        <f t="shared" ref="M498:M504" si="540">($E498-29)/30</f>
        <v>-0.96666666666666667</v>
      </c>
      <c r="O498" s="43" t="str">
        <f t="shared" si="530"/>
        <v/>
      </c>
    </row>
    <row r="499" spans="1:15" x14ac:dyDescent="0.45">
      <c r="D499" s="27">
        <f t="shared" si="531"/>
        <v>0</v>
      </c>
      <c r="E499" s="28">
        <f t="shared" si="532"/>
        <v>0</v>
      </c>
      <c r="F499" s="42">
        <f t="shared" si="533"/>
        <v>-3.3333333333333333E-2</v>
      </c>
      <c r="G499" s="42">
        <f t="shared" si="534"/>
        <v>-0.23333333333333334</v>
      </c>
      <c r="H499" s="42">
        <f t="shared" si="535"/>
        <v>-0.36666666666666664</v>
      </c>
      <c r="I499" s="42">
        <f t="shared" si="536"/>
        <v>-0.43333333333333335</v>
      </c>
      <c r="J499" s="42">
        <f t="shared" si="537"/>
        <v>-0.56666666666666665</v>
      </c>
      <c r="K499" s="42">
        <f t="shared" si="538"/>
        <v>-0.6333333333333333</v>
      </c>
      <c r="L499" s="42">
        <f t="shared" si="539"/>
        <v>-0.76666666666666672</v>
      </c>
      <c r="M499" s="42">
        <f t="shared" si="540"/>
        <v>-0.96666666666666667</v>
      </c>
      <c r="O499" s="43" t="str">
        <f t="shared" si="530"/>
        <v/>
      </c>
    </row>
    <row r="500" spans="1:15" x14ac:dyDescent="0.45">
      <c r="D500" s="27">
        <f t="shared" si="531"/>
        <v>0</v>
      </c>
      <c r="E500" s="28">
        <f t="shared" si="532"/>
        <v>0</v>
      </c>
      <c r="F500" s="42">
        <f t="shared" si="533"/>
        <v>-3.3333333333333333E-2</v>
      </c>
      <c r="G500" s="42">
        <f t="shared" si="534"/>
        <v>-0.23333333333333334</v>
      </c>
      <c r="H500" s="42">
        <f t="shared" si="535"/>
        <v>-0.36666666666666664</v>
      </c>
      <c r="I500" s="42">
        <f t="shared" si="536"/>
        <v>-0.43333333333333335</v>
      </c>
      <c r="J500" s="42">
        <f t="shared" si="537"/>
        <v>-0.56666666666666665</v>
      </c>
      <c r="K500" s="42">
        <f t="shared" si="538"/>
        <v>-0.6333333333333333</v>
      </c>
      <c r="L500" s="42">
        <f t="shared" si="539"/>
        <v>-0.76666666666666672</v>
      </c>
      <c r="M500" s="42">
        <f t="shared" si="540"/>
        <v>-0.96666666666666667</v>
      </c>
      <c r="O500" s="43" t="str">
        <f t="shared" si="530"/>
        <v/>
      </c>
    </row>
    <row r="501" spans="1:15" x14ac:dyDescent="0.45">
      <c r="D501" s="27">
        <f t="shared" si="531"/>
        <v>0</v>
      </c>
      <c r="E501" s="28">
        <f t="shared" si="532"/>
        <v>0</v>
      </c>
      <c r="F501" s="42">
        <f t="shared" si="533"/>
        <v>-3.3333333333333333E-2</v>
      </c>
      <c r="G501" s="42">
        <f t="shared" si="534"/>
        <v>-0.23333333333333334</v>
      </c>
      <c r="H501" s="42">
        <f t="shared" si="535"/>
        <v>-0.36666666666666664</v>
      </c>
      <c r="I501" s="42">
        <f t="shared" si="536"/>
        <v>-0.43333333333333335</v>
      </c>
      <c r="J501" s="42">
        <f t="shared" si="537"/>
        <v>-0.56666666666666665</v>
      </c>
      <c r="K501" s="42">
        <f t="shared" si="538"/>
        <v>-0.6333333333333333</v>
      </c>
      <c r="L501" s="42">
        <f t="shared" si="539"/>
        <v>-0.76666666666666672</v>
      </c>
      <c r="M501" s="42">
        <f t="shared" si="540"/>
        <v>-0.96666666666666667</v>
      </c>
      <c r="O501" s="43" t="str">
        <f t="shared" si="530"/>
        <v/>
      </c>
    </row>
    <row r="502" spans="1:15" x14ac:dyDescent="0.45">
      <c r="D502" s="27">
        <f t="shared" si="531"/>
        <v>0</v>
      </c>
      <c r="E502" s="28">
        <f t="shared" si="532"/>
        <v>0</v>
      </c>
      <c r="F502" s="42">
        <f t="shared" si="533"/>
        <v>-3.3333333333333333E-2</v>
      </c>
      <c r="G502" s="42">
        <f t="shared" si="534"/>
        <v>-0.23333333333333334</v>
      </c>
      <c r="H502" s="42">
        <f t="shared" si="535"/>
        <v>-0.36666666666666664</v>
      </c>
      <c r="I502" s="42">
        <f t="shared" si="536"/>
        <v>-0.43333333333333335</v>
      </c>
      <c r="J502" s="42">
        <f t="shared" si="537"/>
        <v>-0.56666666666666665</v>
      </c>
      <c r="K502" s="42">
        <f t="shared" si="538"/>
        <v>-0.6333333333333333</v>
      </c>
      <c r="L502" s="42">
        <f t="shared" si="539"/>
        <v>-0.76666666666666672</v>
      </c>
      <c r="M502" s="42">
        <f t="shared" si="540"/>
        <v>-0.96666666666666667</v>
      </c>
      <c r="O502" s="43" t="str">
        <f t="shared" si="530"/>
        <v/>
      </c>
    </row>
    <row r="503" spans="1:15" x14ac:dyDescent="0.45">
      <c r="D503" s="27">
        <f t="shared" si="531"/>
        <v>0</v>
      </c>
      <c r="E503" s="28">
        <f t="shared" si="532"/>
        <v>0</v>
      </c>
      <c r="F503" s="42">
        <f t="shared" si="533"/>
        <v>-3.3333333333333333E-2</v>
      </c>
      <c r="G503" s="42">
        <f t="shared" si="534"/>
        <v>-0.23333333333333334</v>
      </c>
      <c r="H503" s="42">
        <f t="shared" si="535"/>
        <v>-0.36666666666666664</v>
      </c>
      <c r="I503" s="42">
        <f t="shared" si="536"/>
        <v>-0.43333333333333335</v>
      </c>
      <c r="J503" s="42">
        <f t="shared" si="537"/>
        <v>-0.56666666666666665</v>
      </c>
      <c r="K503" s="42">
        <f t="shared" si="538"/>
        <v>-0.6333333333333333</v>
      </c>
      <c r="L503" s="42">
        <f t="shared" si="539"/>
        <v>-0.76666666666666672</v>
      </c>
      <c r="M503" s="42">
        <f t="shared" si="540"/>
        <v>-0.96666666666666667</v>
      </c>
      <c r="O503" s="43" t="str">
        <f t="shared" si="530"/>
        <v/>
      </c>
    </row>
    <row r="504" spans="1:15" x14ac:dyDescent="0.45">
      <c r="D504" s="27">
        <f t="shared" si="531"/>
        <v>0</v>
      </c>
      <c r="E504" s="28">
        <f t="shared" si="532"/>
        <v>0</v>
      </c>
      <c r="F504" s="42">
        <f t="shared" si="533"/>
        <v>-3.3333333333333333E-2</v>
      </c>
      <c r="G504" s="42">
        <f t="shared" si="534"/>
        <v>-0.23333333333333334</v>
      </c>
      <c r="H504" s="42">
        <f t="shared" si="535"/>
        <v>-0.36666666666666664</v>
      </c>
      <c r="I504" s="42">
        <f t="shared" si="536"/>
        <v>-0.43333333333333335</v>
      </c>
      <c r="J504" s="42">
        <f t="shared" si="537"/>
        <v>-0.56666666666666665</v>
      </c>
      <c r="K504" s="42">
        <f t="shared" si="538"/>
        <v>-0.6333333333333333</v>
      </c>
      <c r="L504" s="42">
        <f t="shared" si="539"/>
        <v>-0.76666666666666672</v>
      </c>
      <c r="M504" s="42">
        <f t="shared" si="540"/>
        <v>-0.96666666666666667</v>
      </c>
      <c r="O504" s="43" t="str">
        <f t="shared" si="530"/>
        <v/>
      </c>
    </row>
    <row r="505" spans="1:15" ht="19.2" thickBot="1" x14ac:dyDescent="0.5">
      <c r="F505" s="42"/>
      <c r="G505" s="42"/>
      <c r="H505" s="42"/>
      <c r="I505" s="42"/>
      <c r="J505" s="42"/>
      <c r="K505" s="42"/>
      <c r="L505" s="42"/>
      <c r="M505" s="42"/>
    </row>
    <row r="506" spans="1:15" ht="19.2" thickBot="1" x14ac:dyDescent="0.5">
      <c r="C506" s="44"/>
      <c r="E506" s="34">
        <f>E487</f>
        <v>0</v>
      </c>
      <c r="F506" s="45">
        <v>1</v>
      </c>
      <c r="G506" s="46">
        <v>7</v>
      </c>
      <c r="H506" s="46">
        <v>11</v>
      </c>
      <c r="I506" s="46">
        <v>13</v>
      </c>
      <c r="J506" s="46">
        <v>17</v>
      </c>
      <c r="K506" s="46">
        <v>19</v>
      </c>
      <c r="L506" s="46">
        <v>23</v>
      </c>
      <c r="M506" s="47">
        <v>29</v>
      </c>
      <c r="O506" s="27" t="s">
        <v>2</v>
      </c>
    </row>
    <row r="507" spans="1:15" x14ac:dyDescent="0.45">
      <c r="A507" s="29">
        <f>A497+1</f>
        <v>50</v>
      </c>
      <c r="D507" s="27">
        <f>C497</f>
        <v>0</v>
      </c>
      <c r="E507" s="28">
        <f>D507*$E$6</f>
        <v>0</v>
      </c>
      <c r="F507" s="42">
        <f>(E507-1)/30</f>
        <v>-3.3333333333333333E-2</v>
      </c>
      <c r="G507" s="42">
        <f>($E507-7)/30</f>
        <v>-0.23333333333333334</v>
      </c>
      <c r="H507" s="42">
        <f>($E507-11)/30</f>
        <v>-0.36666666666666664</v>
      </c>
      <c r="I507" s="42">
        <f>($E507-13)/30</f>
        <v>-0.43333333333333335</v>
      </c>
      <c r="J507" s="42">
        <f>($E507-17)/30</f>
        <v>-0.56666666666666665</v>
      </c>
      <c r="K507" s="42">
        <f>($E507-19)/30</f>
        <v>-0.6333333333333333</v>
      </c>
      <c r="L507" s="42">
        <f>($E507-23)/30</f>
        <v>-0.76666666666666672</v>
      </c>
      <c r="M507" s="42">
        <f>($E507-29)/30</f>
        <v>-0.96666666666666667</v>
      </c>
      <c r="O507" s="43" t="str">
        <f t="shared" ref="O507:O514" si="541">FactorNumber(E507)</f>
        <v/>
      </c>
    </row>
    <row r="508" spans="1:15" x14ac:dyDescent="0.45">
      <c r="D508" s="27">
        <f t="shared" ref="D508:D514" si="542">C498</f>
        <v>0</v>
      </c>
      <c r="E508" s="28">
        <f t="shared" ref="E508:E514" si="543">D508*$E$6</f>
        <v>0</v>
      </c>
      <c r="F508" s="42">
        <f t="shared" ref="F508:F514" si="544">(E508-1)/30</f>
        <v>-3.3333333333333333E-2</v>
      </c>
      <c r="G508" s="42">
        <f t="shared" ref="G508:G514" si="545">($E508-7)/30</f>
        <v>-0.23333333333333334</v>
      </c>
      <c r="H508" s="42">
        <f t="shared" ref="H508:H514" si="546">($E508-11)/30</f>
        <v>-0.36666666666666664</v>
      </c>
      <c r="I508" s="42">
        <f t="shared" ref="I508:I514" si="547">($E508-13)/30</f>
        <v>-0.43333333333333335</v>
      </c>
      <c r="J508" s="42">
        <f t="shared" ref="J508:J514" si="548">($E508-17)/30</f>
        <v>-0.56666666666666665</v>
      </c>
      <c r="K508" s="42">
        <f t="shared" ref="K508:K514" si="549">($E508-19)/30</f>
        <v>-0.6333333333333333</v>
      </c>
      <c r="L508" s="42">
        <f t="shared" ref="L508:L514" si="550">($E508-23)/30</f>
        <v>-0.76666666666666672</v>
      </c>
      <c r="M508" s="42">
        <f t="shared" ref="M508:M514" si="551">($E508-29)/30</f>
        <v>-0.96666666666666667</v>
      </c>
      <c r="O508" s="43" t="str">
        <f t="shared" si="541"/>
        <v/>
      </c>
    </row>
    <row r="509" spans="1:15" x14ac:dyDescent="0.45">
      <c r="D509" s="27">
        <f t="shared" si="542"/>
        <v>0</v>
      </c>
      <c r="E509" s="28">
        <f t="shared" si="543"/>
        <v>0</v>
      </c>
      <c r="F509" s="42">
        <f t="shared" si="544"/>
        <v>-3.3333333333333333E-2</v>
      </c>
      <c r="G509" s="42">
        <f t="shared" si="545"/>
        <v>-0.23333333333333334</v>
      </c>
      <c r="H509" s="42">
        <f t="shared" si="546"/>
        <v>-0.36666666666666664</v>
      </c>
      <c r="I509" s="42">
        <f t="shared" si="547"/>
        <v>-0.43333333333333335</v>
      </c>
      <c r="J509" s="42">
        <f t="shared" si="548"/>
        <v>-0.56666666666666665</v>
      </c>
      <c r="K509" s="42">
        <f t="shared" si="549"/>
        <v>-0.6333333333333333</v>
      </c>
      <c r="L509" s="42">
        <f t="shared" si="550"/>
        <v>-0.76666666666666672</v>
      </c>
      <c r="M509" s="42">
        <f t="shared" si="551"/>
        <v>-0.96666666666666667</v>
      </c>
      <c r="O509" s="43" t="str">
        <f t="shared" si="541"/>
        <v/>
      </c>
    </row>
    <row r="510" spans="1:15" x14ac:dyDescent="0.45">
      <c r="D510" s="27">
        <f t="shared" si="542"/>
        <v>0</v>
      </c>
      <c r="E510" s="28">
        <f t="shared" si="543"/>
        <v>0</v>
      </c>
      <c r="F510" s="42">
        <f t="shared" si="544"/>
        <v>-3.3333333333333333E-2</v>
      </c>
      <c r="G510" s="42">
        <f t="shared" si="545"/>
        <v>-0.23333333333333334</v>
      </c>
      <c r="H510" s="42">
        <f t="shared" si="546"/>
        <v>-0.36666666666666664</v>
      </c>
      <c r="I510" s="42">
        <f t="shared" si="547"/>
        <v>-0.43333333333333335</v>
      </c>
      <c r="J510" s="42">
        <f t="shared" si="548"/>
        <v>-0.56666666666666665</v>
      </c>
      <c r="K510" s="42">
        <f t="shared" si="549"/>
        <v>-0.6333333333333333</v>
      </c>
      <c r="L510" s="42">
        <f t="shared" si="550"/>
        <v>-0.76666666666666672</v>
      </c>
      <c r="M510" s="42">
        <f t="shared" si="551"/>
        <v>-0.96666666666666667</v>
      </c>
      <c r="O510" s="43" t="str">
        <f t="shared" si="541"/>
        <v/>
      </c>
    </row>
    <row r="511" spans="1:15" x14ac:dyDescent="0.45">
      <c r="D511" s="27">
        <f t="shared" si="542"/>
        <v>0</v>
      </c>
      <c r="E511" s="28">
        <f t="shared" si="543"/>
        <v>0</v>
      </c>
      <c r="F511" s="42">
        <f t="shared" si="544"/>
        <v>-3.3333333333333333E-2</v>
      </c>
      <c r="G511" s="42">
        <f t="shared" si="545"/>
        <v>-0.23333333333333334</v>
      </c>
      <c r="H511" s="42">
        <f t="shared" si="546"/>
        <v>-0.36666666666666664</v>
      </c>
      <c r="I511" s="42">
        <f t="shared" si="547"/>
        <v>-0.43333333333333335</v>
      </c>
      <c r="J511" s="42">
        <f t="shared" si="548"/>
        <v>-0.56666666666666665</v>
      </c>
      <c r="K511" s="42">
        <f t="shared" si="549"/>
        <v>-0.6333333333333333</v>
      </c>
      <c r="L511" s="42">
        <f t="shared" si="550"/>
        <v>-0.76666666666666672</v>
      </c>
      <c r="M511" s="42">
        <f t="shared" si="551"/>
        <v>-0.96666666666666667</v>
      </c>
      <c r="O511" s="43" t="str">
        <f t="shared" si="541"/>
        <v/>
      </c>
    </row>
    <row r="512" spans="1:15" x14ac:dyDescent="0.45">
      <c r="D512" s="27">
        <f t="shared" si="542"/>
        <v>0</v>
      </c>
      <c r="E512" s="28">
        <f t="shared" si="543"/>
        <v>0</v>
      </c>
      <c r="F512" s="42">
        <f t="shared" si="544"/>
        <v>-3.3333333333333333E-2</v>
      </c>
      <c r="G512" s="42">
        <f t="shared" si="545"/>
        <v>-0.23333333333333334</v>
      </c>
      <c r="H512" s="42">
        <f t="shared" si="546"/>
        <v>-0.36666666666666664</v>
      </c>
      <c r="I512" s="42">
        <f t="shared" si="547"/>
        <v>-0.43333333333333335</v>
      </c>
      <c r="J512" s="42">
        <f t="shared" si="548"/>
        <v>-0.56666666666666665</v>
      </c>
      <c r="K512" s="42">
        <f t="shared" si="549"/>
        <v>-0.6333333333333333</v>
      </c>
      <c r="L512" s="42">
        <f t="shared" si="550"/>
        <v>-0.76666666666666672</v>
      </c>
      <c r="M512" s="42">
        <f t="shared" si="551"/>
        <v>-0.96666666666666667</v>
      </c>
      <c r="O512" s="43" t="str">
        <f t="shared" si="541"/>
        <v/>
      </c>
    </row>
    <row r="513" spans="1:15" x14ac:dyDescent="0.45">
      <c r="D513" s="27">
        <f t="shared" si="542"/>
        <v>0</v>
      </c>
      <c r="E513" s="28">
        <f t="shared" si="543"/>
        <v>0</v>
      </c>
      <c r="F513" s="42">
        <f t="shared" si="544"/>
        <v>-3.3333333333333333E-2</v>
      </c>
      <c r="G513" s="42">
        <f t="shared" si="545"/>
        <v>-0.23333333333333334</v>
      </c>
      <c r="H513" s="42">
        <f t="shared" si="546"/>
        <v>-0.36666666666666664</v>
      </c>
      <c r="I513" s="42">
        <f t="shared" si="547"/>
        <v>-0.43333333333333335</v>
      </c>
      <c r="J513" s="42">
        <f t="shared" si="548"/>
        <v>-0.56666666666666665</v>
      </c>
      <c r="K513" s="42">
        <f t="shared" si="549"/>
        <v>-0.6333333333333333</v>
      </c>
      <c r="L513" s="42">
        <f t="shared" si="550"/>
        <v>-0.76666666666666672</v>
      </c>
      <c r="M513" s="42">
        <f t="shared" si="551"/>
        <v>-0.96666666666666667</v>
      </c>
      <c r="O513" s="43" t="str">
        <f t="shared" si="541"/>
        <v/>
      </c>
    </row>
    <row r="514" spans="1:15" x14ac:dyDescent="0.45">
      <c r="D514" s="27">
        <f t="shared" si="542"/>
        <v>0</v>
      </c>
      <c r="E514" s="28">
        <f t="shared" si="543"/>
        <v>0</v>
      </c>
      <c r="F514" s="42">
        <f t="shared" si="544"/>
        <v>-3.3333333333333333E-2</v>
      </c>
      <c r="G514" s="42">
        <f t="shared" si="545"/>
        <v>-0.23333333333333334</v>
      </c>
      <c r="H514" s="42">
        <f t="shared" si="546"/>
        <v>-0.36666666666666664</v>
      </c>
      <c r="I514" s="42">
        <f t="shared" si="547"/>
        <v>-0.43333333333333335</v>
      </c>
      <c r="J514" s="42">
        <f t="shared" si="548"/>
        <v>-0.56666666666666665</v>
      </c>
      <c r="K514" s="42">
        <f t="shared" si="549"/>
        <v>-0.6333333333333333</v>
      </c>
      <c r="L514" s="42">
        <f t="shared" si="550"/>
        <v>-0.76666666666666672</v>
      </c>
      <c r="M514" s="42">
        <f t="shared" si="551"/>
        <v>-0.96666666666666667</v>
      </c>
      <c r="O514" s="43" t="str">
        <f t="shared" si="541"/>
        <v/>
      </c>
    </row>
    <row r="515" spans="1:15" ht="19.2" thickBot="1" x14ac:dyDescent="0.5">
      <c r="F515" s="42"/>
      <c r="G515" s="42"/>
      <c r="H515" s="42"/>
      <c r="I515" s="42"/>
      <c r="J515" s="42"/>
      <c r="K515" s="42"/>
      <c r="L515" s="42"/>
      <c r="M515" s="42"/>
    </row>
    <row r="516" spans="1:15" ht="19.2" thickBot="1" x14ac:dyDescent="0.5">
      <c r="C516" s="44"/>
      <c r="E516" s="34">
        <f>E497</f>
        <v>0</v>
      </c>
      <c r="F516" s="45">
        <v>1</v>
      </c>
      <c r="G516" s="46">
        <v>7</v>
      </c>
      <c r="H516" s="46">
        <v>11</v>
      </c>
      <c r="I516" s="46">
        <v>13</v>
      </c>
      <c r="J516" s="46">
        <v>17</v>
      </c>
      <c r="K516" s="46">
        <v>19</v>
      </c>
      <c r="L516" s="46">
        <v>23</v>
      </c>
      <c r="M516" s="47">
        <v>29</v>
      </c>
      <c r="O516" s="27" t="s">
        <v>2</v>
      </c>
    </row>
    <row r="517" spans="1:15" x14ac:dyDescent="0.45">
      <c r="A517" s="29">
        <f>A507+1</f>
        <v>51</v>
      </c>
      <c r="D517" s="27">
        <f>C507</f>
        <v>0</v>
      </c>
      <c r="E517" s="28">
        <f>D517*$E$6</f>
        <v>0</v>
      </c>
      <c r="F517" s="42">
        <f>(E517-1)/30</f>
        <v>-3.3333333333333333E-2</v>
      </c>
      <c r="G517" s="42">
        <f>($E517-7)/30</f>
        <v>-0.23333333333333334</v>
      </c>
      <c r="H517" s="42">
        <f>($E517-11)/30</f>
        <v>-0.36666666666666664</v>
      </c>
      <c r="I517" s="42">
        <f>($E517-13)/30</f>
        <v>-0.43333333333333335</v>
      </c>
      <c r="J517" s="42">
        <f>($E517-17)/30</f>
        <v>-0.56666666666666665</v>
      </c>
      <c r="K517" s="42">
        <f>($E517-19)/30</f>
        <v>-0.6333333333333333</v>
      </c>
      <c r="L517" s="42">
        <f>($E517-23)/30</f>
        <v>-0.76666666666666672</v>
      </c>
      <c r="M517" s="42">
        <f>($E517-29)/30</f>
        <v>-0.96666666666666667</v>
      </c>
      <c r="O517" s="43" t="str">
        <f t="shared" ref="O517:O524" si="552">FactorNumber(E517)</f>
        <v/>
      </c>
    </row>
    <row r="518" spans="1:15" x14ac:dyDescent="0.45">
      <c r="D518" s="27">
        <f t="shared" ref="D518:D524" si="553">C508</f>
        <v>0</v>
      </c>
      <c r="E518" s="28">
        <f t="shared" ref="E518:E524" si="554">D518*$E$6</f>
        <v>0</v>
      </c>
      <c r="F518" s="42">
        <f t="shared" ref="F518:F524" si="555">(E518-1)/30</f>
        <v>-3.3333333333333333E-2</v>
      </c>
      <c r="G518" s="42">
        <f t="shared" ref="G518:G524" si="556">($E518-7)/30</f>
        <v>-0.23333333333333334</v>
      </c>
      <c r="H518" s="42">
        <f t="shared" ref="H518:H524" si="557">($E518-11)/30</f>
        <v>-0.36666666666666664</v>
      </c>
      <c r="I518" s="42">
        <f t="shared" ref="I518:I524" si="558">($E518-13)/30</f>
        <v>-0.43333333333333335</v>
      </c>
      <c r="J518" s="42">
        <f t="shared" ref="J518:J524" si="559">($E518-17)/30</f>
        <v>-0.56666666666666665</v>
      </c>
      <c r="K518" s="42">
        <f t="shared" ref="K518:K524" si="560">($E518-19)/30</f>
        <v>-0.6333333333333333</v>
      </c>
      <c r="L518" s="42">
        <f t="shared" ref="L518:L524" si="561">($E518-23)/30</f>
        <v>-0.76666666666666672</v>
      </c>
      <c r="M518" s="42">
        <f t="shared" ref="M518:M524" si="562">($E518-29)/30</f>
        <v>-0.96666666666666667</v>
      </c>
      <c r="O518" s="43" t="str">
        <f t="shared" si="552"/>
        <v/>
      </c>
    </row>
    <row r="519" spans="1:15" x14ac:dyDescent="0.45">
      <c r="D519" s="27">
        <f t="shared" si="553"/>
        <v>0</v>
      </c>
      <c r="E519" s="28">
        <f t="shared" si="554"/>
        <v>0</v>
      </c>
      <c r="F519" s="42">
        <f t="shared" si="555"/>
        <v>-3.3333333333333333E-2</v>
      </c>
      <c r="G519" s="42">
        <f t="shared" si="556"/>
        <v>-0.23333333333333334</v>
      </c>
      <c r="H519" s="42">
        <f t="shared" si="557"/>
        <v>-0.36666666666666664</v>
      </c>
      <c r="I519" s="42">
        <f t="shared" si="558"/>
        <v>-0.43333333333333335</v>
      </c>
      <c r="J519" s="42">
        <f t="shared" si="559"/>
        <v>-0.56666666666666665</v>
      </c>
      <c r="K519" s="42">
        <f t="shared" si="560"/>
        <v>-0.6333333333333333</v>
      </c>
      <c r="L519" s="42">
        <f t="shared" si="561"/>
        <v>-0.76666666666666672</v>
      </c>
      <c r="M519" s="42">
        <f t="shared" si="562"/>
        <v>-0.96666666666666667</v>
      </c>
      <c r="O519" s="43" t="str">
        <f t="shared" si="552"/>
        <v/>
      </c>
    </row>
    <row r="520" spans="1:15" x14ac:dyDescent="0.45">
      <c r="D520" s="27">
        <f t="shared" si="553"/>
        <v>0</v>
      </c>
      <c r="E520" s="28">
        <f t="shared" si="554"/>
        <v>0</v>
      </c>
      <c r="F520" s="42">
        <f t="shared" si="555"/>
        <v>-3.3333333333333333E-2</v>
      </c>
      <c r="G520" s="42">
        <f t="shared" si="556"/>
        <v>-0.23333333333333334</v>
      </c>
      <c r="H520" s="42">
        <f t="shared" si="557"/>
        <v>-0.36666666666666664</v>
      </c>
      <c r="I520" s="42">
        <f t="shared" si="558"/>
        <v>-0.43333333333333335</v>
      </c>
      <c r="J520" s="42">
        <f t="shared" si="559"/>
        <v>-0.56666666666666665</v>
      </c>
      <c r="K520" s="42">
        <f t="shared" si="560"/>
        <v>-0.6333333333333333</v>
      </c>
      <c r="L520" s="42">
        <f t="shared" si="561"/>
        <v>-0.76666666666666672</v>
      </c>
      <c r="M520" s="42">
        <f t="shared" si="562"/>
        <v>-0.96666666666666667</v>
      </c>
      <c r="O520" s="43" t="str">
        <f t="shared" si="552"/>
        <v/>
      </c>
    </row>
    <row r="521" spans="1:15" x14ac:dyDescent="0.45">
      <c r="D521" s="27">
        <f t="shared" si="553"/>
        <v>0</v>
      </c>
      <c r="E521" s="28">
        <f t="shared" si="554"/>
        <v>0</v>
      </c>
      <c r="F521" s="42">
        <f t="shared" si="555"/>
        <v>-3.3333333333333333E-2</v>
      </c>
      <c r="G521" s="42">
        <f t="shared" si="556"/>
        <v>-0.23333333333333334</v>
      </c>
      <c r="H521" s="42">
        <f t="shared" si="557"/>
        <v>-0.36666666666666664</v>
      </c>
      <c r="I521" s="42">
        <f t="shared" si="558"/>
        <v>-0.43333333333333335</v>
      </c>
      <c r="J521" s="42">
        <f t="shared" si="559"/>
        <v>-0.56666666666666665</v>
      </c>
      <c r="K521" s="42">
        <f t="shared" si="560"/>
        <v>-0.6333333333333333</v>
      </c>
      <c r="L521" s="42">
        <f t="shared" si="561"/>
        <v>-0.76666666666666672</v>
      </c>
      <c r="M521" s="42">
        <f t="shared" si="562"/>
        <v>-0.96666666666666667</v>
      </c>
      <c r="O521" s="43" t="str">
        <f t="shared" si="552"/>
        <v/>
      </c>
    </row>
    <row r="522" spans="1:15" x14ac:dyDescent="0.45">
      <c r="D522" s="27">
        <f t="shared" si="553"/>
        <v>0</v>
      </c>
      <c r="E522" s="28">
        <f t="shared" si="554"/>
        <v>0</v>
      </c>
      <c r="F522" s="42">
        <f t="shared" si="555"/>
        <v>-3.3333333333333333E-2</v>
      </c>
      <c r="G522" s="42">
        <f t="shared" si="556"/>
        <v>-0.23333333333333334</v>
      </c>
      <c r="H522" s="42">
        <f t="shared" si="557"/>
        <v>-0.36666666666666664</v>
      </c>
      <c r="I522" s="42">
        <f t="shared" si="558"/>
        <v>-0.43333333333333335</v>
      </c>
      <c r="J522" s="42">
        <f t="shared" si="559"/>
        <v>-0.56666666666666665</v>
      </c>
      <c r="K522" s="42">
        <f t="shared" si="560"/>
        <v>-0.6333333333333333</v>
      </c>
      <c r="L522" s="42">
        <f t="shared" si="561"/>
        <v>-0.76666666666666672</v>
      </c>
      <c r="M522" s="42">
        <f t="shared" si="562"/>
        <v>-0.96666666666666667</v>
      </c>
      <c r="O522" s="43" t="str">
        <f t="shared" si="552"/>
        <v/>
      </c>
    </row>
    <row r="523" spans="1:15" x14ac:dyDescent="0.45">
      <c r="D523" s="27">
        <f t="shared" si="553"/>
        <v>0</v>
      </c>
      <c r="E523" s="28">
        <f t="shared" si="554"/>
        <v>0</v>
      </c>
      <c r="F523" s="42">
        <f t="shared" si="555"/>
        <v>-3.3333333333333333E-2</v>
      </c>
      <c r="G523" s="42">
        <f t="shared" si="556"/>
        <v>-0.23333333333333334</v>
      </c>
      <c r="H523" s="42">
        <f t="shared" si="557"/>
        <v>-0.36666666666666664</v>
      </c>
      <c r="I523" s="42">
        <f t="shared" si="558"/>
        <v>-0.43333333333333335</v>
      </c>
      <c r="J523" s="42">
        <f t="shared" si="559"/>
        <v>-0.56666666666666665</v>
      </c>
      <c r="K523" s="42">
        <f t="shared" si="560"/>
        <v>-0.6333333333333333</v>
      </c>
      <c r="L523" s="42">
        <f t="shared" si="561"/>
        <v>-0.76666666666666672</v>
      </c>
      <c r="M523" s="42">
        <f t="shared" si="562"/>
        <v>-0.96666666666666667</v>
      </c>
      <c r="O523" s="43" t="str">
        <f t="shared" si="552"/>
        <v/>
      </c>
    </row>
    <row r="524" spans="1:15" x14ac:dyDescent="0.45">
      <c r="D524" s="27">
        <f t="shared" si="553"/>
        <v>0</v>
      </c>
      <c r="E524" s="28">
        <f t="shared" si="554"/>
        <v>0</v>
      </c>
      <c r="F524" s="42">
        <f t="shared" si="555"/>
        <v>-3.3333333333333333E-2</v>
      </c>
      <c r="G524" s="42">
        <f t="shared" si="556"/>
        <v>-0.23333333333333334</v>
      </c>
      <c r="H524" s="42">
        <f t="shared" si="557"/>
        <v>-0.36666666666666664</v>
      </c>
      <c r="I524" s="42">
        <f t="shared" si="558"/>
        <v>-0.43333333333333335</v>
      </c>
      <c r="J524" s="42">
        <f t="shared" si="559"/>
        <v>-0.56666666666666665</v>
      </c>
      <c r="K524" s="42">
        <f t="shared" si="560"/>
        <v>-0.6333333333333333</v>
      </c>
      <c r="L524" s="42">
        <f t="shared" si="561"/>
        <v>-0.76666666666666672</v>
      </c>
      <c r="M524" s="42">
        <f t="shared" si="562"/>
        <v>-0.96666666666666667</v>
      </c>
      <c r="O524" s="43" t="str">
        <f t="shared" si="552"/>
        <v/>
      </c>
    </row>
    <row r="525" spans="1:15" ht="19.2" thickBot="1" x14ac:dyDescent="0.5">
      <c r="F525" s="42"/>
      <c r="G525" s="42"/>
      <c r="H525" s="42"/>
      <c r="I525" s="42"/>
      <c r="J525" s="42"/>
      <c r="K525" s="42"/>
      <c r="L525" s="42"/>
      <c r="M525" s="42"/>
    </row>
    <row r="526" spans="1:15" ht="19.2" thickBot="1" x14ac:dyDescent="0.5">
      <c r="C526" s="44"/>
      <c r="E526" s="34">
        <f>E507</f>
        <v>0</v>
      </c>
      <c r="F526" s="45">
        <v>1</v>
      </c>
      <c r="G526" s="46">
        <v>7</v>
      </c>
      <c r="H526" s="46">
        <v>11</v>
      </c>
      <c r="I526" s="46">
        <v>13</v>
      </c>
      <c r="J526" s="46">
        <v>17</v>
      </c>
      <c r="K526" s="46">
        <v>19</v>
      </c>
      <c r="L526" s="46">
        <v>23</v>
      </c>
      <c r="M526" s="47">
        <v>29</v>
      </c>
      <c r="O526" s="27" t="s">
        <v>2</v>
      </c>
    </row>
    <row r="527" spans="1:15" x14ac:dyDescent="0.45">
      <c r="A527" s="29">
        <f>A517+1</f>
        <v>52</v>
      </c>
      <c r="D527" s="27">
        <f>C517</f>
        <v>0</v>
      </c>
      <c r="E527" s="28">
        <f>D527*$E$6</f>
        <v>0</v>
      </c>
      <c r="F527" s="42">
        <f>(E527-1)/30</f>
        <v>-3.3333333333333333E-2</v>
      </c>
      <c r="G527" s="42">
        <f>($E527-7)/30</f>
        <v>-0.23333333333333334</v>
      </c>
      <c r="H527" s="42">
        <f>($E527-11)/30</f>
        <v>-0.36666666666666664</v>
      </c>
      <c r="I527" s="42">
        <f>($E527-13)/30</f>
        <v>-0.43333333333333335</v>
      </c>
      <c r="J527" s="42">
        <f>($E527-17)/30</f>
        <v>-0.56666666666666665</v>
      </c>
      <c r="K527" s="42">
        <f>($E527-19)/30</f>
        <v>-0.6333333333333333</v>
      </c>
      <c r="L527" s="42">
        <f>($E527-23)/30</f>
        <v>-0.76666666666666672</v>
      </c>
      <c r="M527" s="42">
        <f>($E527-29)/30</f>
        <v>-0.96666666666666667</v>
      </c>
      <c r="O527" s="43" t="str">
        <f t="shared" ref="O527:O534" si="563">FactorNumber(E527)</f>
        <v/>
      </c>
    </row>
    <row r="528" spans="1:15" x14ac:dyDescent="0.45">
      <c r="D528" s="27">
        <f t="shared" ref="D528:D534" si="564">C518</f>
        <v>0</v>
      </c>
      <c r="E528" s="28">
        <f t="shared" ref="E528:E534" si="565">D528*$E$6</f>
        <v>0</v>
      </c>
      <c r="F528" s="42">
        <f t="shared" ref="F528:F534" si="566">(E528-1)/30</f>
        <v>-3.3333333333333333E-2</v>
      </c>
      <c r="G528" s="42">
        <f t="shared" ref="G528:G534" si="567">($E528-7)/30</f>
        <v>-0.23333333333333334</v>
      </c>
      <c r="H528" s="42">
        <f t="shared" ref="H528:H534" si="568">($E528-11)/30</f>
        <v>-0.36666666666666664</v>
      </c>
      <c r="I528" s="42">
        <f t="shared" ref="I528:I534" si="569">($E528-13)/30</f>
        <v>-0.43333333333333335</v>
      </c>
      <c r="J528" s="42">
        <f t="shared" ref="J528:J534" si="570">($E528-17)/30</f>
        <v>-0.56666666666666665</v>
      </c>
      <c r="K528" s="42">
        <f t="shared" ref="K528:K534" si="571">($E528-19)/30</f>
        <v>-0.6333333333333333</v>
      </c>
      <c r="L528" s="42">
        <f t="shared" ref="L528:L534" si="572">($E528-23)/30</f>
        <v>-0.76666666666666672</v>
      </c>
      <c r="M528" s="42">
        <f t="shared" ref="M528:M534" si="573">($E528-29)/30</f>
        <v>-0.96666666666666667</v>
      </c>
      <c r="O528" s="43" t="str">
        <f t="shared" si="563"/>
        <v/>
      </c>
    </row>
    <row r="529" spans="1:15" x14ac:dyDescent="0.45">
      <c r="D529" s="27">
        <f t="shared" si="564"/>
        <v>0</v>
      </c>
      <c r="E529" s="28">
        <f t="shared" si="565"/>
        <v>0</v>
      </c>
      <c r="F529" s="42">
        <f t="shared" si="566"/>
        <v>-3.3333333333333333E-2</v>
      </c>
      <c r="G529" s="42">
        <f t="shared" si="567"/>
        <v>-0.23333333333333334</v>
      </c>
      <c r="H529" s="42">
        <f t="shared" si="568"/>
        <v>-0.36666666666666664</v>
      </c>
      <c r="I529" s="42">
        <f t="shared" si="569"/>
        <v>-0.43333333333333335</v>
      </c>
      <c r="J529" s="42">
        <f t="shared" si="570"/>
        <v>-0.56666666666666665</v>
      </c>
      <c r="K529" s="42">
        <f t="shared" si="571"/>
        <v>-0.6333333333333333</v>
      </c>
      <c r="L529" s="42">
        <f t="shared" si="572"/>
        <v>-0.76666666666666672</v>
      </c>
      <c r="M529" s="42">
        <f t="shared" si="573"/>
        <v>-0.96666666666666667</v>
      </c>
      <c r="O529" s="43" t="str">
        <f t="shared" si="563"/>
        <v/>
      </c>
    </row>
    <row r="530" spans="1:15" x14ac:dyDescent="0.45">
      <c r="D530" s="27">
        <f t="shared" si="564"/>
        <v>0</v>
      </c>
      <c r="E530" s="28">
        <f t="shared" si="565"/>
        <v>0</v>
      </c>
      <c r="F530" s="42">
        <f t="shared" si="566"/>
        <v>-3.3333333333333333E-2</v>
      </c>
      <c r="G530" s="42">
        <f t="shared" si="567"/>
        <v>-0.23333333333333334</v>
      </c>
      <c r="H530" s="42">
        <f t="shared" si="568"/>
        <v>-0.36666666666666664</v>
      </c>
      <c r="I530" s="42">
        <f t="shared" si="569"/>
        <v>-0.43333333333333335</v>
      </c>
      <c r="J530" s="42">
        <f t="shared" si="570"/>
        <v>-0.56666666666666665</v>
      </c>
      <c r="K530" s="42">
        <f t="shared" si="571"/>
        <v>-0.6333333333333333</v>
      </c>
      <c r="L530" s="42">
        <f t="shared" si="572"/>
        <v>-0.76666666666666672</v>
      </c>
      <c r="M530" s="42">
        <f t="shared" si="573"/>
        <v>-0.96666666666666667</v>
      </c>
      <c r="O530" s="43" t="str">
        <f t="shared" si="563"/>
        <v/>
      </c>
    </row>
    <row r="531" spans="1:15" x14ac:dyDescent="0.45">
      <c r="D531" s="27">
        <f t="shared" si="564"/>
        <v>0</v>
      </c>
      <c r="E531" s="28">
        <f t="shared" si="565"/>
        <v>0</v>
      </c>
      <c r="F531" s="42">
        <f t="shared" si="566"/>
        <v>-3.3333333333333333E-2</v>
      </c>
      <c r="G531" s="42">
        <f t="shared" si="567"/>
        <v>-0.23333333333333334</v>
      </c>
      <c r="H531" s="42">
        <f t="shared" si="568"/>
        <v>-0.36666666666666664</v>
      </c>
      <c r="I531" s="42">
        <f t="shared" si="569"/>
        <v>-0.43333333333333335</v>
      </c>
      <c r="J531" s="42">
        <f t="shared" si="570"/>
        <v>-0.56666666666666665</v>
      </c>
      <c r="K531" s="42">
        <f t="shared" si="571"/>
        <v>-0.6333333333333333</v>
      </c>
      <c r="L531" s="42">
        <f t="shared" si="572"/>
        <v>-0.76666666666666672</v>
      </c>
      <c r="M531" s="42">
        <f t="shared" si="573"/>
        <v>-0.96666666666666667</v>
      </c>
      <c r="O531" s="43" t="str">
        <f t="shared" si="563"/>
        <v/>
      </c>
    </row>
    <row r="532" spans="1:15" x14ac:dyDescent="0.45">
      <c r="D532" s="27">
        <f t="shared" si="564"/>
        <v>0</v>
      </c>
      <c r="E532" s="28">
        <f t="shared" si="565"/>
        <v>0</v>
      </c>
      <c r="F532" s="42">
        <f t="shared" si="566"/>
        <v>-3.3333333333333333E-2</v>
      </c>
      <c r="G532" s="42">
        <f t="shared" si="567"/>
        <v>-0.23333333333333334</v>
      </c>
      <c r="H532" s="42">
        <f t="shared" si="568"/>
        <v>-0.36666666666666664</v>
      </c>
      <c r="I532" s="42">
        <f t="shared" si="569"/>
        <v>-0.43333333333333335</v>
      </c>
      <c r="J532" s="42">
        <f t="shared" si="570"/>
        <v>-0.56666666666666665</v>
      </c>
      <c r="K532" s="42">
        <f t="shared" si="571"/>
        <v>-0.6333333333333333</v>
      </c>
      <c r="L532" s="42">
        <f t="shared" si="572"/>
        <v>-0.76666666666666672</v>
      </c>
      <c r="M532" s="42">
        <f t="shared" si="573"/>
        <v>-0.96666666666666667</v>
      </c>
      <c r="O532" s="43" t="str">
        <f t="shared" si="563"/>
        <v/>
      </c>
    </row>
    <row r="533" spans="1:15" x14ac:dyDescent="0.45">
      <c r="D533" s="27">
        <f t="shared" si="564"/>
        <v>0</v>
      </c>
      <c r="E533" s="28">
        <f t="shared" si="565"/>
        <v>0</v>
      </c>
      <c r="F533" s="42">
        <f t="shared" si="566"/>
        <v>-3.3333333333333333E-2</v>
      </c>
      <c r="G533" s="42">
        <f t="shared" si="567"/>
        <v>-0.23333333333333334</v>
      </c>
      <c r="H533" s="42">
        <f t="shared" si="568"/>
        <v>-0.36666666666666664</v>
      </c>
      <c r="I533" s="42">
        <f t="shared" si="569"/>
        <v>-0.43333333333333335</v>
      </c>
      <c r="J533" s="42">
        <f t="shared" si="570"/>
        <v>-0.56666666666666665</v>
      </c>
      <c r="K533" s="42">
        <f t="shared" si="571"/>
        <v>-0.6333333333333333</v>
      </c>
      <c r="L533" s="42">
        <f t="shared" si="572"/>
        <v>-0.76666666666666672</v>
      </c>
      <c r="M533" s="42">
        <f t="shared" si="573"/>
        <v>-0.96666666666666667</v>
      </c>
      <c r="O533" s="43" t="str">
        <f t="shared" si="563"/>
        <v/>
      </c>
    </row>
    <row r="534" spans="1:15" x14ac:dyDescent="0.45">
      <c r="D534" s="27">
        <f t="shared" si="564"/>
        <v>0</v>
      </c>
      <c r="E534" s="28">
        <f t="shared" si="565"/>
        <v>0</v>
      </c>
      <c r="F534" s="42">
        <f t="shared" si="566"/>
        <v>-3.3333333333333333E-2</v>
      </c>
      <c r="G534" s="42">
        <f t="shared" si="567"/>
        <v>-0.23333333333333334</v>
      </c>
      <c r="H534" s="42">
        <f t="shared" si="568"/>
        <v>-0.36666666666666664</v>
      </c>
      <c r="I534" s="42">
        <f t="shared" si="569"/>
        <v>-0.43333333333333335</v>
      </c>
      <c r="J534" s="42">
        <f t="shared" si="570"/>
        <v>-0.56666666666666665</v>
      </c>
      <c r="K534" s="42">
        <f t="shared" si="571"/>
        <v>-0.6333333333333333</v>
      </c>
      <c r="L534" s="42">
        <f t="shared" si="572"/>
        <v>-0.76666666666666672</v>
      </c>
      <c r="M534" s="42">
        <f t="shared" si="573"/>
        <v>-0.96666666666666667</v>
      </c>
      <c r="O534" s="43" t="str">
        <f t="shared" si="563"/>
        <v/>
      </c>
    </row>
    <row r="535" spans="1:15" ht="19.2" thickBot="1" x14ac:dyDescent="0.5">
      <c r="F535" s="42"/>
      <c r="G535" s="42"/>
      <c r="H535" s="42"/>
      <c r="I535" s="42"/>
      <c r="J535" s="42"/>
      <c r="K535" s="42"/>
      <c r="L535" s="42"/>
      <c r="M535" s="42"/>
    </row>
    <row r="536" spans="1:15" ht="19.2" thickBot="1" x14ac:dyDescent="0.5">
      <c r="C536" s="44"/>
      <c r="E536" s="34">
        <f>E517</f>
        <v>0</v>
      </c>
      <c r="F536" s="45">
        <v>1</v>
      </c>
      <c r="G536" s="46">
        <v>7</v>
      </c>
      <c r="H536" s="46">
        <v>11</v>
      </c>
      <c r="I536" s="46">
        <v>13</v>
      </c>
      <c r="J536" s="46">
        <v>17</v>
      </c>
      <c r="K536" s="46">
        <v>19</v>
      </c>
      <c r="L536" s="46">
        <v>23</v>
      </c>
      <c r="M536" s="47">
        <v>29</v>
      </c>
      <c r="O536" s="27" t="s">
        <v>2</v>
      </c>
    </row>
    <row r="537" spans="1:15" x14ac:dyDescent="0.45">
      <c r="A537" s="29">
        <f>A527+1</f>
        <v>53</v>
      </c>
      <c r="D537" s="27">
        <f>C527</f>
        <v>0</v>
      </c>
      <c r="E537" s="28">
        <f>D537*$E$6</f>
        <v>0</v>
      </c>
      <c r="F537" s="42">
        <f>(E537-1)/30</f>
        <v>-3.3333333333333333E-2</v>
      </c>
      <c r="G537" s="42">
        <f>($E537-7)/30</f>
        <v>-0.23333333333333334</v>
      </c>
      <c r="H537" s="42">
        <f>($E537-11)/30</f>
        <v>-0.36666666666666664</v>
      </c>
      <c r="I537" s="42">
        <f>($E537-13)/30</f>
        <v>-0.43333333333333335</v>
      </c>
      <c r="J537" s="42">
        <f>($E537-17)/30</f>
        <v>-0.56666666666666665</v>
      </c>
      <c r="K537" s="42">
        <f>($E537-19)/30</f>
        <v>-0.6333333333333333</v>
      </c>
      <c r="L537" s="42">
        <f>($E537-23)/30</f>
        <v>-0.76666666666666672</v>
      </c>
      <c r="M537" s="42">
        <f>($E537-29)/30</f>
        <v>-0.96666666666666667</v>
      </c>
      <c r="O537" s="43" t="str">
        <f t="shared" ref="O537:O544" si="574">FactorNumber(E537)</f>
        <v/>
      </c>
    </row>
    <row r="538" spans="1:15" x14ac:dyDescent="0.45">
      <c r="D538" s="27">
        <f t="shared" ref="D538:D544" si="575">C528</f>
        <v>0</v>
      </c>
      <c r="E538" s="28">
        <f t="shared" ref="E538:E544" si="576">D538*$E$6</f>
        <v>0</v>
      </c>
      <c r="F538" s="42">
        <f t="shared" ref="F538:F544" si="577">(E538-1)/30</f>
        <v>-3.3333333333333333E-2</v>
      </c>
      <c r="G538" s="42">
        <f t="shared" ref="G538:G544" si="578">($E538-7)/30</f>
        <v>-0.23333333333333334</v>
      </c>
      <c r="H538" s="42">
        <f t="shared" ref="H538:H544" si="579">($E538-11)/30</f>
        <v>-0.36666666666666664</v>
      </c>
      <c r="I538" s="42">
        <f t="shared" ref="I538:I544" si="580">($E538-13)/30</f>
        <v>-0.43333333333333335</v>
      </c>
      <c r="J538" s="42">
        <f t="shared" ref="J538:J544" si="581">($E538-17)/30</f>
        <v>-0.56666666666666665</v>
      </c>
      <c r="K538" s="42">
        <f t="shared" ref="K538:K544" si="582">($E538-19)/30</f>
        <v>-0.6333333333333333</v>
      </c>
      <c r="L538" s="42">
        <f t="shared" ref="L538:L544" si="583">($E538-23)/30</f>
        <v>-0.76666666666666672</v>
      </c>
      <c r="M538" s="42">
        <f t="shared" ref="M538:M544" si="584">($E538-29)/30</f>
        <v>-0.96666666666666667</v>
      </c>
      <c r="O538" s="43" t="str">
        <f t="shared" si="574"/>
        <v/>
      </c>
    </row>
    <row r="539" spans="1:15" x14ac:dyDescent="0.45">
      <c r="D539" s="27">
        <f t="shared" si="575"/>
        <v>0</v>
      </c>
      <c r="E539" s="28">
        <f t="shared" si="576"/>
        <v>0</v>
      </c>
      <c r="F539" s="42">
        <f t="shared" si="577"/>
        <v>-3.3333333333333333E-2</v>
      </c>
      <c r="G539" s="42">
        <f t="shared" si="578"/>
        <v>-0.23333333333333334</v>
      </c>
      <c r="H539" s="42">
        <f t="shared" si="579"/>
        <v>-0.36666666666666664</v>
      </c>
      <c r="I539" s="42">
        <f t="shared" si="580"/>
        <v>-0.43333333333333335</v>
      </c>
      <c r="J539" s="42">
        <f t="shared" si="581"/>
        <v>-0.56666666666666665</v>
      </c>
      <c r="K539" s="42">
        <f t="shared" si="582"/>
        <v>-0.6333333333333333</v>
      </c>
      <c r="L539" s="42">
        <f t="shared" si="583"/>
        <v>-0.76666666666666672</v>
      </c>
      <c r="M539" s="42">
        <f t="shared" si="584"/>
        <v>-0.96666666666666667</v>
      </c>
      <c r="O539" s="43" t="str">
        <f t="shared" si="574"/>
        <v/>
      </c>
    </row>
    <row r="540" spans="1:15" x14ac:dyDescent="0.45">
      <c r="D540" s="27">
        <f t="shared" si="575"/>
        <v>0</v>
      </c>
      <c r="E540" s="28">
        <f t="shared" si="576"/>
        <v>0</v>
      </c>
      <c r="F540" s="42">
        <f t="shared" si="577"/>
        <v>-3.3333333333333333E-2</v>
      </c>
      <c r="G540" s="42">
        <f t="shared" si="578"/>
        <v>-0.23333333333333334</v>
      </c>
      <c r="H540" s="42">
        <f t="shared" si="579"/>
        <v>-0.36666666666666664</v>
      </c>
      <c r="I540" s="42">
        <f t="shared" si="580"/>
        <v>-0.43333333333333335</v>
      </c>
      <c r="J540" s="42">
        <f t="shared" si="581"/>
        <v>-0.56666666666666665</v>
      </c>
      <c r="K540" s="42">
        <f t="shared" si="582"/>
        <v>-0.6333333333333333</v>
      </c>
      <c r="L540" s="42">
        <f t="shared" si="583"/>
        <v>-0.76666666666666672</v>
      </c>
      <c r="M540" s="42">
        <f t="shared" si="584"/>
        <v>-0.96666666666666667</v>
      </c>
      <c r="O540" s="43" t="str">
        <f t="shared" si="574"/>
        <v/>
      </c>
    </row>
    <row r="541" spans="1:15" x14ac:dyDescent="0.45">
      <c r="D541" s="27">
        <f t="shared" si="575"/>
        <v>0</v>
      </c>
      <c r="E541" s="28">
        <f t="shared" si="576"/>
        <v>0</v>
      </c>
      <c r="F541" s="42">
        <f t="shared" si="577"/>
        <v>-3.3333333333333333E-2</v>
      </c>
      <c r="G541" s="42">
        <f t="shared" si="578"/>
        <v>-0.23333333333333334</v>
      </c>
      <c r="H541" s="42">
        <f t="shared" si="579"/>
        <v>-0.36666666666666664</v>
      </c>
      <c r="I541" s="42">
        <f t="shared" si="580"/>
        <v>-0.43333333333333335</v>
      </c>
      <c r="J541" s="42">
        <f t="shared" si="581"/>
        <v>-0.56666666666666665</v>
      </c>
      <c r="K541" s="42">
        <f t="shared" si="582"/>
        <v>-0.6333333333333333</v>
      </c>
      <c r="L541" s="42">
        <f t="shared" si="583"/>
        <v>-0.76666666666666672</v>
      </c>
      <c r="M541" s="42">
        <f t="shared" si="584"/>
        <v>-0.96666666666666667</v>
      </c>
      <c r="O541" s="43" t="str">
        <f t="shared" si="574"/>
        <v/>
      </c>
    </row>
    <row r="542" spans="1:15" x14ac:dyDescent="0.45">
      <c r="D542" s="27">
        <f t="shared" si="575"/>
        <v>0</v>
      </c>
      <c r="E542" s="28">
        <f t="shared" si="576"/>
        <v>0</v>
      </c>
      <c r="F542" s="42">
        <f t="shared" si="577"/>
        <v>-3.3333333333333333E-2</v>
      </c>
      <c r="G542" s="42">
        <f t="shared" si="578"/>
        <v>-0.23333333333333334</v>
      </c>
      <c r="H542" s="42">
        <f t="shared" si="579"/>
        <v>-0.36666666666666664</v>
      </c>
      <c r="I542" s="42">
        <f t="shared" si="580"/>
        <v>-0.43333333333333335</v>
      </c>
      <c r="J542" s="42">
        <f t="shared" si="581"/>
        <v>-0.56666666666666665</v>
      </c>
      <c r="K542" s="42">
        <f t="shared" si="582"/>
        <v>-0.6333333333333333</v>
      </c>
      <c r="L542" s="42">
        <f t="shared" si="583"/>
        <v>-0.76666666666666672</v>
      </c>
      <c r="M542" s="42">
        <f t="shared" si="584"/>
        <v>-0.96666666666666667</v>
      </c>
      <c r="O542" s="43" t="str">
        <f t="shared" si="574"/>
        <v/>
      </c>
    </row>
    <row r="543" spans="1:15" x14ac:dyDescent="0.45">
      <c r="D543" s="27">
        <f t="shared" si="575"/>
        <v>0</v>
      </c>
      <c r="E543" s="28">
        <f t="shared" si="576"/>
        <v>0</v>
      </c>
      <c r="F543" s="42">
        <f t="shared" si="577"/>
        <v>-3.3333333333333333E-2</v>
      </c>
      <c r="G543" s="42">
        <f t="shared" si="578"/>
        <v>-0.23333333333333334</v>
      </c>
      <c r="H543" s="42">
        <f t="shared" si="579"/>
        <v>-0.36666666666666664</v>
      </c>
      <c r="I543" s="42">
        <f t="shared" si="580"/>
        <v>-0.43333333333333335</v>
      </c>
      <c r="J543" s="42">
        <f t="shared" si="581"/>
        <v>-0.56666666666666665</v>
      </c>
      <c r="K543" s="42">
        <f t="shared" si="582"/>
        <v>-0.6333333333333333</v>
      </c>
      <c r="L543" s="42">
        <f t="shared" si="583"/>
        <v>-0.76666666666666672</v>
      </c>
      <c r="M543" s="42">
        <f t="shared" si="584"/>
        <v>-0.96666666666666667</v>
      </c>
      <c r="O543" s="43" t="str">
        <f t="shared" si="574"/>
        <v/>
      </c>
    </row>
    <row r="544" spans="1:15" x14ac:dyDescent="0.45">
      <c r="D544" s="27">
        <f t="shared" si="575"/>
        <v>0</v>
      </c>
      <c r="E544" s="28">
        <f t="shared" si="576"/>
        <v>0</v>
      </c>
      <c r="F544" s="42">
        <f t="shared" si="577"/>
        <v>-3.3333333333333333E-2</v>
      </c>
      <c r="G544" s="42">
        <f t="shared" si="578"/>
        <v>-0.23333333333333334</v>
      </c>
      <c r="H544" s="42">
        <f t="shared" si="579"/>
        <v>-0.36666666666666664</v>
      </c>
      <c r="I544" s="42">
        <f t="shared" si="580"/>
        <v>-0.43333333333333335</v>
      </c>
      <c r="J544" s="42">
        <f t="shared" si="581"/>
        <v>-0.56666666666666665</v>
      </c>
      <c r="K544" s="42">
        <f t="shared" si="582"/>
        <v>-0.6333333333333333</v>
      </c>
      <c r="L544" s="42">
        <f t="shared" si="583"/>
        <v>-0.76666666666666672</v>
      </c>
      <c r="M544" s="42">
        <f t="shared" si="584"/>
        <v>-0.96666666666666667</v>
      </c>
      <c r="O544" s="43" t="str">
        <f t="shared" si="574"/>
        <v/>
      </c>
    </row>
    <row r="545" spans="1:15" ht="19.2" thickBot="1" x14ac:dyDescent="0.5">
      <c r="F545" s="42"/>
      <c r="G545" s="42"/>
      <c r="H545" s="42"/>
      <c r="I545" s="42"/>
      <c r="J545" s="42"/>
      <c r="K545" s="42"/>
      <c r="L545" s="42"/>
      <c r="M545" s="42"/>
    </row>
    <row r="546" spans="1:15" ht="19.2" thickBot="1" x14ac:dyDescent="0.5">
      <c r="C546" s="44"/>
      <c r="E546" s="34">
        <f>E527</f>
        <v>0</v>
      </c>
      <c r="F546" s="45">
        <v>1</v>
      </c>
      <c r="G546" s="46">
        <v>7</v>
      </c>
      <c r="H546" s="46">
        <v>11</v>
      </c>
      <c r="I546" s="46">
        <v>13</v>
      </c>
      <c r="J546" s="46">
        <v>17</v>
      </c>
      <c r="K546" s="46">
        <v>19</v>
      </c>
      <c r="L546" s="46">
        <v>23</v>
      </c>
      <c r="M546" s="47">
        <v>29</v>
      </c>
      <c r="O546" s="27" t="s">
        <v>2</v>
      </c>
    </row>
    <row r="547" spans="1:15" x14ac:dyDescent="0.45">
      <c r="A547" s="29">
        <f>A537+1</f>
        <v>54</v>
      </c>
      <c r="D547" s="27">
        <f>C537</f>
        <v>0</v>
      </c>
      <c r="E547" s="28">
        <f>D547*$E$6</f>
        <v>0</v>
      </c>
      <c r="F547" s="42">
        <f>(E547-1)/30</f>
        <v>-3.3333333333333333E-2</v>
      </c>
      <c r="G547" s="42">
        <f>($E547-7)/30</f>
        <v>-0.23333333333333334</v>
      </c>
      <c r="H547" s="42">
        <f>($E547-11)/30</f>
        <v>-0.36666666666666664</v>
      </c>
      <c r="I547" s="42">
        <f>($E547-13)/30</f>
        <v>-0.43333333333333335</v>
      </c>
      <c r="J547" s="42">
        <f>($E547-17)/30</f>
        <v>-0.56666666666666665</v>
      </c>
      <c r="K547" s="42">
        <f>($E547-19)/30</f>
        <v>-0.6333333333333333</v>
      </c>
      <c r="L547" s="42">
        <f>($E547-23)/30</f>
        <v>-0.76666666666666672</v>
      </c>
      <c r="M547" s="42">
        <f>($E547-29)/30</f>
        <v>-0.96666666666666667</v>
      </c>
      <c r="O547" s="43" t="str">
        <f t="shared" ref="O547:O554" si="585">FactorNumber(E547)</f>
        <v/>
      </c>
    </row>
    <row r="548" spans="1:15" x14ac:dyDescent="0.45">
      <c r="D548" s="27">
        <f t="shared" ref="D548:D554" si="586">C538</f>
        <v>0</v>
      </c>
      <c r="E548" s="28">
        <f t="shared" ref="E548:E554" si="587">D548*$E$6</f>
        <v>0</v>
      </c>
      <c r="F548" s="42">
        <f t="shared" ref="F548:F554" si="588">(E548-1)/30</f>
        <v>-3.3333333333333333E-2</v>
      </c>
      <c r="G548" s="42">
        <f t="shared" ref="G548:G554" si="589">($E548-7)/30</f>
        <v>-0.23333333333333334</v>
      </c>
      <c r="H548" s="42">
        <f t="shared" ref="H548:H554" si="590">($E548-11)/30</f>
        <v>-0.36666666666666664</v>
      </c>
      <c r="I548" s="42">
        <f t="shared" ref="I548:I554" si="591">($E548-13)/30</f>
        <v>-0.43333333333333335</v>
      </c>
      <c r="J548" s="42">
        <f t="shared" ref="J548:J554" si="592">($E548-17)/30</f>
        <v>-0.56666666666666665</v>
      </c>
      <c r="K548" s="42">
        <f t="shared" ref="K548:K554" si="593">($E548-19)/30</f>
        <v>-0.6333333333333333</v>
      </c>
      <c r="L548" s="42">
        <f t="shared" ref="L548:L554" si="594">($E548-23)/30</f>
        <v>-0.76666666666666672</v>
      </c>
      <c r="M548" s="42">
        <f t="shared" ref="M548:M554" si="595">($E548-29)/30</f>
        <v>-0.96666666666666667</v>
      </c>
      <c r="O548" s="43" t="str">
        <f t="shared" si="585"/>
        <v/>
      </c>
    </row>
    <row r="549" spans="1:15" x14ac:dyDescent="0.45">
      <c r="D549" s="27">
        <f t="shared" si="586"/>
        <v>0</v>
      </c>
      <c r="E549" s="28">
        <f t="shared" si="587"/>
        <v>0</v>
      </c>
      <c r="F549" s="42">
        <f t="shared" si="588"/>
        <v>-3.3333333333333333E-2</v>
      </c>
      <c r="G549" s="42">
        <f t="shared" si="589"/>
        <v>-0.23333333333333334</v>
      </c>
      <c r="H549" s="42">
        <f t="shared" si="590"/>
        <v>-0.36666666666666664</v>
      </c>
      <c r="I549" s="42">
        <f t="shared" si="591"/>
        <v>-0.43333333333333335</v>
      </c>
      <c r="J549" s="42">
        <f t="shared" si="592"/>
        <v>-0.56666666666666665</v>
      </c>
      <c r="K549" s="42">
        <f t="shared" si="593"/>
        <v>-0.6333333333333333</v>
      </c>
      <c r="L549" s="42">
        <f t="shared" si="594"/>
        <v>-0.76666666666666672</v>
      </c>
      <c r="M549" s="42">
        <f t="shared" si="595"/>
        <v>-0.96666666666666667</v>
      </c>
      <c r="O549" s="43" t="str">
        <f t="shared" si="585"/>
        <v/>
      </c>
    </row>
    <row r="550" spans="1:15" x14ac:dyDescent="0.45">
      <c r="D550" s="27">
        <f t="shared" si="586"/>
        <v>0</v>
      </c>
      <c r="E550" s="28">
        <f t="shared" si="587"/>
        <v>0</v>
      </c>
      <c r="F550" s="42">
        <f t="shared" si="588"/>
        <v>-3.3333333333333333E-2</v>
      </c>
      <c r="G550" s="42">
        <f t="shared" si="589"/>
        <v>-0.23333333333333334</v>
      </c>
      <c r="H550" s="42">
        <f t="shared" si="590"/>
        <v>-0.36666666666666664</v>
      </c>
      <c r="I550" s="42">
        <f t="shared" si="591"/>
        <v>-0.43333333333333335</v>
      </c>
      <c r="J550" s="42">
        <f t="shared" si="592"/>
        <v>-0.56666666666666665</v>
      </c>
      <c r="K550" s="42">
        <f t="shared" si="593"/>
        <v>-0.6333333333333333</v>
      </c>
      <c r="L550" s="42">
        <f t="shared" si="594"/>
        <v>-0.76666666666666672</v>
      </c>
      <c r="M550" s="42">
        <f t="shared" si="595"/>
        <v>-0.96666666666666667</v>
      </c>
      <c r="O550" s="43" t="str">
        <f t="shared" si="585"/>
        <v/>
      </c>
    </row>
    <row r="551" spans="1:15" x14ac:dyDescent="0.45">
      <c r="D551" s="27">
        <f t="shared" si="586"/>
        <v>0</v>
      </c>
      <c r="E551" s="28">
        <f t="shared" si="587"/>
        <v>0</v>
      </c>
      <c r="F551" s="42">
        <f t="shared" si="588"/>
        <v>-3.3333333333333333E-2</v>
      </c>
      <c r="G551" s="42">
        <f t="shared" si="589"/>
        <v>-0.23333333333333334</v>
      </c>
      <c r="H551" s="42">
        <f t="shared" si="590"/>
        <v>-0.36666666666666664</v>
      </c>
      <c r="I551" s="42">
        <f t="shared" si="591"/>
        <v>-0.43333333333333335</v>
      </c>
      <c r="J551" s="42">
        <f t="shared" si="592"/>
        <v>-0.56666666666666665</v>
      </c>
      <c r="K551" s="42">
        <f t="shared" si="593"/>
        <v>-0.6333333333333333</v>
      </c>
      <c r="L551" s="42">
        <f t="shared" si="594"/>
        <v>-0.76666666666666672</v>
      </c>
      <c r="M551" s="42">
        <f t="shared" si="595"/>
        <v>-0.96666666666666667</v>
      </c>
      <c r="O551" s="43" t="str">
        <f t="shared" si="585"/>
        <v/>
      </c>
    </row>
    <row r="552" spans="1:15" x14ac:dyDescent="0.45">
      <c r="D552" s="27">
        <f t="shared" si="586"/>
        <v>0</v>
      </c>
      <c r="E552" s="28">
        <f t="shared" si="587"/>
        <v>0</v>
      </c>
      <c r="F552" s="42">
        <f t="shared" si="588"/>
        <v>-3.3333333333333333E-2</v>
      </c>
      <c r="G552" s="42">
        <f t="shared" si="589"/>
        <v>-0.23333333333333334</v>
      </c>
      <c r="H552" s="42">
        <f t="shared" si="590"/>
        <v>-0.36666666666666664</v>
      </c>
      <c r="I552" s="42">
        <f t="shared" si="591"/>
        <v>-0.43333333333333335</v>
      </c>
      <c r="J552" s="42">
        <f t="shared" si="592"/>
        <v>-0.56666666666666665</v>
      </c>
      <c r="K552" s="42">
        <f t="shared" si="593"/>
        <v>-0.6333333333333333</v>
      </c>
      <c r="L552" s="42">
        <f t="shared" si="594"/>
        <v>-0.76666666666666672</v>
      </c>
      <c r="M552" s="42">
        <f t="shared" si="595"/>
        <v>-0.96666666666666667</v>
      </c>
      <c r="O552" s="43" t="str">
        <f t="shared" si="585"/>
        <v/>
      </c>
    </row>
    <row r="553" spans="1:15" x14ac:dyDescent="0.45">
      <c r="D553" s="27">
        <f t="shared" si="586"/>
        <v>0</v>
      </c>
      <c r="E553" s="28">
        <f t="shared" si="587"/>
        <v>0</v>
      </c>
      <c r="F553" s="42">
        <f t="shared" si="588"/>
        <v>-3.3333333333333333E-2</v>
      </c>
      <c r="G553" s="42">
        <f t="shared" si="589"/>
        <v>-0.23333333333333334</v>
      </c>
      <c r="H553" s="42">
        <f t="shared" si="590"/>
        <v>-0.36666666666666664</v>
      </c>
      <c r="I553" s="42">
        <f t="shared" si="591"/>
        <v>-0.43333333333333335</v>
      </c>
      <c r="J553" s="42">
        <f t="shared" si="592"/>
        <v>-0.56666666666666665</v>
      </c>
      <c r="K553" s="42">
        <f t="shared" si="593"/>
        <v>-0.6333333333333333</v>
      </c>
      <c r="L553" s="42">
        <f t="shared" si="594"/>
        <v>-0.76666666666666672</v>
      </c>
      <c r="M553" s="42">
        <f t="shared" si="595"/>
        <v>-0.96666666666666667</v>
      </c>
      <c r="O553" s="43" t="str">
        <f t="shared" si="585"/>
        <v/>
      </c>
    </row>
    <row r="554" spans="1:15" x14ac:dyDescent="0.45">
      <c r="D554" s="27">
        <f t="shared" si="586"/>
        <v>0</v>
      </c>
      <c r="E554" s="28">
        <f t="shared" si="587"/>
        <v>0</v>
      </c>
      <c r="F554" s="42">
        <f t="shared" si="588"/>
        <v>-3.3333333333333333E-2</v>
      </c>
      <c r="G554" s="42">
        <f t="shared" si="589"/>
        <v>-0.23333333333333334</v>
      </c>
      <c r="H554" s="42">
        <f t="shared" si="590"/>
        <v>-0.36666666666666664</v>
      </c>
      <c r="I554" s="42">
        <f t="shared" si="591"/>
        <v>-0.43333333333333335</v>
      </c>
      <c r="J554" s="42">
        <f t="shared" si="592"/>
        <v>-0.56666666666666665</v>
      </c>
      <c r="K554" s="42">
        <f t="shared" si="593"/>
        <v>-0.6333333333333333</v>
      </c>
      <c r="L554" s="42">
        <f t="shared" si="594"/>
        <v>-0.76666666666666672</v>
      </c>
      <c r="M554" s="42">
        <f t="shared" si="595"/>
        <v>-0.96666666666666667</v>
      </c>
      <c r="O554" s="43" t="str">
        <f t="shared" si="585"/>
        <v/>
      </c>
    </row>
    <row r="555" spans="1:15" ht="19.2" thickBot="1" x14ac:dyDescent="0.5">
      <c r="F555" s="42"/>
      <c r="G555" s="42"/>
      <c r="H555" s="42"/>
      <c r="I555" s="42"/>
      <c r="J555" s="42"/>
      <c r="K555" s="42"/>
      <c r="L555" s="42"/>
      <c r="M555" s="42"/>
    </row>
    <row r="556" spans="1:15" ht="19.2" thickBot="1" x14ac:dyDescent="0.5">
      <c r="C556" s="44"/>
      <c r="E556" s="34">
        <f>E537</f>
        <v>0</v>
      </c>
      <c r="F556" s="45">
        <v>1</v>
      </c>
      <c r="G556" s="46">
        <v>7</v>
      </c>
      <c r="H556" s="46">
        <v>11</v>
      </c>
      <c r="I556" s="46">
        <v>13</v>
      </c>
      <c r="J556" s="46">
        <v>17</v>
      </c>
      <c r="K556" s="46">
        <v>19</v>
      </c>
      <c r="L556" s="46">
        <v>23</v>
      </c>
      <c r="M556" s="47">
        <v>29</v>
      </c>
      <c r="O556" s="27" t="s">
        <v>2</v>
      </c>
    </row>
    <row r="557" spans="1:15" x14ac:dyDescent="0.45">
      <c r="A557" s="29">
        <f>A547+1</f>
        <v>55</v>
      </c>
      <c r="D557" s="27">
        <f>C547</f>
        <v>0</v>
      </c>
      <c r="E557" s="28">
        <f>D557*$E$6</f>
        <v>0</v>
      </c>
      <c r="F557" s="42">
        <f>(E557-1)/30</f>
        <v>-3.3333333333333333E-2</v>
      </c>
      <c r="G557" s="42">
        <f>($E557-7)/30</f>
        <v>-0.23333333333333334</v>
      </c>
      <c r="H557" s="42">
        <f>($E557-11)/30</f>
        <v>-0.36666666666666664</v>
      </c>
      <c r="I557" s="42">
        <f>($E557-13)/30</f>
        <v>-0.43333333333333335</v>
      </c>
      <c r="J557" s="42">
        <f>($E557-17)/30</f>
        <v>-0.56666666666666665</v>
      </c>
      <c r="K557" s="42">
        <f>($E557-19)/30</f>
        <v>-0.6333333333333333</v>
      </c>
      <c r="L557" s="42">
        <f>($E557-23)/30</f>
        <v>-0.76666666666666672</v>
      </c>
      <c r="M557" s="42">
        <f>($E557-29)/30</f>
        <v>-0.96666666666666667</v>
      </c>
      <c r="O557" s="43" t="str">
        <f t="shared" ref="O557:O564" si="596">FactorNumber(E557)</f>
        <v/>
      </c>
    </row>
    <row r="558" spans="1:15" x14ac:dyDescent="0.45">
      <c r="D558" s="27">
        <f t="shared" ref="D558:D564" si="597">C548</f>
        <v>0</v>
      </c>
      <c r="E558" s="28">
        <f t="shared" ref="E558:E564" si="598">D558*$E$6</f>
        <v>0</v>
      </c>
      <c r="F558" s="42">
        <f t="shared" ref="F558:F564" si="599">(E558-1)/30</f>
        <v>-3.3333333333333333E-2</v>
      </c>
      <c r="G558" s="42">
        <f t="shared" ref="G558:G564" si="600">($E558-7)/30</f>
        <v>-0.23333333333333334</v>
      </c>
      <c r="H558" s="42">
        <f t="shared" ref="H558:H564" si="601">($E558-11)/30</f>
        <v>-0.36666666666666664</v>
      </c>
      <c r="I558" s="42">
        <f t="shared" ref="I558:I564" si="602">($E558-13)/30</f>
        <v>-0.43333333333333335</v>
      </c>
      <c r="J558" s="42">
        <f t="shared" ref="J558:J564" si="603">($E558-17)/30</f>
        <v>-0.56666666666666665</v>
      </c>
      <c r="K558" s="42">
        <f t="shared" ref="K558:K564" si="604">($E558-19)/30</f>
        <v>-0.6333333333333333</v>
      </c>
      <c r="L558" s="42">
        <f t="shared" ref="L558:L564" si="605">($E558-23)/30</f>
        <v>-0.76666666666666672</v>
      </c>
      <c r="M558" s="42">
        <f t="shared" ref="M558:M564" si="606">($E558-29)/30</f>
        <v>-0.96666666666666667</v>
      </c>
      <c r="O558" s="43" t="str">
        <f t="shared" si="596"/>
        <v/>
      </c>
    </row>
    <row r="559" spans="1:15" x14ac:dyDescent="0.45">
      <c r="D559" s="27">
        <f t="shared" si="597"/>
        <v>0</v>
      </c>
      <c r="E559" s="28">
        <f t="shared" si="598"/>
        <v>0</v>
      </c>
      <c r="F559" s="42">
        <f t="shared" si="599"/>
        <v>-3.3333333333333333E-2</v>
      </c>
      <c r="G559" s="42">
        <f t="shared" si="600"/>
        <v>-0.23333333333333334</v>
      </c>
      <c r="H559" s="42">
        <f t="shared" si="601"/>
        <v>-0.36666666666666664</v>
      </c>
      <c r="I559" s="42">
        <f t="shared" si="602"/>
        <v>-0.43333333333333335</v>
      </c>
      <c r="J559" s="42">
        <f t="shared" si="603"/>
        <v>-0.56666666666666665</v>
      </c>
      <c r="K559" s="42">
        <f t="shared" si="604"/>
        <v>-0.6333333333333333</v>
      </c>
      <c r="L559" s="42">
        <f t="shared" si="605"/>
        <v>-0.76666666666666672</v>
      </c>
      <c r="M559" s="42">
        <f t="shared" si="606"/>
        <v>-0.96666666666666667</v>
      </c>
      <c r="O559" s="43" t="str">
        <f t="shared" si="596"/>
        <v/>
      </c>
    </row>
    <row r="560" spans="1:15" x14ac:dyDescent="0.45">
      <c r="D560" s="27">
        <f t="shared" si="597"/>
        <v>0</v>
      </c>
      <c r="E560" s="28">
        <f t="shared" si="598"/>
        <v>0</v>
      </c>
      <c r="F560" s="42">
        <f t="shared" si="599"/>
        <v>-3.3333333333333333E-2</v>
      </c>
      <c r="G560" s="42">
        <f t="shared" si="600"/>
        <v>-0.23333333333333334</v>
      </c>
      <c r="H560" s="42">
        <f t="shared" si="601"/>
        <v>-0.36666666666666664</v>
      </c>
      <c r="I560" s="42">
        <f t="shared" si="602"/>
        <v>-0.43333333333333335</v>
      </c>
      <c r="J560" s="42">
        <f t="shared" si="603"/>
        <v>-0.56666666666666665</v>
      </c>
      <c r="K560" s="42">
        <f t="shared" si="604"/>
        <v>-0.6333333333333333</v>
      </c>
      <c r="L560" s="42">
        <f t="shared" si="605"/>
        <v>-0.76666666666666672</v>
      </c>
      <c r="M560" s="42">
        <f t="shared" si="606"/>
        <v>-0.96666666666666667</v>
      </c>
      <c r="O560" s="43" t="str">
        <f t="shared" si="596"/>
        <v/>
      </c>
    </row>
    <row r="561" spans="1:15" x14ac:dyDescent="0.45">
      <c r="D561" s="27">
        <f t="shared" si="597"/>
        <v>0</v>
      </c>
      <c r="E561" s="28">
        <f t="shared" si="598"/>
        <v>0</v>
      </c>
      <c r="F561" s="42">
        <f t="shared" si="599"/>
        <v>-3.3333333333333333E-2</v>
      </c>
      <c r="G561" s="42">
        <f t="shared" si="600"/>
        <v>-0.23333333333333334</v>
      </c>
      <c r="H561" s="42">
        <f t="shared" si="601"/>
        <v>-0.36666666666666664</v>
      </c>
      <c r="I561" s="42">
        <f t="shared" si="602"/>
        <v>-0.43333333333333335</v>
      </c>
      <c r="J561" s="42">
        <f t="shared" si="603"/>
        <v>-0.56666666666666665</v>
      </c>
      <c r="K561" s="42">
        <f t="shared" si="604"/>
        <v>-0.6333333333333333</v>
      </c>
      <c r="L561" s="42">
        <f t="shared" si="605"/>
        <v>-0.76666666666666672</v>
      </c>
      <c r="M561" s="42">
        <f t="shared" si="606"/>
        <v>-0.96666666666666667</v>
      </c>
      <c r="O561" s="43" t="str">
        <f t="shared" si="596"/>
        <v/>
      </c>
    </row>
    <row r="562" spans="1:15" x14ac:dyDescent="0.45">
      <c r="D562" s="27">
        <f t="shared" si="597"/>
        <v>0</v>
      </c>
      <c r="E562" s="28">
        <f t="shared" si="598"/>
        <v>0</v>
      </c>
      <c r="F562" s="42">
        <f t="shared" si="599"/>
        <v>-3.3333333333333333E-2</v>
      </c>
      <c r="G562" s="42">
        <f t="shared" si="600"/>
        <v>-0.23333333333333334</v>
      </c>
      <c r="H562" s="42">
        <f t="shared" si="601"/>
        <v>-0.36666666666666664</v>
      </c>
      <c r="I562" s="42">
        <f t="shared" si="602"/>
        <v>-0.43333333333333335</v>
      </c>
      <c r="J562" s="42">
        <f t="shared" si="603"/>
        <v>-0.56666666666666665</v>
      </c>
      <c r="K562" s="42">
        <f t="shared" si="604"/>
        <v>-0.6333333333333333</v>
      </c>
      <c r="L562" s="42">
        <f t="shared" si="605"/>
        <v>-0.76666666666666672</v>
      </c>
      <c r="M562" s="42">
        <f t="shared" si="606"/>
        <v>-0.96666666666666667</v>
      </c>
      <c r="O562" s="43" t="str">
        <f t="shared" si="596"/>
        <v/>
      </c>
    </row>
    <row r="563" spans="1:15" x14ac:dyDescent="0.45">
      <c r="D563" s="27">
        <f t="shared" si="597"/>
        <v>0</v>
      </c>
      <c r="E563" s="28">
        <f t="shared" si="598"/>
        <v>0</v>
      </c>
      <c r="F563" s="42">
        <f t="shared" si="599"/>
        <v>-3.3333333333333333E-2</v>
      </c>
      <c r="G563" s="42">
        <f t="shared" si="600"/>
        <v>-0.23333333333333334</v>
      </c>
      <c r="H563" s="42">
        <f t="shared" si="601"/>
        <v>-0.36666666666666664</v>
      </c>
      <c r="I563" s="42">
        <f t="shared" si="602"/>
        <v>-0.43333333333333335</v>
      </c>
      <c r="J563" s="42">
        <f t="shared" si="603"/>
        <v>-0.56666666666666665</v>
      </c>
      <c r="K563" s="42">
        <f t="shared" si="604"/>
        <v>-0.6333333333333333</v>
      </c>
      <c r="L563" s="42">
        <f t="shared" si="605"/>
        <v>-0.76666666666666672</v>
      </c>
      <c r="M563" s="42">
        <f t="shared" si="606"/>
        <v>-0.96666666666666667</v>
      </c>
      <c r="O563" s="43" t="str">
        <f t="shared" si="596"/>
        <v/>
      </c>
    </row>
    <row r="564" spans="1:15" x14ac:dyDescent="0.45">
      <c r="D564" s="27">
        <f t="shared" si="597"/>
        <v>0</v>
      </c>
      <c r="E564" s="28">
        <f t="shared" si="598"/>
        <v>0</v>
      </c>
      <c r="F564" s="42">
        <f t="shared" si="599"/>
        <v>-3.3333333333333333E-2</v>
      </c>
      <c r="G564" s="42">
        <f t="shared" si="600"/>
        <v>-0.23333333333333334</v>
      </c>
      <c r="H564" s="42">
        <f t="shared" si="601"/>
        <v>-0.36666666666666664</v>
      </c>
      <c r="I564" s="42">
        <f t="shared" si="602"/>
        <v>-0.43333333333333335</v>
      </c>
      <c r="J564" s="42">
        <f t="shared" si="603"/>
        <v>-0.56666666666666665</v>
      </c>
      <c r="K564" s="42">
        <f t="shared" si="604"/>
        <v>-0.6333333333333333</v>
      </c>
      <c r="L564" s="42">
        <f t="shared" si="605"/>
        <v>-0.76666666666666672</v>
      </c>
      <c r="M564" s="42">
        <f t="shared" si="606"/>
        <v>-0.96666666666666667</v>
      </c>
      <c r="O564" s="43" t="str">
        <f t="shared" si="596"/>
        <v/>
      </c>
    </row>
    <row r="565" spans="1:15" ht="19.2" thickBot="1" x14ac:dyDescent="0.5">
      <c r="F565" s="42"/>
      <c r="G565" s="42"/>
      <c r="H565" s="42"/>
      <c r="I565" s="42"/>
      <c r="J565" s="42"/>
      <c r="K565" s="42"/>
      <c r="L565" s="42"/>
      <c r="M565" s="42"/>
    </row>
    <row r="566" spans="1:15" ht="19.2" thickBot="1" x14ac:dyDescent="0.5">
      <c r="C566" s="44"/>
      <c r="E566" s="34">
        <f>E547</f>
        <v>0</v>
      </c>
      <c r="F566" s="45">
        <v>1</v>
      </c>
      <c r="G566" s="46">
        <v>7</v>
      </c>
      <c r="H566" s="46">
        <v>11</v>
      </c>
      <c r="I566" s="46">
        <v>13</v>
      </c>
      <c r="J566" s="46">
        <v>17</v>
      </c>
      <c r="K566" s="46">
        <v>19</v>
      </c>
      <c r="L566" s="46">
        <v>23</v>
      </c>
      <c r="M566" s="47">
        <v>29</v>
      </c>
      <c r="O566" s="27" t="s">
        <v>2</v>
      </c>
    </row>
    <row r="567" spans="1:15" x14ac:dyDescent="0.45">
      <c r="A567" s="29">
        <f>A557+1</f>
        <v>56</v>
      </c>
      <c r="D567" s="27">
        <f>C557</f>
        <v>0</v>
      </c>
      <c r="E567" s="28">
        <f>D567*$E$6</f>
        <v>0</v>
      </c>
      <c r="F567" s="42">
        <f>(E567-1)/30</f>
        <v>-3.3333333333333333E-2</v>
      </c>
      <c r="G567" s="42">
        <f>($E567-7)/30</f>
        <v>-0.23333333333333334</v>
      </c>
      <c r="H567" s="42">
        <f>($E567-11)/30</f>
        <v>-0.36666666666666664</v>
      </c>
      <c r="I567" s="42">
        <f>($E567-13)/30</f>
        <v>-0.43333333333333335</v>
      </c>
      <c r="J567" s="42">
        <f>($E567-17)/30</f>
        <v>-0.56666666666666665</v>
      </c>
      <c r="K567" s="42">
        <f>($E567-19)/30</f>
        <v>-0.6333333333333333</v>
      </c>
      <c r="L567" s="42">
        <f>($E567-23)/30</f>
        <v>-0.76666666666666672</v>
      </c>
      <c r="M567" s="42">
        <f>($E567-29)/30</f>
        <v>-0.96666666666666667</v>
      </c>
      <c r="O567" s="43" t="str">
        <f t="shared" ref="O567:O574" si="607">FactorNumber(E567)</f>
        <v/>
      </c>
    </row>
    <row r="568" spans="1:15" x14ac:dyDescent="0.45">
      <c r="D568" s="27">
        <f t="shared" ref="D568:D574" si="608">C558</f>
        <v>0</v>
      </c>
      <c r="E568" s="28">
        <f t="shared" ref="E568:E574" si="609">D568*$E$6</f>
        <v>0</v>
      </c>
      <c r="F568" s="42">
        <f t="shared" ref="F568:F574" si="610">(E568-1)/30</f>
        <v>-3.3333333333333333E-2</v>
      </c>
      <c r="G568" s="42">
        <f t="shared" ref="G568:G574" si="611">($E568-7)/30</f>
        <v>-0.23333333333333334</v>
      </c>
      <c r="H568" s="42">
        <f t="shared" ref="H568:H574" si="612">($E568-11)/30</f>
        <v>-0.36666666666666664</v>
      </c>
      <c r="I568" s="42">
        <f t="shared" ref="I568:I574" si="613">($E568-13)/30</f>
        <v>-0.43333333333333335</v>
      </c>
      <c r="J568" s="42">
        <f t="shared" ref="J568:J574" si="614">($E568-17)/30</f>
        <v>-0.56666666666666665</v>
      </c>
      <c r="K568" s="42">
        <f t="shared" ref="K568:K574" si="615">($E568-19)/30</f>
        <v>-0.6333333333333333</v>
      </c>
      <c r="L568" s="42">
        <f t="shared" ref="L568:L574" si="616">($E568-23)/30</f>
        <v>-0.76666666666666672</v>
      </c>
      <c r="M568" s="42">
        <f t="shared" ref="M568:M574" si="617">($E568-29)/30</f>
        <v>-0.96666666666666667</v>
      </c>
      <c r="O568" s="43" t="str">
        <f t="shared" si="607"/>
        <v/>
      </c>
    </row>
    <row r="569" spans="1:15" x14ac:dyDescent="0.45">
      <c r="D569" s="27">
        <f t="shared" si="608"/>
        <v>0</v>
      </c>
      <c r="E569" s="28">
        <f t="shared" si="609"/>
        <v>0</v>
      </c>
      <c r="F569" s="42">
        <f t="shared" si="610"/>
        <v>-3.3333333333333333E-2</v>
      </c>
      <c r="G569" s="42">
        <f t="shared" si="611"/>
        <v>-0.23333333333333334</v>
      </c>
      <c r="H569" s="42">
        <f t="shared" si="612"/>
        <v>-0.36666666666666664</v>
      </c>
      <c r="I569" s="42">
        <f t="shared" si="613"/>
        <v>-0.43333333333333335</v>
      </c>
      <c r="J569" s="42">
        <f t="shared" si="614"/>
        <v>-0.56666666666666665</v>
      </c>
      <c r="K569" s="42">
        <f t="shared" si="615"/>
        <v>-0.6333333333333333</v>
      </c>
      <c r="L569" s="42">
        <f t="shared" si="616"/>
        <v>-0.76666666666666672</v>
      </c>
      <c r="M569" s="42">
        <f t="shared" si="617"/>
        <v>-0.96666666666666667</v>
      </c>
      <c r="O569" s="43" t="str">
        <f t="shared" si="607"/>
        <v/>
      </c>
    </row>
    <row r="570" spans="1:15" x14ac:dyDescent="0.45">
      <c r="D570" s="27">
        <f t="shared" si="608"/>
        <v>0</v>
      </c>
      <c r="E570" s="28">
        <f t="shared" si="609"/>
        <v>0</v>
      </c>
      <c r="F570" s="42">
        <f t="shared" si="610"/>
        <v>-3.3333333333333333E-2</v>
      </c>
      <c r="G570" s="42">
        <f t="shared" si="611"/>
        <v>-0.23333333333333334</v>
      </c>
      <c r="H570" s="42">
        <f t="shared" si="612"/>
        <v>-0.36666666666666664</v>
      </c>
      <c r="I570" s="42">
        <f t="shared" si="613"/>
        <v>-0.43333333333333335</v>
      </c>
      <c r="J570" s="42">
        <f t="shared" si="614"/>
        <v>-0.56666666666666665</v>
      </c>
      <c r="K570" s="42">
        <f t="shared" si="615"/>
        <v>-0.6333333333333333</v>
      </c>
      <c r="L570" s="42">
        <f t="shared" si="616"/>
        <v>-0.76666666666666672</v>
      </c>
      <c r="M570" s="42">
        <f t="shared" si="617"/>
        <v>-0.96666666666666667</v>
      </c>
      <c r="O570" s="43" t="str">
        <f t="shared" si="607"/>
        <v/>
      </c>
    </row>
    <row r="571" spans="1:15" x14ac:dyDescent="0.45">
      <c r="D571" s="27">
        <f t="shared" si="608"/>
        <v>0</v>
      </c>
      <c r="E571" s="28">
        <f t="shared" si="609"/>
        <v>0</v>
      </c>
      <c r="F571" s="42">
        <f t="shared" si="610"/>
        <v>-3.3333333333333333E-2</v>
      </c>
      <c r="G571" s="42">
        <f t="shared" si="611"/>
        <v>-0.23333333333333334</v>
      </c>
      <c r="H571" s="42">
        <f t="shared" si="612"/>
        <v>-0.36666666666666664</v>
      </c>
      <c r="I571" s="42">
        <f t="shared" si="613"/>
        <v>-0.43333333333333335</v>
      </c>
      <c r="J571" s="42">
        <f t="shared" si="614"/>
        <v>-0.56666666666666665</v>
      </c>
      <c r="K571" s="42">
        <f t="shared" si="615"/>
        <v>-0.6333333333333333</v>
      </c>
      <c r="L571" s="42">
        <f t="shared" si="616"/>
        <v>-0.76666666666666672</v>
      </c>
      <c r="M571" s="42">
        <f t="shared" si="617"/>
        <v>-0.96666666666666667</v>
      </c>
      <c r="O571" s="43" t="str">
        <f t="shared" si="607"/>
        <v/>
      </c>
    </row>
    <row r="572" spans="1:15" x14ac:dyDescent="0.45">
      <c r="D572" s="27">
        <f t="shared" si="608"/>
        <v>0</v>
      </c>
      <c r="E572" s="28">
        <f t="shared" si="609"/>
        <v>0</v>
      </c>
      <c r="F572" s="42">
        <f t="shared" si="610"/>
        <v>-3.3333333333333333E-2</v>
      </c>
      <c r="G572" s="42">
        <f t="shared" si="611"/>
        <v>-0.23333333333333334</v>
      </c>
      <c r="H572" s="42">
        <f t="shared" si="612"/>
        <v>-0.36666666666666664</v>
      </c>
      <c r="I572" s="42">
        <f t="shared" si="613"/>
        <v>-0.43333333333333335</v>
      </c>
      <c r="J572" s="42">
        <f t="shared" si="614"/>
        <v>-0.56666666666666665</v>
      </c>
      <c r="K572" s="42">
        <f t="shared" si="615"/>
        <v>-0.6333333333333333</v>
      </c>
      <c r="L572" s="42">
        <f t="shared" si="616"/>
        <v>-0.76666666666666672</v>
      </c>
      <c r="M572" s="42">
        <f t="shared" si="617"/>
        <v>-0.96666666666666667</v>
      </c>
      <c r="O572" s="43" t="str">
        <f t="shared" si="607"/>
        <v/>
      </c>
    </row>
    <row r="573" spans="1:15" x14ac:dyDescent="0.45">
      <c r="D573" s="27">
        <f t="shared" si="608"/>
        <v>0</v>
      </c>
      <c r="E573" s="28">
        <f t="shared" si="609"/>
        <v>0</v>
      </c>
      <c r="F573" s="42">
        <f t="shared" si="610"/>
        <v>-3.3333333333333333E-2</v>
      </c>
      <c r="G573" s="42">
        <f t="shared" si="611"/>
        <v>-0.23333333333333334</v>
      </c>
      <c r="H573" s="42">
        <f t="shared" si="612"/>
        <v>-0.36666666666666664</v>
      </c>
      <c r="I573" s="42">
        <f t="shared" si="613"/>
        <v>-0.43333333333333335</v>
      </c>
      <c r="J573" s="42">
        <f t="shared" si="614"/>
        <v>-0.56666666666666665</v>
      </c>
      <c r="K573" s="42">
        <f t="shared" si="615"/>
        <v>-0.6333333333333333</v>
      </c>
      <c r="L573" s="42">
        <f t="shared" si="616"/>
        <v>-0.76666666666666672</v>
      </c>
      <c r="M573" s="42">
        <f t="shared" si="617"/>
        <v>-0.96666666666666667</v>
      </c>
      <c r="O573" s="43" t="str">
        <f t="shared" si="607"/>
        <v/>
      </c>
    </row>
    <row r="574" spans="1:15" x14ac:dyDescent="0.45">
      <c r="D574" s="27">
        <f t="shared" si="608"/>
        <v>0</v>
      </c>
      <c r="E574" s="28">
        <f t="shared" si="609"/>
        <v>0</v>
      </c>
      <c r="F574" s="42">
        <f t="shared" si="610"/>
        <v>-3.3333333333333333E-2</v>
      </c>
      <c r="G574" s="42">
        <f t="shared" si="611"/>
        <v>-0.23333333333333334</v>
      </c>
      <c r="H574" s="42">
        <f t="shared" si="612"/>
        <v>-0.36666666666666664</v>
      </c>
      <c r="I574" s="42">
        <f t="shared" si="613"/>
        <v>-0.43333333333333335</v>
      </c>
      <c r="J574" s="42">
        <f t="shared" si="614"/>
        <v>-0.56666666666666665</v>
      </c>
      <c r="K574" s="42">
        <f t="shared" si="615"/>
        <v>-0.6333333333333333</v>
      </c>
      <c r="L574" s="42">
        <f t="shared" si="616"/>
        <v>-0.76666666666666672</v>
      </c>
      <c r="M574" s="42">
        <f t="shared" si="617"/>
        <v>-0.96666666666666667</v>
      </c>
      <c r="O574" s="43" t="str">
        <f t="shared" si="607"/>
        <v/>
      </c>
    </row>
    <row r="575" spans="1:15" ht="19.2" thickBot="1" x14ac:dyDescent="0.5">
      <c r="F575" s="42"/>
      <c r="G575" s="42"/>
      <c r="H575" s="42"/>
      <c r="I575" s="42"/>
      <c r="J575" s="42"/>
      <c r="K575" s="42"/>
      <c r="L575" s="42"/>
      <c r="M575" s="42"/>
    </row>
    <row r="576" spans="1:15" ht="19.2" thickBot="1" x14ac:dyDescent="0.5">
      <c r="C576" s="44"/>
      <c r="E576" s="34">
        <f>E557</f>
        <v>0</v>
      </c>
      <c r="F576" s="45">
        <v>1</v>
      </c>
      <c r="G576" s="46">
        <v>7</v>
      </c>
      <c r="H576" s="46">
        <v>11</v>
      </c>
      <c r="I576" s="46">
        <v>13</v>
      </c>
      <c r="J576" s="46">
        <v>17</v>
      </c>
      <c r="K576" s="46">
        <v>19</v>
      </c>
      <c r="L576" s="46">
        <v>23</v>
      </c>
      <c r="M576" s="47">
        <v>29</v>
      </c>
      <c r="O576" s="27" t="s">
        <v>2</v>
      </c>
    </row>
    <row r="577" spans="1:15" x14ac:dyDescent="0.45">
      <c r="A577" s="29">
        <f>A567+1</f>
        <v>57</v>
      </c>
      <c r="D577" s="27">
        <f>C567</f>
        <v>0</v>
      </c>
      <c r="E577" s="28">
        <f>D577*$E$6</f>
        <v>0</v>
      </c>
      <c r="F577" s="42">
        <f>(E577-1)/30</f>
        <v>-3.3333333333333333E-2</v>
      </c>
      <c r="G577" s="42">
        <f>($E577-7)/30</f>
        <v>-0.23333333333333334</v>
      </c>
      <c r="H577" s="42">
        <f>($E577-11)/30</f>
        <v>-0.36666666666666664</v>
      </c>
      <c r="I577" s="42">
        <f>($E577-13)/30</f>
        <v>-0.43333333333333335</v>
      </c>
      <c r="J577" s="42">
        <f>($E577-17)/30</f>
        <v>-0.56666666666666665</v>
      </c>
      <c r="K577" s="42">
        <f>($E577-19)/30</f>
        <v>-0.6333333333333333</v>
      </c>
      <c r="L577" s="42">
        <f>($E577-23)/30</f>
        <v>-0.76666666666666672</v>
      </c>
      <c r="M577" s="42">
        <f>($E577-29)/30</f>
        <v>-0.96666666666666667</v>
      </c>
      <c r="O577" s="43" t="str">
        <f t="shared" ref="O577:O584" si="618">FactorNumber(E577)</f>
        <v/>
      </c>
    </row>
    <row r="578" spans="1:15" x14ac:dyDescent="0.45">
      <c r="D578" s="27">
        <f t="shared" ref="D578:D584" si="619">C568</f>
        <v>0</v>
      </c>
      <c r="E578" s="28">
        <f t="shared" ref="E578:E584" si="620">D578*$E$6</f>
        <v>0</v>
      </c>
      <c r="F578" s="42">
        <f t="shared" ref="F578:F584" si="621">(E578-1)/30</f>
        <v>-3.3333333333333333E-2</v>
      </c>
      <c r="G578" s="42">
        <f t="shared" ref="G578:G584" si="622">($E578-7)/30</f>
        <v>-0.23333333333333334</v>
      </c>
      <c r="H578" s="42">
        <f t="shared" ref="H578:H584" si="623">($E578-11)/30</f>
        <v>-0.36666666666666664</v>
      </c>
      <c r="I578" s="42">
        <f t="shared" ref="I578:I584" si="624">($E578-13)/30</f>
        <v>-0.43333333333333335</v>
      </c>
      <c r="J578" s="42">
        <f t="shared" ref="J578:J584" si="625">($E578-17)/30</f>
        <v>-0.56666666666666665</v>
      </c>
      <c r="K578" s="42">
        <f t="shared" ref="K578:K584" si="626">($E578-19)/30</f>
        <v>-0.6333333333333333</v>
      </c>
      <c r="L578" s="42">
        <f t="shared" ref="L578:L584" si="627">($E578-23)/30</f>
        <v>-0.76666666666666672</v>
      </c>
      <c r="M578" s="42">
        <f t="shared" ref="M578:M584" si="628">($E578-29)/30</f>
        <v>-0.96666666666666667</v>
      </c>
      <c r="O578" s="43" t="str">
        <f t="shared" si="618"/>
        <v/>
      </c>
    </row>
    <row r="579" spans="1:15" x14ac:dyDescent="0.45">
      <c r="D579" s="27">
        <f t="shared" si="619"/>
        <v>0</v>
      </c>
      <c r="E579" s="28">
        <f t="shared" si="620"/>
        <v>0</v>
      </c>
      <c r="F579" s="42">
        <f t="shared" si="621"/>
        <v>-3.3333333333333333E-2</v>
      </c>
      <c r="G579" s="42">
        <f t="shared" si="622"/>
        <v>-0.23333333333333334</v>
      </c>
      <c r="H579" s="42">
        <f t="shared" si="623"/>
        <v>-0.36666666666666664</v>
      </c>
      <c r="I579" s="42">
        <f t="shared" si="624"/>
        <v>-0.43333333333333335</v>
      </c>
      <c r="J579" s="42">
        <f t="shared" si="625"/>
        <v>-0.56666666666666665</v>
      </c>
      <c r="K579" s="42">
        <f t="shared" si="626"/>
        <v>-0.6333333333333333</v>
      </c>
      <c r="L579" s="42">
        <f t="shared" si="627"/>
        <v>-0.76666666666666672</v>
      </c>
      <c r="M579" s="42">
        <f t="shared" si="628"/>
        <v>-0.96666666666666667</v>
      </c>
      <c r="O579" s="43" t="str">
        <f t="shared" si="618"/>
        <v/>
      </c>
    </row>
    <row r="580" spans="1:15" x14ac:dyDescent="0.45">
      <c r="D580" s="27">
        <f t="shared" si="619"/>
        <v>0</v>
      </c>
      <c r="E580" s="28">
        <f t="shared" si="620"/>
        <v>0</v>
      </c>
      <c r="F580" s="42">
        <f t="shared" si="621"/>
        <v>-3.3333333333333333E-2</v>
      </c>
      <c r="G580" s="42">
        <f t="shared" si="622"/>
        <v>-0.23333333333333334</v>
      </c>
      <c r="H580" s="42">
        <f t="shared" si="623"/>
        <v>-0.36666666666666664</v>
      </c>
      <c r="I580" s="42">
        <f t="shared" si="624"/>
        <v>-0.43333333333333335</v>
      </c>
      <c r="J580" s="42">
        <f t="shared" si="625"/>
        <v>-0.56666666666666665</v>
      </c>
      <c r="K580" s="42">
        <f t="shared" si="626"/>
        <v>-0.6333333333333333</v>
      </c>
      <c r="L580" s="42">
        <f t="shared" si="627"/>
        <v>-0.76666666666666672</v>
      </c>
      <c r="M580" s="42">
        <f t="shared" si="628"/>
        <v>-0.96666666666666667</v>
      </c>
      <c r="O580" s="43" t="str">
        <f t="shared" si="618"/>
        <v/>
      </c>
    </row>
    <row r="581" spans="1:15" x14ac:dyDescent="0.45">
      <c r="D581" s="27">
        <f t="shared" si="619"/>
        <v>0</v>
      </c>
      <c r="E581" s="28">
        <f t="shared" si="620"/>
        <v>0</v>
      </c>
      <c r="F581" s="42">
        <f t="shared" si="621"/>
        <v>-3.3333333333333333E-2</v>
      </c>
      <c r="G581" s="42">
        <f t="shared" si="622"/>
        <v>-0.23333333333333334</v>
      </c>
      <c r="H581" s="42">
        <f t="shared" si="623"/>
        <v>-0.36666666666666664</v>
      </c>
      <c r="I581" s="42">
        <f t="shared" si="624"/>
        <v>-0.43333333333333335</v>
      </c>
      <c r="J581" s="42">
        <f t="shared" si="625"/>
        <v>-0.56666666666666665</v>
      </c>
      <c r="K581" s="42">
        <f t="shared" si="626"/>
        <v>-0.6333333333333333</v>
      </c>
      <c r="L581" s="42">
        <f t="shared" si="627"/>
        <v>-0.76666666666666672</v>
      </c>
      <c r="M581" s="42">
        <f t="shared" si="628"/>
        <v>-0.96666666666666667</v>
      </c>
      <c r="O581" s="43" t="str">
        <f t="shared" si="618"/>
        <v/>
      </c>
    </row>
    <row r="582" spans="1:15" x14ac:dyDescent="0.45">
      <c r="D582" s="27">
        <f t="shared" si="619"/>
        <v>0</v>
      </c>
      <c r="E582" s="28">
        <f t="shared" si="620"/>
        <v>0</v>
      </c>
      <c r="F582" s="42">
        <f t="shared" si="621"/>
        <v>-3.3333333333333333E-2</v>
      </c>
      <c r="G582" s="42">
        <f t="shared" si="622"/>
        <v>-0.23333333333333334</v>
      </c>
      <c r="H582" s="42">
        <f t="shared" si="623"/>
        <v>-0.36666666666666664</v>
      </c>
      <c r="I582" s="42">
        <f t="shared" si="624"/>
        <v>-0.43333333333333335</v>
      </c>
      <c r="J582" s="42">
        <f t="shared" si="625"/>
        <v>-0.56666666666666665</v>
      </c>
      <c r="K582" s="42">
        <f t="shared" si="626"/>
        <v>-0.6333333333333333</v>
      </c>
      <c r="L582" s="42">
        <f t="shared" si="627"/>
        <v>-0.76666666666666672</v>
      </c>
      <c r="M582" s="42">
        <f t="shared" si="628"/>
        <v>-0.96666666666666667</v>
      </c>
      <c r="O582" s="43" t="str">
        <f t="shared" si="618"/>
        <v/>
      </c>
    </row>
    <row r="583" spans="1:15" x14ac:dyDescent="0.45">
      <c r="D583" s="27">
        <f t="shared" si="619"/>
        <v>0</v>
      </c>
      <c r="E583" s="28">
        <f t="shared" si="620"/>
        <v>0</v>
      </c>
      <c r="F583" s="42">
        <f t="shared" si="621"/>
        <v>-3.3333333333333333E-2</v>
      </c>
      <c r="G583" s="42">
        <f t="shared" si="622"/>
        <v>-0.23333333333333334</v>
      </c>
      <c r="H583" s="42">
        <f t="shared" si="623"/>
        <v>-0.36666666666666664</v>
      </c>
      <c r="I583" s="42">
        <f t="shared" si="624"/>
        <v>-0.43333333333333335</v>
      </c>
      <c r="J583" s="42">
        <f t="shared" si="625"/>
        <v>-0.56666666666666665</v>
      </c>
      <c r="K583" s="42">
        <f t="shared" si="626"/>
        <v>-0.6333333333333333</v>
      </c>
      <c r="L583" s="42">
        <f t="shared" si="627"/>
        <v>-0.76666666666666672</v>
      </c>
      <c r="M583" s="42">
        <f t="shared" si="628"/>
        <v>-0.96666666666666667</v>
      </c>
      <c r="O583" s="43" t="str">
        <f t="shared" si="618"/>
        <v/>
      </c>
    </row>
    <row r="584" spans="1:15" x14ac:dyDescent="0.45">
      <c r="D584" s="27">
        <f t="shared" si="619"/>
        <v>0</v>
      </c>
      <c r="E584" s="28">
        <f t="shared" si="620"/>
        <v>0</v>
      </c>
      <c r="F584" s="42">
        <f t="shared" si="621"/>
        <v>-3.3333333333333333E-2</v>
      </c>
      <c r="G584" s="42">
        <f t="shared" si="622"/>
        <v>-0.23333333333333334</v>
      </c>
      <c r="H584" s="42">
        <f t="shared" si="623"/>
        <v>-0.36666666666666664</v>
      </c>
      <c r="I584" s="42">
        <f t="shared" si="624"/>
        <v>-0.43333333333333335</v>
      </c>
      <c r="J584" s="42">
        <f t="shared" si="625"/>
        <v>-0.56666666666666665</v>
      </c>
      <c r="K584" s="42">
        <f t="shared" si="626"/>
        <v>-0.6333333333333333</v>
      </c>
      <c r="L584" s="42">
        <f t="shared" si="627"/>
        <v>-0.76666666666666672</v>
      </c>
      <c r="M584" s="42">
        <f t="shared" si="628"/>
        <v>-0.96666666666666667</v>
      </c>
      <c r="O584" s="43" t="str">
        <f t="shared" si="618"/>
        <v/>
      </c>
    </row>
    <row r="585" spans="1:15" ht="19.2" thickBot="1" x14ac:dyDescent="0.5">
      <c r="F585" s="42"/>
      <c r="G585" s="42"/>
      <c r="H585" s="42"/>
      <c r="I585" s="42"/>
      <c r="J585" s="42"/>
      <c r="K585" s="42"/>
      <c r="L585" s="42"/>
      <c r="M585" s="42"/>
    </row>
    <row r="586" spans="1:15" ht="19.2" thickBot="1" x14ac:dyDescent="0.5">
      <c r="C586" s="44"/>
      <c r="E586" s="34">
        <f>E567</f>
        <v>0</v>
      </c>
      <c r="F586" s="45">
        <v>1</v>
      </c>
      <c r="G586" s="46">
        <v>7</v>
      </c>
      <c r="H586" s="46">
        <v>11</v>
      </c>
      <c r="I586" s="46">
        <v>13</v>
      </c>
      <c r="J586" s="46">
        <v>17</v>
      </c>
      <c r="K586" s="46">
        <v>19</v>
      </c>
      <c r="L586" s="46">
        <v>23</v>
      </c>
      <c r="M586" s="47">
        <v>29</v>
      </c>
      <c r="O586" s="27" t="s">
        <v>2</v>
      </c>
    </row>
    <row r="587" spans="1:15" x14ac:dyDescent="0.45">
      <c r="A587" s="29">
        <f>A577+1</f>
        <v>58</v>
      </c>
      <c r="D587" s="27">
        <f>C577</f>
        <v>0</v>
      </c>
      <c r="E587" s="28">
        <f>D587*$E$6</f>
        <v>0</v>
      </c>
      <c r="F587" s="42">
        <f>(E587-1)/30</f>
        <v>-3.3333333333333333E-2</v>
      </c>
      <c r="G587" s="42">
        <f>($E587-7)/30</f>
        <v>-0.23333333333333334</v>
      </c>
      <c r="H587" s="42">
        <f>($E587-11)/30</f>
        <v>-0.36666666666666664</v>
      </c>
      <c r="I587" s="42">
        <f>($E587-13)/30</f>
        <v>-0.43333333333333335</v>
      </c>
      <c r="J587" s="42">
        <f>($E587-17)/30</f>
        <v>-0.56666666666666665</v>
      </c>
      <c r="K587" s="42">
        <f>($E587-19)/30</f>
        <v>-0.6333333333333333</v>
      </c>
      <c r="L587" s="42">
        <f>($E587-23)/30</f>
        <v>-0.76666666666666672</v>
      </c>
      <c r="M587" s="42">
        <f>($E587-29)/30</f>
        <v>-0.96666666666666667</v>
      </c>
      <c r="O587" s="43" t="str">
        <f t="shared" ref="O587:O594" si="629">FactorNumber(E587)</f>
        <v/>
      </c>
    </row>
    <row r="588" spans="1:15" x14ac:dyDescent="0.45">
      <c r="D588" s="27">
        <f t="shared" ref="D588:D594" si="630">C578</f>
        <v>0</v>
      </c>
      <c r="E588" s="28">
        <f t="shared" ref="E588:E594" si="631">D588*$E$6</f>
        <v>0</v>
      </c>
      <c r="F588" s="42">
        <f t="shared" ref="F588:F594" si="632">(E588-1)/30</f>
        <v>-3.3333333333333333E-2</v>
      </c>
      <c r="G588" s="42">
        <f t="shared" ref="G588:G594" si="633">($E588-7)/30</f>
        <v>-0.23333333333333334</v>
      </c>
      <c r="H588" s="42">
        <f t="shared" ref="H588:H594" si="634">($E588-11)/30</f>
        <v>-0.36666666666666664</v>
      </c>
      <c r="I588" s="42">
        <f t="shared" ref="I588:I594" si="635">($E588-13)/30</f>
        <v>-0.43333333333333335</v>
      </c>
      <c r="J588" s="42">
        <f t="shared" ref="J588:J594" si="636">($E588-17)/30</f>
        <v>-0.56666666666666665</v>
      </c>
      <c r="K588" s="42">
        <f t="shared" ref="K588:K594" si="637">($E588-19)/30</f>
        <v>-0.6333333333333333</v>
      </c>
      <c r="L588" s="42">
        <f t="shared" ref="L588:L594" si="638">($E588-23)/30</f>
        <v>-0.76666666666666672</v>
      </c>
      <c r="M588" s="42">
        <f t="shared" ref="M588:M594" si="639">($E588-29)/30</f>
        <v>-0.96666666666666667</v>
      </c>
      <c r="O588" s="43" t="str">
        <f t="shared" si="629"/>
        <v/>
      </c>
    </row>
    <row r="589" spans="1:15" x14ac:dyDescent="0.45">
      <c r="D589" s="27">
        <f t="shared" si="630"/>
        <v>0</v>
      </c>
      <c r="E589" s="28">
        <f t="shared" si="631"/>
        <v>0</v>
      </c>
      <c r="F589" s="42">
        <f t="shared" si="632"/>
        <v>-3.3333333333333333E-2</v>
      </c>
      <c r="G589" s="42">
        <f t="shared" si="633"/>
        <v>-0.23333333333333334</v>
      </c>
      <c r="H589" s="42">
        <f t="shared" si="634"/>
        <v>-0.36666666666666664</v>
      </c>
      <c r="I589" s="42">
        <f t="shared" si="635"/>
        <v>-0.43333333333333335</v>
      </c>
      <c r="J589" s="42">
        <f t="shared" si="636"/>
        <v>-0.56666666666666665</v>
      </c>
      <c r="K589" s="42">
        <f t="shared" si="637"/>
        <v>-0.6333333333333333</v>
      </c>
      <c r="L589" s="42">
        <f t="shared" si="638"/>
        <v>-0.76666666666666672</v>
      </c>
      <c r="M589" s="42">
        <f t="shared" si="639"/>
        <v>-0.96666666666666667</v>
      </c>
      <c r="O589" s="43" t="str">
        <f t="shared" si="629"/>
        <v/>
      </c>
    </row>
    <row r="590" spans="1:15" x14ac:dyDescent="0.45">
      <c r="D590" s="27">
        <f t="shared" si="630"/>
        <v>0</v>
      </c>
      <c r="E590" s="28">
        <f t="shared" si="631"/>
        <v>0</v>
      </c>
      <c r="F590" s="42">
        <f t="shared" si="632"/>
        <v>-3.3333333333333333E-2</v>
      </c>
      <c r="G590" s="42">
        <f t="shared" si="633"/>
        <v>-0.23333333333333334</v>
      </c>
      <c r="H590" s="42">
        <f t="shared" si="634"/>
        <v>-0.36666666666666664</v>
      </c>
      <c r="I590" s="42">
        <f t="shared" si="635"/>
        <v>-0.43333333333333335</v>
      </c>
      <c r="J590" s="42">
        <f t="shared" si="636"/>
        <v>-0.56666666666666665</v>
      </c>
      <c r="K590" s="42">
        <f t="shared" si="637"/>
        <v>-0.6333333333333333</v>
      </c>
      <c r="L590" s="42">
        <f t="shared" si="638"/>
        <v>-0.76666666666666672</v>
      </c>
      <c r="M590" s="42">
        <f t="shared" si="639"/>
        <v>-0.96666666666666667</v>
      </c>
      <c r="O590" s="43" t="str">
        <f t="shared" si="629"/>
        <v/>
      </c>
    </row>
    <row r="591" spans="1:15" x14ac:dyDescent="0.45">
      <c r="D591" s="27">
        <f t="shared" si="630"/>
        <v>0</v>
      </c>
      <c r="E591" s="28">
        <f t="shared" si="631"/>
        <v>0</v>
      </c>
      <c r="F591" s="42">
        <f t="shared" si="632"/>
        <v>-3.3333333333333333E-2</v>
      </c>
      <c r="G591" s="42">
        <f t="shared" si="633"/>
        <v>-0.23333333333333334</v>
      </c>
      <c r="H591" s="42">
        <f t="shared" si="634"/>
        <v>-0.36666666666666664</v>
      </c>
      <c r="I591" s="42">
        <f t="shared" si="635"/>
        <v>-0.43333333333333335</v>
      </c>
      <c r="J591" s="42">
        <f t="shared" si="636"/>
        <v>-0.56666666666666665</v>
      </c>
      <c r="K591" s="42">
        <f t="shared" si="637"/>
        <v>-0.6333333333333333</v>
      </c>
      <c r="L591" s="42">
        <f t="shared" si="638"/>
        <v>-0.76666666666666672</v>
      </c>
      <c r="M591" s="42">
        <f t="shared" si="639"/>
        <v>-0.96666666666666667</v>
      </c>
      <c r="O591" s="43" t="str">
        <f t="shared" si="629"/>
        <v/>
      </c>
    </row>
    <row r="592" spans="1:15" x14ac:dyDescent="0.45">
      <c r="D592" s="27">
        <f t="shared" si="630"/>
        <v>0</v>
      </c>
      <c r="E592" s="28">
        <f t="shared" si="631"/>
        <v>0</v>
      </c>
      <c r="F592" s="42">
        <f t="shared" si="632"/>
        <v>-3.3333333333333333E-2</v>
      </c>
      <c r="G592" s="42">
        <f t="shared" si="633"/>
        <v>-0.23333333333333334</v>
      </c>
      <c r="H592" s="42">
        <f t="shared" si="634"/>
        <v>-0.36666666666666664</v>
      </c>
      <c r="I592" s="42">
        <f t="shared" si="635"/>
        <v>-0.43333333333333335</v>
      </c>
      <c r="J592" s="42">
        <f t="shared" si="636"/>
        <v>-0.56666666666666665</v>
      </c>
      <c r="K592" s="42">
        <f t="shared" si="637"/>
        <v>-0.6333333333333333</v>
      </c>
      <c r="L592" s="42">
        <f t="shared" si="638"/>
        <v>-0.76666666666666672</v>
      </c>
      <c r="M592" s="42">
        <f t="shared" si="639"/>
        <v>-0.96666666666666667</v>
      </c>
      <c r="O592" s="43" t="str">
        <f t="shared" si="629"/>
        <v/>
      </c>
    </row>
    <row r="593" spans="1:15" x14ac:dyDescent="0.45">
      <c r="D593" s="27">
        <f t="shared" si="630"/>
        <v>0</v>
      </c>
      <c r="E593" s="28">
        <f t="shared" si="631"/>
        <v>0</v>
      </c>
      <c r="F593" s="42">
        <f t="shared" si="632"/>
        <v>-3.3333333333333333E-2</v>
      </c>
      <c r="G593" s="42">
        <f t="shared" si="633"/>
        <v>-0.23333333333333334</v>
      </c>
      <c r="H593" s="42">
        <f t="shared" si="634"/>
        <v>-0.36666666666666664</v>
      </c>
      <c r="I593" s="42">
        <f t="shared" si="635"/>
        <v>-0.43333333333333335</v>
      </c>
      <c r="J593" s="42">
        <f t="shared" si="636"/>
        <v>-0.56666666666666665</v>
      </c>
      <c r="K593" s="42">
        <f t="shared" si="637"/>
        <v>-0.6333333333333333</v>
      </c>
      <c r="L593" s="42">
        <f t="shared" si="638"/>
        <v>-0.76666666666666672</v>
      </c>
      <c r="M593" s="42">
        <f t="shared" si="639"/>
        <v>-0.96666666666666667</v>
      </c>
      <c r="O593" s="43" t="str">
        <f t="shared" si="629"/>
        <v/>
      </c>
    </row>
    <row r="594" spans="1:15" x14ac:dyDescent="0.45">
      <c r="D594" s="27">
        <f t="shared" si="630"/>
        <v>0</v>
      </c>
      <c r="E594" s="28">
        <f t="shared" si="631"/>
        <v>0</v>
      </c>
      <c r="F594" s="42">
        <f t="shared" si="632"/>
        <v>-3.3333333333333333E-2</v>
      </c>
      <c r="G594" s="42">
        <f t="shared" si="633"/>
        <v>-0.23333333333333334</v>
      </c>
      <c r="H594" s="42">
        <f t="shared" si="634"/>
        <v>-0.36666666666666664</v>
      </c>
      <c r="I594" s="42">
        <f t="shared" si="635"/>
        <v>-0.43333333333333335</v>
      </c>
      <c r="J594" s="42">
        <f t="shared" si="636"/>
        <v>-0.56666666666666665</v>
      </c>
      <c r="K594" s="42">
        <f t="shared" si="637"/>
        <v>-0.6333333333333333</v>
      </c>
      <c r="L594" s="42">
        <f t="shared" si="638"/>
        <v>-0.76666666666666672</v>
      </c>
      <c r="M594" s="42">
        <f t="shared" si="639"/>
        <v>-0.96666666666666667</v>
      </c>
      <c r="O594" s="43" t="str">
        <f t="shared" si="629"/>
        <v/>
      </c>
    </row>
    <row r="595" spans="1:15" ht="19.2" thickBot="1" x14ac:dyDescent="0.5">
      <c r="F595" s="42"/>
      <c r="G595" s="42"/>
      <c r="H595" s="42"/>
      <c r="I595" s="42"/>
      <c r="J595" s="42"/>
      <c r="K595" s="42"/>
      <c r="L595" s="42"/>
      <c r="M595" s="42"/>
    </row>
    <row r="596" spans="1:15" ht="19.2" thickBot="1" x14ac:dyDescent="0.5">
      <c r="C596" s="44"/>
      <c r="E596" s="34">
        <f>E577</f>
        <v>0</v>
      </c>
      <c r="F596" s="45">
        <v>1</v>
      </c>
      <c r="G596" s="46">
        <v>7</v>
      </c>
      <c r="H596" s="46">
        <v>11</v>
      </c>
      <c r="I596" s="46">
        <v>13</v>
      </c>
      <c r="J596" s="46">
        <v>17</v>
      </c>
      <c r="K596" s="46">
        <v>19</v>
      </c>
      <c r="L596" s="46">
        <v>23</v>
      </c>
      <c r="M596" s="47">
        <v>29</v>
      </c>
      <c r="O596" s="27" t="s">
        <v>2</v>
      </c>
    </row>
    <row r="597" spans="1:15" x14ac:dyDescent="0.45">
      <c r="A597" s="29">
        <f>A587+1</f>
        <v>59</v>
      </c>
      <c r="D597" s="27">
        <f>C587</f>
        <v>0</v>
      </c>
      <c r="E597" s="28">
        <f>D597*$E$6</f>
        <v>0</v>
      </c>
      <c r="F597" s="42">
        <f>(E597-1)/30</f>
        <v>-3.3333333333333333E-2</v>
      </c>
      <c r="G597" s="42">
        <f>($E597-7)/30</f>
        <v>-0.23333333333333334</v>
      </c>
      <c r="H597" s="42">
        <f>($E597-11)/30</f>
        <v>-0.36666666666666664</v>
      </c>
      <c r="I597" s="42">
        <f>($E597-13)/30</f>
        <v>-0.43333333333333335</v>
      </c>
      <c r="J597" s="42">
        <f>($E597-17)/30</f>
        <v>-0.56666666666666665</v>
      </c>
      <c r="K597" s="42">
        <f>($E597-19)/30</f>
        <v>-0.6333333333333333</v>
      </c>
      <c r="L597" s="42">
        <f>($E597-23)/30</f>
        <v>-0.76666666666666672</v>
      </c>
      <c r="M597" s="42">
        <f>($E597-29)/30</f>
        <v>-0.96666666666666667</v>
      </c>
      <c r="O597" s="43" t="str">
        <f t="shared" ref="O597:O604" si="640">FactorNumber(E597)</f>
        <v/>
      </c>
    </row>
    <row r="598" spans="1:15" x14ac:dyDescent="0.45">
      <c r="D598" s="27">
        <f t="shared" ref="D598:D604" si="641">C588</f>
        <v>0</v>
      </c>
      <c r="E598" s="28">
        <f t="shared" ref="E598:E604" si="642">D598*$E$6</f>
        <v>0</v>
      </c>
      <c r="F598" s="42">
        <f t="shared" ref="F598:F604" si="643">(E598-1)/30</f>
        <v>-3.3333333333333333E-2</v>
      </c>
      <c r="G598" s="42">
        <f t="shared" ref="G598:G604" si="644">($E598-7)/30</f>
        <v>-0.23333333333333334</v>
      </c>
      <c r="H598" s="42">
        <f t="shared" ref="H598:H604" si="645">($E598-11)/30</f>
        <v>-0.36666666666666664</v>
      </c>
      <c r="I598" s="42">
        <f t="shared" ref="I598:I604" si="646">($E598-13)/30</f>
        <v>-0.43333333333333335</v>
      </c>
      <c r="J598" s="42">
        <f t="shared" ref="J598:J604" si="647">($E598-17)/30</f>
        <v>-0.56666666666666665</v>
      </c>
      <c r="K598" s="42">
        <f t="shared" ref="K598:K604" si="648">($E598-19)/30</f>
        <v>-0.6333333333333333</v>
      </c>
      <c r="L598" s="42">
        <f t="shared" ref="L598:L604" si="649">($E598-23)/30</f>
        <v>-0.76666666666666672</v>
      </c>
      <c r="M598" s="42">
        <f t="shared" ref="M598:M604" si="650">($E598-29)/30</f>
        <v>-0.96666666666666667</v>
      </c>
      <c r="O598" s="43" t="str">
        <f t="shared" si="640"/>
        <v/>
      </c>
    </row>
    <row r="599" spans="1:15" x14ac:dyDescent="0.45">
      <c r="D599" s="27">
        <f t="shared" si="641"/>
        <v>0</v>
      </c>
      <c r="E599" s="28">
        <f t="shared" si="642"/>
        <v>0</v>
      </c>
      <c r="F599" s="42">
        <f t="shared" si="643"/>
        <v>-3.3333333333333333E-2</v>
      </c>
      <c r="G599" s="42">
        <f t="shared" si="644"/>
        <v>-0.23333333333333334</v>
      </c>
      <c r="H599" s="42">
        <f t="shared" si="645"/>
        <v>-0.36666666666666664</v>
      </c>
      <c r="I599" s="42">
        <f t="shared" si="646"/>
        <v>-0.43333333333333335</v>
      </c>
      <c r="J599" s="42">
        <f t="shared" si="647"/>
        <v>-0.56666666666666665</v>
      </c>
      <c r="K599" s="42">
        <f t="shared" si="648"/>
        <v>-0.6333333333333333</v>
      </c>
      <c r="L599" s="42">
        <f t="shared" si="649"/>
        <v>-0.76666666666666672</v>
      </c>
      <c r="M599" s="42">
        <f t="shared" si="650"/>
        <v>-0.96666666666666667</v>
      </c>
      <c r="O599" s="43" t="str">
        <f t="shared" si="640"/>
        <v/>
      </c>
    </row>
    <row r="600" spans="1:15" x14ac:dyDescent="0.45">
      <c r="D600" s="27">
        <f t="shared" si="641"/>
        <v>0</v>
      </c>
      <c r="E600" s="28">
        <f t="shared" si="642"/>
        <v>0</v>
      </c>
      <c r="F600" s="42">
        <f t="shared" si="643"/>
        <v>-3.3333333333333333E-2</v>
      </c>
      <c r="G600" s="42">
        <f t="shared" si="644"/>
        <v>-0.23333333333333334</v>
      </c>
      <c r="H600" s="42">
        <f t="shared" si="645"/>
        <v>-0.36666666666666664</v>
      </c>
      <c r="I600" s="42">
        <f t="shared" si="646"/>
        <v>-0.43333333333333335</v>
      </c>
      <c r="J600" s="42">
        <f t="shared" si="647"/>
        <v>-0.56666666666666665</v>
      </c>
      <c r="K600" s="42">
        <f t="shared" si="648"/>
        <v>-0.6333333333333333</v>
      </c>
      <c r="L600" s="42">
        <f t="shared" si="649"/>
        <v>-0.76666666666666672</v>
      </c>
      <c r="M600" s="42">
        <f t="shared" si="650"/>
        <v>-0.96666666666666667</v>
      </c>
      <c r="O600" s="43" t="str">
        <f t="shared" si="640"/>
        <v/>
      </c>
    </row>
    <row r="601" spans="1:15" x14ac:dyDescent="0.45">
      <c r="D601" s="27">
        <f t="shared" si="641"/>
        <v>0</v>
      </c>
      <c r="E601" s="28">
        <f t="shared" si="642"/>
        <v>0</v>
      </c>
      <c r="F601" s="42">
        <f t="shared" si="643"/>
        <v>-3.3333333333333333E-2</v>
      </c>
      <c r="G601" s="42">
        <f t="shared" si="644"/>
        <v>-0.23333333333333334</v>
      </c>
      <c r="H601" s="42">
        <f t="shared" si="645"/>
        <v>-0.36666666666666664</v>
      </c>
      <c r="I601" s="42">
        <f t="shared" si="646"/>
        <v>-0.43333333333333335</v>
      </c>
      <c r="J601" s="42">
        <f t="shared" si="647"/>
        <v>-0.56666666666666665</v>
      </c>
      <c r="K601" s="42">
        <f t="shared" si="648"/>
        <v>-0.6333333333333333</v>
      </c>
      <c r="L601" s="42">
        <f t="shared" si="649"/>
        <v>-0.76666666666666672</v>
      </c>
      <c r="M601" s="42">
        <f t="shared" si="650"/>
        <v>-0.96666666666666667</v>
      </c>
      <c r="O601" s="43" t="str">
        <f t="shared" si="640"/>
        <v/>
      </c>
    </row>
    <row r="602" spans="1:15" x14ac:dyDescent="0.45">
      <c r="D602" s="27">
        <f t="shared" si="641"/>
        <v>0</v>
      </c>
      <c r="E602" s="28">
        <f t="shared" si="642"/>
        <v>0</v>
      </c>
      <c r="F602" s="42">
        <f t="shared" si="643"/>
        <v>-3.3333333333333333E-2</v>
      </c>
      <c r="G602" s="42">
        <f t="shared" si="644"/>
        <v>-0.23333333333333334</v>
      </c>
      <c r="H602" s="42">
        <f t="shared" si="645"/>
        <v>-0.36666666666666664</v>
      </c>
      <c r="I602" s="42">
        <f t="shared" si="646"/>
        <v>-0.43333333333333335</v>
      </c>
      <c r="J602" s="42">
        <f t="shared" si="647"/>
        <v>-0.56666666666666665</v>
      </c>
      <c r="K602" s="42">
        <f t="shared" si="648"/>
        <v>-0.6333333333333333</v>
      </c>
      <c r="L602" s="42">
        <f t="shared" si="649"/>
        <v>-0.76666666666666672</v>
      </c>
      <c r="M602" s="42">
        <f t="shared" si="650"/>
        <v>-0.96666666666666667</v>
      </c>
      <c r="O602" s="43" t="str">
        <f t="shared" si="640"/>
        <v/>
      </c>
    </row>
    <row r="603" spans="1:15" x14ac:dyDescent="0.45">
      <c r="D603" s="27">
        <f t="shared" si="641"/>
        <v>0</v>
      </c>
      <c r="E603" s="28">
        <f t="shared" si="642"/>
        <v>0</v>
      </c>
      <c r="F603" s="42">
        <f t="shared" si="643"/>
        <v>-3.3333333333333333E-2</v>
      </c>
      <c r="G603" s="42">
        <f t="shared" si="644"/>
        <v>-0.23333333333333334</v>
      </c>
      <c r="H603" s="42">
        <f t="shared" si="645"/>
        <v>-0.36666666666666664</v>
      </c>
      <c r="I603" s="42">
        <f t="shared" si="646"/>
        <v>-0.43333333333333335</v>
      </c>
      <c r="J603" s="42">
        <f t="shared" si="647"/>
        <v>-0.56666666666666665</v>
      </c>
      <c r="K603" s="42">
        <f t="shared" si="648"/>
        <v>-0.6333333333333333</v>
      </c>
      <c r="L603" s="42">
        <f t="shared" si="649"/>
        <v>-0.76666666666666672</v>
      </c>
      <c r="M603" s="42">
        <f t="shared" si="650"/>
        <v>-0.96666666666666667</v>
      </c>
      <c r="O603" s="43" t="str">
        <f t="shared" si="640"/>
        <v/>
      </c>
    </row>
    <row r="604" spans="1:15" x14ac:dyDescent="0.45">
      <c r="D604" s="27">
        <f t="shared" si="641"/>
        <v>0</v>
      </c>
      <c r="E604" s="28">
        <f t="shared" si="642"/>
        <v>0</v>
      </c>
      <c r="F604" s="42">
        <f t="shared" si="643"/>
        <v>-3.3333333333333333E-2</v>
      </c>
      <c r="G604" s="42">
        <f t="shared" si="644"/>
        <v>-0.23333333333333334</v>
      </c>
      <c r="H604" s="42">
        <f t="shared" si="645"/>
        <v>-0.36666666666666664</v>
      </c>
      <c r="I604" s="42">
        <f t="shared" si="646"/>
        <v>-0.43333333333333335</v>
      </c>
      <c r="J604" s="42">
        <f t="shared" si="647"/>
        <v>-0.56666666666666665</v>
      </c>
      <c r="K604" s="42">
        <f t="shared" si="648"/>
        <v>-0.6333333333333333</v>
      </c>
      <c r="L604" s="42">
        <f t="shared" si="649"/>
        <v>-0.76666666666666672</v>
      </c>
      <c r="M604" s="42">
        <f t="shared" si="650"/>
        <v>-0.96666666666666667</v>
      </c>
      <c r="O604" s="43" t="str">
        <f t="shared" si="640"/>
        <v/>
      </c>
    </row>
    <row r="605" spans="1:15" ht="19.2" thickBot="1" x14ac:dyDescent="0.5">
      <c r="F605" s="42"/>
      <c r="G605" s="42"/>
      <c r="H605" s="42"/>
      <c r="I605" s="42"/>
      <c r="J605" s="42"/>
      <c r="K605" s="42"/>
      <c r="L605" s="42"/>
      <c r="M605" s="42"/>
    </row>
    <row r="606" spans="1:15" ht="19.2" thickBot="1" x14ac:dyDescent="0.5">
      <c r="C606" s="44"/>
      <c r="E606" s="34">
        <f>E587</f>
        <v>0</v>
      </c>
      <c r="F606" s="45">
        <v>1</v>
      </c>
      <c r="G606" s="46">
        <v>7</v>
      </c>
      <c r="H606" s="46">
        <v>11</v>
      </c>
      <c r="I606" s="46">
        <v>13</v>
      </c>
      <c r="J606" s="46">
        <v>17</v>
      </c>
      <c r="K606" s="46">
        <v>19</v>
      </c>
      <c r="L606" s="46">
        <v>23</v>
      </c>
      <c r="M606" s="47">
        <v>29</v>
      </c>
      <c r="O606" s="27" t="s">
        <v>2</v>
      </c>
    </row>
    <row r="607" spans="1:15" x14ac:dyDescent="0.45">
      <c r="A607" s="29">
        <f>A597+1</f>
        <v>60</v>
      </c>
      <c r="D607" s="27">
        <f>C597</f>
        <v>0</v>
      </c>
      <c r="E607" s="28">
        <f>D607*$E$6</f>
        <v>0</v>
      </c>
      <c r="F607" s="42">
        <f>(E607-1)/30</f>
        <v>-3.3333333333333333E-2</v>
      </c>
      <c r="G607" s="42">
        <f>($E607-7)/30</f>
        <v>-0.23333333333333334</v>
      </c>
      <c r="H607" s="42">
        <f>($E607-11)/30</f>
        <v>-0.36666666666666664</v>
      </c>
      <c r="I607" s="42">
        <f>($E607-13)/30</f>
        <v>-0.43333333333333335</v>
      </c>
      <c r="J607" s="42">
        <f>($E607-17)/30</f>
        <v>-0.56666666666666665</v>
      </c>
      <c r="K607" s="42">
        <f>($E607-19)/30</f>
        <v>-0.6333333333333333</v>
      </c>
      <c r="L607" s="42">
        <f>($E607-23)/30</f>
        <v>-0.76666666666666672</v>
      </c>
      <c r="M607" s="42">
        <f>($E607-29)/30</f>
        <v>-0.96666666666666667</v>
      </c>
      <c r="O607" s="43" t="str">
        <f t="shared" ref="O607:O614" si="651">FactorNumber(E607)</f>
        <v/>
      </c>
    </row>
    <row r="608" spans="1:15" x14ac:dyDescent="0.45">
      <c r="D608" s="27">
        <f t="shared" ref="D608:D614" si="652">C598</f>
        <v>0</v>
      </c>
      <c r="E608" s="28">
        <f t="shared" ref="E608:E614" si="653">D608*$E$6</f>
        <v>0</v>
      </c>
      <c r="F608" s="42">
        <f t="shared" ref="F608:F614" si="654">(E608-1)/30</f>
        <v>-3.3333333333333333E-2</v>
      </c>
      <c r="G608" s="42">
        <f t="shared" ref="G608:G614" si="655">($E608-7)/30</f>
        <v>-0.23333333333333334</v>
      </c>
      <c r="H608" s="42">
        <f t="shared" ref="H608:H614" si="656">($E608-11)/30</f>
        <v>-0.36666666666666664</v>
      </c>
      <c r="I608" s="42">
        <f t="shared" ref="I608:I614" si="657">($E608-13)/30</f>
        <v>-0.43333333333333335</v>
      </c>
      <c r="J608" s="42">
        <f t="shared" ref="J608:J614" si="658">($E608-17)/30</f>
        <v>-0.56666666666666665</v>
      </c>
      <c r="K608" s="42">
        <f t="shared" ref="K608:K614" si="659">($E608-19)/30</f>
        <v>-0.6333333333333333</v>
      </c>
      <c r="L608" s="42">
        <f t="shared" ref="L608:L614" si="660">($E608-23)/30</f>
        <v>-0.76666666666666672</v>
      </c>
      <c r="M608" s="42">
        <f t="shared" ref="M608:M614" si="661">($E608-29)/30</f>
        <v>-0.96666666666666667</v>
      </c>
      <c r="O608" s="43" t="str">
        <f t="shared" si="651"/>
        <v/>
      </c>
    </row>
    <row r="609" spans="1:15" x14ac:dyDescent="0.45">
      <c r="D609" s="27">
        <f t="shared" si="652"/>
        <v>0</v>
      </c>
      <c r="E609" s="28">
        <f t="shared" si="653"/>
        <v>0</v>
      </c>
      <c r="F609" s="42">
        <f t="shared" si="654"/>
        <v>-3.3333333333333333E-2</v>
      </c>
      <c r="G609" s="42">
        <f t="shared" si="655"/>
        <v>-0.23333333333333334</v>
      </c>
      <c r="H609" s="42">
        <f t="shared" si="656"/>
        <v>-0.36666666666666664</v>
      </c>
      <c r="I609" s="42">
        <f t="shared" si="657"/>
        <v>-0.43333333333333335</v>
      </c>
      <c r="J609" s="42">
        <f t="shared" si="658"/>
        <v>-0.56666666666666665</v>
      </c>
      <c r="K609" s="42">
        <f t="shared" si="659"/>
        <v>-0.6333333333333333</v>
      </c>
      <c r="L609" s="42">
        <f t="shared" si="660"/>
        <v>-0.76666666666666672</v>
      </c>
      <c r="M609" s="42">
        <f t="shared" si="661"/>
        <v>-0.96666666666666667</v>
      </c>
      <c r="O609" s="43" t="str">
        <f t="shared" si="651"/>
        <v/>
      </c>
    </row>
    <row r="610" spans="1:15" x14ac:dyDescent="0.45">
      <c r="D610" s="27">
        <f t="shared" si="652"/>
        <v>0</v>
      </c>
      <c r="E610" s="28">
        <f t="shared" si="653"/>
        <v>0</v>
      </c>
      <c r="F610" s="42">
        <f t="shared" si="654"/>
        <v>-3.3333333333333333E-2</v>
      </c>
      <c r="G610" s="42">
        <f t="shared" si="655"/>
        <v>-0.23333333333333334</v>
      </c>
      <c r="H610" s="42">
        <f t="shared" si="656"/>
        <v>-0.36666666666666664</v>
      </c>
      <c r="I610" s="42">
        <f t="shared" si="657"/>
        <v>-0.43333333333333335</v>
      </c>
      <c r="J610" s="42">
        <f t="shared" si="658"/>
        <v>-0.56666666666666665</v>
      </c>
      <c r="K610" s="42">
        <f t="shared" si="659"/>
        <v>-0.6333333333333333</v>
      </c>
      <c r="L610" s="42">
        <f t="shared" si="660"/>
        <v>-0.76666666666666672</v>
      </c>
      <c r="M610" s="42">
        <f t="shared" si="661"/>
        <v>-0.96666666666666667</v>
      </c>
      <c r="O610" s="43" t="str">
        <f t="shared" si="651"/>
        <v/>
      </c>
    </row>
    <row r="611" spans="1:15" x14ac:dyDescent="0.45">
      <c r="D611" s="27">
        <f t="shared" si="652"/>
        <v>0</v>
      </c>
      <c r="E611" s="28">
        <f t="shared" si="653"/>
        <v>0</v>
      </c>
      <c r="F611" s="42">
        <f t="shared" si="654"/>
        <v>-3.3333333333333333E-2</v>
      </c>
      <c r="G611" s="42">
        <f t="shared" si="655"/>
        <v>-0.23333333333333334</v>
      </c>
      <c r="H611" s="42">
        <f t="shared" si="656"/>
        <v>-0.36666666666666664</v>
      </c>
      <c r="I611" s="42">
        <f t="shared" si="657"/>
        <v>-0.43333333333333335</v>
      </c>
      <c r="J611" s="42">
        <f t="shared" si="658"/>
        <v>-0.56666666666666665</v>
      </c>
      <c r="K611" s="42">
        <f t="shared" si="659"/>
        <v>-0.6333333333333333</v>
      </c>
      <c r="L611" s="42">
        <f t="shared" si="660"/>
        <v>-0.76666666666666672</v>
      </c>
      <c r="M611" s="42">
        <f t="shared" si="661"/>
        <v>-0.96666666666666667</v>
      </c>
      <c r="O611" s="43" t="str">
        <f t="shared" si="651"/>
        <v/>
      </c>
    </row>
    <row r="612" spans="1:15" x14ac:dyDescent="0.45">
      <c r="D612" s="27">
        <f t="shared" si="652"/>
        <v>0</v>
      </c>
      <c r="E612" s="28">
        <f t="shared" si="653"/>
        <v>0</v>
      </c>
      <c r="F612" s="42">
        <f t="shared" si="654"/>
        <v>-3.3333333333333333E-2</v>
      </c>
      <c r="G612" s="42">
        <f t="shared" si="655"/>
        <v>-0.23333333333333334</v>
      </c>
      <c r="H612" s="42">
        <f t="shared" si="656"/>
        <v>-0.36666666666666664</v>
      </c>
      <c r="I612" s="42">
        <f t="shared" si="657"/>
        <v>-0.43333333333333335</v>
      </c>
      <c r="J612" s="42">
        <f t="shared" si="658"/>
        <v>-0.56666666666666665</v>
      </c>
      <c r="K612" s="42">
        <f t="shared" si="659"/>
        <v>-0.6333333333333333</v>
      </c>
      <c r="L612" s="42">
        <f t="shared" si="660"/>
        <v>-0.76666666666666672</v>
      </c>
      <c r="M612" s="42">
        <f t="shared" si="661"/>
        <v>-0.96666666666666667</v>
      </c>
      <c r="O612" s="43" t="str">
        <f t="shared" si="651"/>
        <v/>
      </c>
    </row>
    <row r="613" spans="1:15" x14ac:dyDescent="0.45">
      <c r="D613" s="27">
        <f t="shared" si="652"/>
        <v>0</v>
      </c>
      <c r="E613" s="28">
        <f t="shared" si="653"/>
        <v>0</v>
      </c>
      <c r="F613" s="42">
        <f t="shared" si="654"/>
        <v>-3.3333333333333333E-2</v>
      </c>
      <c r="G613" s="42">
        <f t="shared" si="655"/>
        <v>-0.23333333333333334</v>
      </c>
      <c r="H613" s="42">
        <f t="shared" si="656"/>
        <v>-0.36666666666666664</v>
      </c>
      <c r="I613" s="42">
        <f t="shared" si="657"/>
        <v>-0.43333333333333335</v>
      </c>
      <c r="J613" s="42">
        <f t="shared" si="658"/>
        <v>-0.56666666666666665</v>
      </c>
      <c r="K613" s="42">
        <f t="shared" si="659"/>
        <v>-0.6333333333333333</v>
      </c>
      <c r="L613" s="42">
        <f t="shared" si="660"/>
        <v>-0.76666666666666672</v>
      </c>
      <c r="M613" s="42">
        <f t="shared" si="661"/>
        <v>-0.96666666666666667</v>
      </c>
      <c r="O613" s="43" t="str">
        <f t="shared" si="651"/>
        <v/>
      </c>
    </row>
    <row r="614" spans="1:15" x14ac:dyDescent="0.45">
      <c r="D614" s="27">
        <f t="shared" si="652"/>
        <v>0</v>
      </c>
      <c r="E614" s="28">
        <f t="shared" si="653"/>
        <v>0</v>
      </c>
      <c r="F614" s="42">
        <f t="shared" si="654"/>
        <v>-3.3333333333333333E-2</v>
      </c>
      <c r="G614" s="42">
        <f t="shared" si="655"/>
        <v>-0.23333333333333334</v>
      </c>
      <c r="H614" s="42">
        <f t="shared" si="656"/>
        <v>-0.36666666666666664</v>
      </c>
      <c r="I614" s="42">
        <f t="shared" si="657"/>
        <v>-0.43333333333333335</v>
      </c>
      <c r="J614" s="42">
        <f t="shared" si="658"/>
        <v>-0.56666666666666665</v>
      </c>
      <c r="K614" s="42">
        <f t="shared" si="659"/>
        <v>-0.6333333333333333</v>
      </c>
      <c r="L614" s="42">
        <f t="shared" si="660"/>
        <v>-0.76666666666666672</v>
      </c>
      <c r="M614" s="42">
        <f t="shared" si="661"/>
        <v>-0.96666666666666667</v>
      </c>
      <c r="O614" s="43" t="str">
        <f t="shared" si="651"/>
        <v/>
      </c>
    </row>
    <row r="615" spans="1:15" ht="19.2" thickBot="1" x14ac:dyDescent="0.5">
      <c r="F615" s="42"/>
      <c r="G615" s="42"/>
      <c r="H615" s="42"/>
      <c r="I615" s="42"/>
      <c r="J615" s="42"/>
      <c r="K615" s="42"/>
      <c r="L615" s="42"/>
      <c r="M615" s="42"/>
    </row>
    <row r="616" spans="1:15" ht="19.2" thickBot="1" x14ac:dyDescent="0.5">
      <c r="C616" s="44"/>
      <c r="E616" s="34">
        <f>E597</f>
        <v>0</v>
      </c>
      <c r="F616" s="45">
        <v>1</v>
      </c>
      <c r="G616" s="46">
        <v>7</v>
      </c>
      <c r="H616" s="46">
        <v>11</v>
      </c>
      <c r="I616" s="46">
        <v>13</v>
      </c>
      <c r="J616" s="46">
        <v>17</v>
      </c>
      <c r="K616" s="46">
        <v>19</v>
      </c>
      <c r="L616" s="46">
        <v>23</v>
      </c>
      <c r="M616" s="47">
        <v>29</v>
      </c>
      <c r="O616" s="27" t="s">
        <v>2</v>
      </c>
    </row>
    <row r="617" spans="1:15" x14ac:dyDescent="0.45">
      <c r="A617" s="29">
        <f>A607+1</f>
        <v>61</v>
      </c>
      <c r="D617" s="27">
        <f>C607</f>
        <v>0</v>
      </c>
      <c r="E617" s="28">
        <f>D617*$E$6</f>
        <v>0</v>
      </c>
      <c r="F617" s="42">
        <f>(E617-1)/30</f>
        <v>-3.3333333333333333E-2</v>
      </c>
      <c r="G617" s="42">
        <f>($E617-7)/30</f>
        <v>-0.23333333333333334</v>
      </c>
      <c r="H617" s="42">
        <f>($E617-11)/30</f>
        <v>-0.36666666666666664</v>
      </c>
      <c r="I617" s="42">
        <f>($E617-13)/30</f>
        <v>-0.43333333333333335</v>
      </c>
      <c r="J617" s="42">
        <f>($E617-17)/30</f>
        <v>-0.56666666666666665</v>
      </c>
      <c r="K617" s="42">
        <f>($E617-19)/30</f>
        <v>-0.6333333333333333</v>
      </c>
      <c r="L617" s="42">
        <f>($E617-23)/30</f>
        <v>-0.76666666666666672</v>
      </c>
      <c r="M617" s="42">
        <f>($E617-29)/30</f>
        <v>-0.96666666666666667</v>
      </c>
      <c r="O617" s="43" t="str">
        <f t="shared" ref="O617:O624" si="662">FactorNumber(E617)</f>
        <v/>
      </c>
    </row>
    <row r="618" spans="1:15" x14ac:dyDescent="0.45">
      <c r="D618" s="27">
        <f t="shared" ref="D618:D624" si="663">C608</f>
        <v>0</v>
      </c>
      <c r="E618" s="28">
        <f t="shared" ref="E618:E624" si="664">D618*$E$6</f>
        <v>0</v>
      </c>
      <c r="F618" s="42">
        <f t="shared" ref="F618:F624" si="665">(E618-1)/30</f>
        <v>-3.3333333333333333E-2</v>
      </c>
      <c r="G618" s="42">
        <f t="shared" ref="G618:G624" si="666">($E618-7)/30</f>
        <v>-0.23333333333333334</v>
      </c>
      <c r="H618" s="42">
        <f t="shared" ref="H618:H624" si="667">($E618-11)/30</f>
        <v>-0.36666666666666664</v>
      </c>
      <c r="I618" s="42">
        <f t="shared" ref="I618:I624" si="668">($E618-13)/30</f>
        <v>-0.43333333333333335</v>
      </c>
      <c r="J618" s="42">
        <f t="shared" ref="J618:J624" si="669">($E618-17)/30</f>
        <v>-0.56666666666666665</v>
      </c>
      <c r="K618" s="42">
        <f t="shared" ref="K618:K624" si="670">($E618-19)/30</f>
        <v>-0.6333333333333333</v>
      </c>
      <c r="L618" s="42">
        <f t="shared" ref="L618:L624" si="671">($E618-23)/30</f>
        <v>-0.76666666666666672</v>
      </c>
      <c r="M618" s="42">
        <f t="shared" ref="M618:M624" si="672">($E618-29)/30</f>
        <v>-0.96666666666666667</v>
      </c>
      <c r="O618" s="43" t="str">
        <f t="shared" si="662"/>
        <v/>
      </c>
    </row>
    <row r="619" spans="1:15" x14ac:dyDescent="0.45">
      <c r="D619" s="27">
        <f t="shared" si="663"/>
        <v>0</v>
      </c>
      <c r="E619" s="28">
        <f t="shared" si="664"/>
        <v>0</v>
      </c>
      <c r="F619" s="42">
        <f t="shared" si="665"/>
        <v>-3.3333333333333333E-2</v>
      </c>
      <c r="G619" s="42">
        <f t="shared" si="666"/>
        <v>-0.23333333333333334</v>
      </c>
      <c r="H619" s="42">
        <f t="shared" si="667"/>
        <v>-0.36666666666666664</v>
      </c>
      <c r="I619" s="42">
        <f t="shared" si="668"/>
        <v>-0.43333333333333335</v>
      </c>
      <c r="J619" s="42">
        <f t="shared" si="669"/>
        <v>-0.56666666666666665</v>
      </c>
      <c r="K619" s="42">
        <f t="shared" si="670"/>
        <v>-0.6333333333333333</v>
      </c>
      <c r="L619" s="42">
        <f t="shared" si="671"/>
        <v>-0.76666666666666672</v>
      </c>
      <c r="M619" s="42">
        <f t="shared" si="672"/>
        <v>-0.96666666666666667</v>
      </c>
      <c r="O619" s="43" t="str">
        <f t="shared" si="662"/>
        <v/>
      </c>
    </row>
    <row r="620" spans="1:15" x14ac:dyDescent="0.45">
      <c r="D620" s="27">
        <f t="shared" si="663"/>
        <v>0</v>
      </c>
      <c r="E620" s="28">
        <f t="shared" si="664"/>
        <v>0</v>
      </c>
      <c r="F620" s="42">
        <f t="shared" si="665"/>
        <v>-3.3333333333333333E-2</v>
      </c>
      <c r="G620" s="42">
        <f t="shared" si="666"/>
        <v>-0.23333333333333334</v>
      </c>
      <c r="H620" s="42">
        <f t="shared" si="667"/>
        <v>-0.36666666666666664</v>
      </c>
      <c r="I620" s="42">
        <f t="shared" si="668"/>
        <v>-0.43333333333333335</v>
      </c>
      <c r="J620" s="42">
        <f t="shared" si="669"/>
        <v>-0.56666666666666665</v>
      </c>
      <c r="K620" s="42">
        <f t="shared" si="670"/>
        <v>-0.6333333333333333</v>
      </c>
      <c r="L620" s="42">
        <f t="shared" si="671"/>
        <v>-0.76666666666666672</v>
      </c>
      <c r="M620" s="42">
        <f t="shared" si="672"/>
        <v>-0.96666666666666667</v>
      </c>
      <c r="O620" s="43" t="str">
        <f t="shared" si="662"/>
        <v/>
      </c>
    </row>
    <row r="621" spans="1:15" x14ac:dyDescent="0.45">
      <c r="D621" s="27">
        <f t="shared" si="663"/>
        <v>0</v>
      </c>
      <c r="E621" s="28">
        <f t="shared" si="664"/>
        <v>0</v>
      </c>
      <c r="F621" s="42">
        <f t="shared" si="665"/>
        <v>-3.3333333333333333E-2</v>
      </c>
      <c r="G621" s="42">
        <f t="shared" si="666"/>
        <v>-0.23333333333333334</v>
      </c>
      <c r="H621" s="42">
        <f t="shared" si="667"/>
        <v>-0.36666666666666664</v>
      </c>
      <c r="I621" s="42">
        <f t="shared" si="668"/>
        <v>-0.43333333333333335</v>
      </c>
      <c r="J621" s="42">
        <f t="shared" si="669"/>
        <v>-0.56666666666666665</v>
      </c>
      <c r="K621" s="42">
        <f t="shared" si="670"/>
        <v>-0.6333333333333333</v>
      </c>
      <c r="L621" s="42">
        <f t="shared" si="671"/>
        <v>-0.76666666666666672</v>
      </c>
      <c r="M621" s="42">
        <f t="shared" si="672"/>
        <v>-0.96666666666666667</v>
      </c>
      <c r="O621" s="43" t="str">
        <f t="shared" si="662"/>
        <v/>
      </c>
    </row>
    <row r="622" spans="1:15" x14ac:dyDescent="0.45">
      <c r="D622" s="27">
        <f t="shared" si="663"/>
        <v>0</v>
      </c>
      <c r="E622" s="28">
        <f t="shared" si="664"/>
        <v>0</v>
      </c>
      <c r="F622" s="42">
        <f t="shared" si="665"/>
        <v>-3.3333333333333333E-2</v>
      </c>
      <c r="G622" s="42">
        <f t="shared" si="666"/>
        <v>-0.23333333333333334</v>
      </c>
      <c r="H622" s="42">
        <f t="shared" si="667"/>
        <v>-0.36666666666666664</v>
      </c>
      <c r="I622" s="42">
        <f t="shared" si="668"/>
        <v>-0.43333333333333335</v>
      </c>
      <c r="J622" s="42">
        <f t="shared" si="669"/>
        <v>-0.56666666666666665</v>
      </c>
      <c r="K622" s="42">
        <f t="shared" si="670"/>
        <v>-0.6333333333333333</v>
      </c>
      <c r="L622" s="42">
        <f t="shared" si="671"/>
        <v>-0.76666666666666672</v>
      </c>
      <c r="M622" s="42">
        <f t="shared" si="672"/>
        <v>-0.96666666666666667</v>
      </c>
      <c r="O622" s="43" t="str">
        <f t="shared" si="662"/>
        <v/>
      </c>
    </row>
    <row r="623" spans="1:15" x14ac:dyDescent="0.45">
      <c r="D623" s="27">
        <f t="shared" si="663"/>
        <v>0</v>
      </c>
      <c r="E623" s="28">
        <f t="shared" si="664"/>
        <v>0</v>
      </c>
      <c r="F623" s="42">
        <f t="shared" si="665"/>
        <v>-3.3333333333333333E-2</v>
      </c>
      <c r="G623" s="42">
        <f t="shared" si="666"/>
        <v>-0.23333333333333334</v>
      </c>
      <c r="H623" s="42">
        <f t="shared" si="667"/>
        <v>-0.36666666666666664</v>
      </c>
      <c r="I623" s="42">
        <f t="shared" si="668"/>
        <v>-0.43333333333333335</v>
      </c>
      <c r="J623" s="42">
        <f t="shared" si="669"/>
        <v>-0.56666666666666665</v>
      </c>
      <c r="K623" s="42">
        <f t="shared" si="670"/>
        <v>-0.6333333333333333</v>
      </c>
      <c r="L623" s="42">
        <f t="shared" si="671"/>
        <v>-0.76666666666666672</v>
      </c>
      <c r="M623" s="42">
        <f t="shared" si="672"/>
        <v>-0.96666666666666667</v>
      </c>
      <c r="O623" s="43" t="str">
        <f t="shared" si="662"/>
        <v/>
      </c>
    </row>
    <row r="624" spans="1:15" x14ac:dyDescent="0.45">
      <c r="D624" s="27">
        <f t="shared" si="663"/>
        <v>0</v>
      </c>
      <c r="E624" s="28">
        <f t="shared" si="664"/>
        <v>0</v>
      </c>
      <c r="F624" s="42">
        <f t="shared" si="665"/>
        <v>-3.3333333333333333E-2</v>
      </c>
      <c r="G624" s="42">
        <f t="shared" si="666"/>
        <v>-0.23333333333333334</v>
      </c>
      <c r="H624" s="42">
        <f t="shared" si="667"/>
        <v>-0.36666666666666664</v>
      </c>
      <c r="I624" s="42">
        <f t="shared" si="668"/>
        <v>-0.43333333333333335</v>
      </c>
      <c r="J624" s="42">
        <f t="shared" si="669"/>
        <v>-0.56666666666666665</v>
      </c>
      <c r="K624" s="42">
        <f t="shared" si="670"/>
        <v>-0.6333333333333333</v>
      </c>
      <c r="L624" s="42">
        <f t="shared" si="671"/>
        <v>-0.76666666666666672</v>
      </c>
      <c r="M624" s="42">
        <f t="shared" si="672"/>
        <v>-0.96666666666666667</v>
      </c>
      <c r="O624" s="43" t="str">
        <f t="shared" si="662"/>
        <v/>
      </c>
    </row>
    <row r="625" spans="1:15" ht="19.2" thickBot="1" x14ac:dyDescent="0.5">
      <c r="F625" s="42"/>
      <c r="G625" s="42"/>
      <c r="H625" s="42"/>
      <c r="I625" s="42"/>
      <c r="J625" s="42"/>
      <c r="K625" s="42"/>
      <c r="L625" s="42"/>
      <c r="M625" s="42"/>
    </row>
    <row r="626" spans="1:15" ht="19.2" thickBot="1" x14ac:dyDescent="0.5">
      <c r="C626" s="44"/>
      <c r="E626" s="34">
        <f>E607</f>
        <v>0</v>
      </c>
      <c r="F626" s="45">
        <v>1</v>
      </c>
      <c r="G626" s="46">
        <v>7</v>
      </c>
      <c r="H626" s="46">
        <v>11</v>
      </c>
      <c r="I626" s="46">
        <v>13</v>
      </c>
      <c r="J626" s="46">
        <v>17</v>
      </c>
      <c r="K626" s="46">
        <v>19</v>
      </c>
      <c r="L626" s="46">
        <v>23</v>
      </c>
      <c r="M626" s="47">
        <v>29</v>
      </c>
      <c r="O626" s="27" t="s">
        <v>2</v>
      </c>
    </row>
    <row r="627" spans="1:15" x14ac:dyDescent="0.45">
      <c r="A627" s="29">
        <f>A617+1</f>
        <v>62</v>
      </c>
      <c r="D627" s="27">
        <f>C617</f>
        <v>0</v>
      </c>
      <c r="E627" s="28">
        <f>D627*$E$6</f>
        <v>0</v>
      </c>
      <c r="F627" s="42">
        <f>(E627-1)/30</f>
        <v>-3.3333333333333333E-2</v>
      </c>
      <c r="G627" s="42">
        <f>($E627-7)/30</f>
        <v>-0.23333333333333334</v>
      </c>
      <c r="H627" s="42">
        <f>($E627-11)/30</f>
        <v>-0.36666666666666664</v>
      </c>
      <c r="I627" s="42">
        <f>($E627-13)/30</f>
        <v>-0.43333333333333335</v>
      </c>
      <c r="J627" s="42">
        <f>($E627-17)/30</f>
        <v>-0.56666666666666665</v>
      </c>
      <c r="K627" s="42">
        <f>($E627-19)/30</f>
        <v>-0.6333333333333333</v>
      </c>
      <c r="L627" s="42">
        <f>($E627-23)/30</f>
        <v>-0.76666666666666672</v>
      </c>
      <c r="M627" s="42">
        <f>($E627-29)/30</f>
        <v>-0.96666666666666667</v>
      </c>
      <c r="O627" s="43" t="str">
        <f t="shared" ref="O627:O634" si="673">FactorNumber(E627)</f>
        <v/>
      </c>
    </row>
    <row r="628" spans="1:15" x14ac:dyDescent="0.45">
      <c r="D628" s="27">
        <f t="shared" ref="D628:D634" si="674">C618</f>
        <v>0</v>
      </c>
      <c r="E628" s="28">
        <f t="shared" ref="E628:E634" si="675">D628*$E$6</f>
        <v>0</v>
      </c>
      <c r="F628" s="42">
        <f t="shared" ref="F628:F634" si="676">(E628-1)/30</f>
        <v>-3.3333333333333333E-2</v>
      </c>
      <c r="G628" s="42">
        <f t="shared" ref="G628:G634" si="677">($E628-7)/30</f>
        <v>-0.23333333333333334</v>
      </c>
      <c r="H628" s="42">
        <f t="shared" ref="H628:H634" si="678">($E628-11)/30</f>
        <v>-0.36666666666666664</v>
      </c>
      <c r="I628" s="42">
        <f t="shared" ref="I628:I634" si="679">($E628-13)/30</f>
        <v>-0.43333333333333335</v>
      </c>
      <c r="J628" s="42">
        <f t="shared" ref="J628:J634" si="680">($E628-17)/30</f>
        <v>-0.56666666666666665</v>
      </c>
      <c r="K628" s="42">
        <f t="shared" ref="K628:K634" si="681">($E628-19)/30</f>
        <v>-0.6333333333333333</v>
      </c>
      <c r="L628" s="42">
        <f t="shared" ref="L628:L634" si="682">($E628-23)/30</f>
        <v>-0.76666666666666672</v>
      </c>
      <c r="M628" s="42">
        <f t="shared" ref="M628:M634" si="683">($E628-29)/30</f>
        <v>-0.96666666666666667</v>
      </c>
      <c r="O628" s="43" t="str">
        <f t="shared" si="673"/>
        <v/>
      </c>
    </row>
    <row r="629" spans="1:15" x14ac:dyDescent="0.45">
      <c r="D629" s="27">
        <f t="shared" si="674"/>
        <v>0</v>
      </c>
      <c r="E629" s="28">
        <f t="shared" si="675"/>
        <v>0</v>
      </c>
      <c r="F629" s="42">
        <f t="shared" si="676"/>
        <v>-3.3333333333333333E-2</v>
      </c>
      <c r="G629" s="42">
        <f t="shared" si="677"/>
        <v>-0.23333333333333334</v>
      </c>
      <c r="H629" s="42">
        <f t="shared" si="678"/>
        <v>-0.36666666666666664</v>
      </c>
      <c r="I629" s="42">
        <f t="shared" si="679"/>
        <v>-0.43333333333333335</v>
      </c>
      <c r="J629" s="42">
        <f t="shared" si="680"/>
        <v>-0.56666666666666665</v>
      </c>
      <c r="K629" s="42">
        <f t="shared" si="681"/>
        <v>-0.6333333333333333</v>
      </c>
      <c r="L629" s="42">
        <f t="shared" si="682"/>
        <v>-0.76666666666666672</v>
      </c>
      <c r="M629" s="42">
        <f t="shared" si="683"/>
        <v>-0.96666666666666667</v>
      </c>
      <c r="O629" s="43" t="str">
        <f t="shared" si="673"/>
        <v/>
      </c>
    </row>
    <row r="630" spans="1:15" x14ac:dyDescent="0.45">
      <c r="D630" s="27">
        <f t="shared" si="674"/>
        <v>0</v>
      </c>
      <c r="E630" s="28">
        <f t="shared" si="675"/>
        <v>0</v>
      </c>
      <c r="F630" s="42">
        <f t="shared" si="676"/>
        <v>-3.3333333333333333E-2</v>
      </c>
      <c r="G630" s="42">
        <f t="shared" si="677"/>
        <v>-0.23333333333333334</v>
      </c>
      <c r="H630" s="42">
        <f t="shared" si="678"/>
        <v>-0.36666666666666664</v>
      </c>
      <c r="I630" s="42">
        <f t="shared" si="679"/>
        <v>-0.43333333333333335</v>
      </c>
      <c r="J630" s="42">
        <f t="shared" si="680"/>
        <v>-0.56666666666666665</v>
      </c>
      <c r="K630" s="42">
        <f t="shared" si="681"/>
        <v>-0.6333333333333333</v>
      </c>
      <c r="L630" s="42">
        <f t="shared" si="682"/>
        <v>-0.76666666666666672</v>
      </c>
      <c r="M630" s="42">
        <f t="shared" si="683"/>
        <v>-0.96666666666666667</v>
      </c>
      <c r="O630" s="43" t="str">
        <f t="shared" si="673"/>
        <v/>
      </c>
    </row>
    <row r="631" spans="1:15" x14ac:dyDescent="0.45">
      <c r="D631" s="27">
        <f t="shared" si="674"/>
        <v>0</v>
      </c>
      <c r="E631" s="28">
        <f t="shared" si="675"/>
        <v>0</v>
      </c>
      <c r="F631" s="42">
        <f t="shared" si="676"/>
        <v>-3.3333333333333333E-2</v>
      </c>
      <c r="G631" s="42">
        <f t="shared" si="677"/>
        <v>-0.23333333333333334</v>
      </c>
      <c r="H631" s="42">
        <f t="shared" si="678"/>
        <v>-0.36666666666666664</v>
      </c>
      <c r="I631" s="42">
        <f t="shared" si="679"/>
        <v>-0.43333333333333335</v>
      </c>
      <c r="J631" s="42">
        <f t="shared" si="680"/>
        <v>-0.56666666666666665</v>
      </c>
      <c r="K631" s="42">
        <f t="shared" si="681"/>
        <v>-0.6333333333333333</v>
      </c>
      <c r="L631" s="42">
        <f t="shared" si="682"/>
        <v>-0.76666666666666672</v>
      </c>
      <c r="M631" s="42">
        <f t="shared" si="683"/>
        <v>-0.96666666666666667</v>
      </c>
      <c r="O631" s="43" t="str">
        <f t="shared" si="673"/>
        <v/>
      </c>
    </row>
    <row r="632" spans="1:15" x14ac:dyDescent="0.45">
      <c r="D632" s="27">
        <f t="shared" si="674"/>
        <v>0</v>
      </c>
      <c r="E632" s="28">
        <f t="shared" si="675"/>
        <v>0</v>
      </c>
      <c r="F632" s="42">
        <f t="shared" si="676"/>
        <v>-3.3333333333333333E-2</v>
      </c>
      <c r="G632" s="42">
        <f t="shared" si="677"/>
        <v>-0.23333333333333334</v>
      </c>
      <c r="H632" s="42">
        <f t="shared" si="678"/>
        <v>-0.36666666666666664</v>
      </c>
      <c r="I632" s="42">
        <f t="shared" si="679"/>
        <v>-0.43333333333333335</v>
      </c>
      <c r="J632" s="42">
        <f t="shared" si="680"/>
        <v>-0.56666666666666665</v>
      </c>
      <c r="K632" s="42">
        <f t="shared" si="681"/>
        <v>-0.6333333333333333</v>
      </c>
      <c r="L632" s="42">
        <f t="shared" si="682"/>
        <v>-0.76666666666666672</v>
      </c>
      <c r="M632" s="42">
        <f t="shared" si="683"/>
        <v>-0.96666666666666667</v>
      </c>
      <c r="O632" s="43" t="str">
        <f t="shared" si="673"/>
        <v/>
      </c>
    </row>
    <row r="633" spans="1:15" x14ac:dyDescent="0.45">
      <c r="D633" s="27">
        <f t="shared" si="674"/>
        <v>0</v>
      </c>
      <c r="E633" s="28">
        <f t="shared" si="675"/>
        <v>0</v>
      </c>
      <c r="F633" s="42">
        <f t="shared" si="676"/>
        <v>-3.3333333333333333E-2</v>
      </c>
      <c r="G633" s="42">
        <f t="shared" si="677"/>
        <v>-0.23333333333333334</v>
      </c>
      <c r="H633" s="42">
        <f t="shared" si="678"/>
        <v>-0.36666666666666664</v>
      </c>
      <c r="I633" s="42">
        <f t="shared" si="679"/>
        <v>-0.43333333333333335</v>
      </c>
      <c r="J633" s="42">
        <f t="shared" si="680"/>
        <v>-0.56666666666666665</v>
      </c>
      <c r="K633" s="42">
        <f t="shared" si="681"/>
        <v>-0.6333333333333333</v>
      </c>
      <c r="L633" s="42">
        <f t="shared" si="682"/>
        <v>-0.76666666666666672</v>
      </c>
      <c r="M633" s="42">
        <f t="shared" si="683"/>
        <v>-0.96666666666666667</v>
      </c>
      <c r="O633" s="43" t="str">
        <f t="shared" si="673"/>
        <v/>
      </c>
    </row>
    <row r="634" spans="1:15" x14ac:dyDescent="0.45">
      <c r="D634" s="27">
        <f t="shared" si="674"/>
        <v>0</v>
      </c>
      <c r="E634" s="28">
        <f t="shared" si="675"/>
        <v>0</v>
      </c>
      <c r="F634" s="42">
        <f t="shared" si="676"/>
        <v>-3.3333333333333333E-2</v>
      </c>
      <c r="G634" s="42">
        <f t="shared" si="677"/>
        <v>-0.23333333333333334</v>
      </c>
      <c r="H634" s="42">
        <f t="shared" si="678"/>
        <v>-0.36666666666666664</v>
      </c>
      <c r="I634" s="42">
        <f t="shared" si="679"/>
        <v>-0.43333333333333335</v>
      </c>
      <c r="J634" s="42">
        <f t="shared" si="680"/>
        <v>-0.56666666666666665</v>
      </c>
      <c r="K634" s="42">
        <f t="shared" si="681"/>
        <v>-0.6333333333333333</v>
      </c>
      <c r="L634" s="42">
        <f t="shared" si="682"/>
        <v>-0.76666666666666672</v>
      </c>
      <c r="M634" s="42">
        <f t="shared" si="683"/>
        <v>-0.96666666666666667</v>
      </c>
      <c r="O634" s="43" t="str">
        <f t="shared" si="673"/>
        <v/>
      </c>
    </row>
    <row r="635" spans="1:15" ht="19.2" thickBot="1" x14ac:dyDescent="0.5">
      <c r="F635" s="42"/>
      <c r="G635" s="42"/>
      <c r="H635" s="42"/>
      <c r="I635" s="42"/>
      <c r="J635" s="42"/>
      <c r="K635" s="42"/>
      <c r="L635" s="42"/>
      <c r="M635" s="42"/>
    </row>
    <row r="636" spans="1:15" ht="19.2" thickBot="1" x14ac:dyDescent="0.5">
      <c r="C636" s="44"/>
      <c r="E636" s="34">
        <f>E617</f>
        <v>0</v>
      </c>
      <c r="F636" s="45">
        <v>1</v>
      </c>
      <c r="G636" s="46">
        <v>7</v>
      </c>
      <c r="H636" s="46">
        <v>11</v>
      </c>
      <c r="I636" s="46">
        <v>13</v>
      </c>
      <c r="J636" s="46">
        <v>17</v>
      </c>
      <c r="K636" s="46">
        <v>19</v>
      </c>
      <c r="L636" s="46">
        <v>23</v>
      </c>
      <c r="M636" s="47">
        <v>29</v>
      </c>
      <c r="O636" s="27" t="s">
        <v>2</v>
      </c>
    </row>
    <row r="637" spans="1:15" x14ac:dyDescent="0.45">
      <c r="A637" s="29">
        <f>A627+1</f>
        <v>63</v>
      </c>
      <c r="D637" s="27">
        <f>C627</f>
        <v>0</v>
      </c>
      <c r="E637" s="28">
        <f>D637*$E$6</f>
        <v>0</v>
      </c>
      <c r="F637" s="42">
        <f>(E637-1)/30</f>
        <v>-3.3333333333333333E-2</v>
      </c>
      <c r="G637" s="42">
        <f>($E637-7)/30</f>
        <v>-0.23333333333333334</v>
      </c>
      <c r="H637" s="42">
        <f>($E637-11)/30</f>
        <v>-0.36666666666666664</v>
      </c>
      <c r="I637" s="42">
        <f>($E637-13)/30</f>
        <v>-0.43333333333333335</v>
      </c>
      <c r="J637" s="42">
        <f>($E637-17)/30</f>
        <v>-0.56666666666666665</v>
      </c>
      <c r="K637" s="42">
        <f>($E637-19)/30</f>
        <v>-0.6333333333333333</v>
      </c>
      <c r="L637" s="42">
        <f>($E637-23)/30</f>
        <v>-0.76666666666666672</v>
      </c>
      <c r="M637" s="42">
        <f>($E637-29)/30</f>
        <v>-0.96666666666666667</v>
      </c>
      <c r="O637" s="43" t="str">
        <f t="shared" ref="O637:O644" si="684">FactorNumber(E637)</f>
        <v/>
      </c>
    </row>
    <row r="638" spans="1:15" x14ac:dyDescent="0.45">
      <c r="D638" s="27">
        <f t="shared" ref="D638:D644" si="685">C628</f>
        <v>0</v>
      </c>
      <c r="E638" s="28">
        <f t="shared" ref="E638:E644" si="686">D638*$E$6</f>
        <v>0</v>
      </c>
      <c r="F638" s="42">
        <f t="shared" ref="F638:F644" si="687">(E638-1)/30</f>
        <v>-3.3333333333333333E-2</v>
      </c>
      <c r="G638" s="42">
        <f t="shared" ref="G638:G644" si="688">($E638-7)/30</f>
        <v>-0.23333333333333334</v>
      </c>
      <c r="H638" s="42">
        <f t="shared" ref="H638:H644" si="689">($E638-11)/30</f>
        <v>-0.36666666666666664</v>
      </c>
      <c r="I638" s="42">
        <f t="shared" ref="I638:I644" si="690">($E638-13)/30</f>
        <v>-0.43333333333333335</v>
      </c>
      <c r="J638" s="42">
        <f t="shared" ref="J638:J644" si="691">($E638-17)/30</f>
        <v>-0.56666666666666665</v>
      </c>
      <c r="K638" s="42">
        <f t="shared" ref="K638:K644" si="692">($E638-19)/30</f>
        <v>-0.6333333333333333</v>
      </c>
      <c r="L638" s="42">
        <f t="shared" ref="L638:L644" si="693">($E638-23)/30</f>
        <v>-0.76666666666666672</v>
      </c>
      <c r="M638" s="42">
        <f t="shared" ref="M638:M644" si="694">($E638-29)/30</f>
        <v>-0.96666666666666667</v>
      </c>
      <c r="O638" s="43" t="str">
        <f t="shared" si="684"/>
        <v/>
      </c>
    </row>
    <row r="639" spans="1:15" x14ac:dyDescent="0.45">
      <c r="D639" s="27">
        <f t="shared" si="685"/>
        <v>0</v>
      </c>
      <c r="E639" s="28">
        <f t="shared" si="686"/>
        <v>0</v>
      </c>
      <c r="F639" s="42">
        <f t="shared" si="687"/>
        <v>-3.3333333333333333E-2</v>
      </c>
      <c r="G639" s="42">
        <f t="shared" si="688"/>
        <v>-0.23333333333333334</v>
      </c>
      <c r="H639" s="42">
        <f t="shared" si="689"/>
        <v>-0.36666666666666664</v>
      </c>
      <c r="I639" s="42">
        <f t="shared" si="690"/>
        <v>-0.43333333333333335</v>
      </c>
      <c r="J639" s="42">
        <f t="shared" si="691"/>
        <v>-0.56666666666666665</v>
      </c>
      <c r="K639" s="42">
        <f t="shared" si="692"/>
        <v>-0.6333333333333333</v>
      </c>
      <c r="L639" s="42">
        <f t="shared" si="693"/>
        <v>-0.76666666666666672</v>
      </c>
      <c r="M639" s="42">
        <f t="shared" si="694"/>
        <v>-0.96666666666666667</v>
      </c>
      <c r="O639" s="43" t="str">
        <f t="shared" si="684"/>
        <v/>
      </c>
    </row>
    <row r="640" spans="1:15" x14ac:dyDescent="0.45">
      <c r="D640" s="27">
        <f t="shared" si="685"/>
        <v>0</v>
      </c>
      <c r="E640" s="28">
        <f t="shared" si="686"/>
        <v>0</v>
      </c>
      <c r="F640" s="42">
        <f t="shared" si="687"/>
        <v>-3.3333333333333333E-2</v>
      </c>
      <c r="G640" s="42">
        <f t="shared" si="688"/>
        <v>-0.23333333333333334</v>
      </c>
      <c r="H640" s="42">
        <f t="shared" si="689"/>
        <v>-0.36666666666666664</v>
      </c>
      <c r="I640" s="42">
        <f t="shared" si="690"/>
        <v>-0.43333333333333335</v>
      </c>
      <c r="J640" s="42">
        <f t="shared" si="691"/>
        <v>-0.56666666666666665</v>
      </c>
      <c r="K640" s="42">
        <f t="shared" si="692"/>
        <v>-0.6333333333333333</v>
      </c>
      <c r="L640" s="42">
        <f t="shared" si="693"/>
        <v>-0.76666666666666672</v>
      </c>
      <c r="M640" s="42">
        <f t="shared" si="694"/>
        <v>-0.96666666666666667</v>
      </c>
      <c r="O640" s="43" t="str">
        <f t="shared" si="684"/>
        <v/>
      </c>
    </row>
    <row r="641" spans="1:15" x14ac:dyDescent="0.45">
      <c r="D641" s="27">
        <f t="shared" si="685"/>
        <v>0</v>
      </c>
      <c r="E641" s="28">
        <f t="shared" si="686"/>
        <v>0</v>
      </c>
      <c r="F641" s="42">
        <f t="shared" si="687"/>
        <v>-3.3333333333333333E-2</v>
      </c>
      <c r="G641" s="42">
        <f t="shared" si="688"/>
        <v>-0.23333333333333334</v>
      </c>
      <c r="H641" s="42">
        <f t="shared" si="689"/>
        <v>-0.36666666666666664</v>
      </c>
      <c r="I641" s="42">
        <f t="shared" si="690"/>
        <v>-0.43333333333333335</v>
      </c>
      <c r="J641" s="42">
        <f t="shared" si="691"/>
        <v>-0.56666666666666665</v>
      </c>
      <c r="K641" s="42">
        <f t="shared" si="692"/>
        <v>-0.6333333333333333</v>
      </c>
      <c r="L641" s="42">
        <f t="shared" si="693"/>
        <v>-0.76666666666666672</v>
      </c>
      <c r="M641" s="42">
        <f t="shared" si="694"/>
        <v>-0.96666666666666667</v>
      </c>
      <c r="O641" s="43" t="str">
        <f t="shared" si="684"/>
        <v/>
      </c>
    </row>
    <row r="642" spans="1:15" x14ac:dyDescent="0.45">
      <c r="D642" s="27">
        <f t="shared" si="685"/>
        <v>0</v>
      </c>
      <c r="E642" s="28">
        <f t="shared" si="686"/>
        <v>0</v>
      </c>
      <c r="F642" s="42">
        <f t="shared" si="687"/>
        <v>-3.3333333333333333E-2</v>
      </c>
      <c r="G642" s="42">
        <f t="shared" si="688"/>
        <v>-0.23333333333333334</v>
      </c>
      <c r="H642" s="42">
        <f t="shared" si="689"/>
        <v>-0.36666666666666664</v>
      </c>
      <c r="I642" s="42">
        <f t="shared" si="690"/>
        <v>-0.43333333333333335</v>
      </c>
      <c r="J642" s="42">
        <f t="shared" si="691"/>
        <v>-0.56666666666666665</v>
      </c>
      <c r="K642" s="42">
        <f t="shared" si="692"/>
        <v>-0.6333333333333333</v>
      </c>
      <c r="L642" s="42">
        <f t="shared" si="693"/>
        <v>-0.76666666666666672</v>
      </c>
      <c r="M642" s="42">
        <f t="shared" si="694"/>
        <v>-0.96666666666666667</v>
      </c>
      <c r="O642" s="43" t="str">
        <f t="shared" si="684"/>
        <v/>
      </c>
    </row>
    <row r="643" spans="1:15" x14ac:dyDescent="0.45">
      <c r="D643" s="27">
        <f t="shared" si="685"/>
        <v>0</v>
      </c>
      <c r="E643" s="28">
        <f t="shared" si="686"/>
        <v>0</v>
      </c>
      <c r="F643" s="42">
        <f t="shared" si="687"/>
        <v>-3.3333333333333333E-2</v>
      </c>
      <c r="G643" s="42">
        <f t="shared" si="688"/>
        <v>-0.23333333333333334</v>
      </c>
      <c r="H643" s="42">
        <f t="shared" si="689"/>
        <v>-0.36666666666666664</v>
      </c>
      <c r="I643" s="42">
        <f t="shared" si="690"/>
        <v>-0.43333333333333335</v>
      </c>
      <c r="J643" s="42">
        <f t="shared" si="691"/>
        <v>-0.56666666666666665</v>
      </c>
      <c r="K643" s="42">
        <f t="shared" si="692"/>
        <v>-0.6333333333333333</v>
      </c>
      <c r="L643" s="42">
        <f t="shared" si="693"/>
        <v>-0.76666666666666672</v>
      </c>
      <c r="M643" s="42">
        <f t="shared" si="694"/>
        <v>-0.96666666666666667</v>
      </c>
      <c r="O643" s="43" t="str">
        <f t="shared" si="684"/>
        <v/>
      </c>
    </row>
    <row r="644" spans="1:15" x14ac:dyDescent="0.45">
      <c r="D644" s="27">
        <f t="shared" si="685"/>
        <v>0</v>
      </c>
      <c r="E644" s="28">
        <f t="shared" si="686"/>
        <v>0</v>
      </c>
      <c r="F644" s="42">
        <f t="shared" si="687"/>
        <v>-3.3333333333333333E-2</v>
      </c>
      <c r="G644" s="42">
        <f t="shared" si="688"/>
        <v>-0.23333333333333334</v>
      </c>
      <c r="H644" s="42">
        <f t="shared" si="689"/>
        <v>-0.36666666666666664</v>
      </c>
      <c r="I644" s="42">
        <f t="shared" si="690"/>
        <v>-0.43333333333333335</v>
      </c>
      <c r="J644" s="42">
        <f t="shared" si="691"/>
        <v>-0.56666666666666665</v>
      </c>
      <c r="K644" s="42">
        <f t="shared" si="692"/>
        <v>-0.6333333333333333</v>
      </c>
      <c r="L644" s="42">
        <f t="shared" si="693"/>
        <v>-0.76666666666666672</v>
      </c>
      <c r="M644" s="42">
        <f t="shared" si="694"/>
        <v>-0.96666666666666667</v>
      </c>
      <c r="O644" s="43" t="str">
        <f t="shared" si="684"/>
        <v/>
      </c>
    </row>
    <row r="645" spans="1:15" ht="19.2" thickBot="1" x14ac:dyDescent="0.5">
      <c r="F645" s="42"/>
      <c r="G645" s="42"/>
      <c r="H645" s="42"/>
      <c r="I645" s="42"/>
      <c r="J645" s="42"/>
      <c r="K645" s="42"/>
      <c r="L645" s="42"/>
      <c r="M645" s="42"/>
    </row>
    <row r="646" spans="1:15" ht="19.2" thickBot="1" x14ac:dyDescent="0.5">
      <c r="C646" s="44"/>
      <c r="E646" s="34">
        <f>E627</f>
        <v>0</v>
      </c>
      <c r="F646" s="45">
        <v>1</v>
      </c>
      <c r="G646" s="46">
        <v>7</v>
      </c>
      <c r="H646" s="46">
        <v>11</v>
      </c>
      <c r="I646" s="46">
        <v>13</v>
      </c>
      <c r="J646" s="46">
        <v>17</v>
      </c>
      <c r="K646" s="46">
        <v>19</v>
      </c>
      <c r="L646" s="46">
        <v>23</v>
      </c>
      <c r="M646" s="47">
        <v>29</v>
      </c>
      <c r="O646" s="27" t="s">
        <v>2</v>
      </c>
    </row>
    <row r="647" spans="1:15" x14ac:dyDescent="0.45">
      <c r="A647" s="29">
        <f>A637+1</f>
        <v>64</v>
      </c>
      <c r="D647" s="27">
        <f>C637</f>
        <v>0</v>
      </c>
      <c r="E647" s="28">
        <f>D647*$E$6</f>
        <v>0</v>
      </c>
      <c r="F647" s="42">
        <f>(E647-1)/30</f>
        <v>-3.3333333333333333E-2</v>
      </c>
      <c r="G647" s="42">
        <f>($E647-7)/30</f>
        <v>-0.23333333333333334</v>
      </c>
      <c r="H647" s="42">
        <f>($E647-11)/30</f>
        <v>-0.36666666666666664</v>
      </c>
      <c r="I647" s="42">
        <f>($E647-13)/30</f>
        <v>-0.43333333333333335</v>
      </c>
      <c r="J647" s="42">
        <f>($E647-17)/30</f>
        <v>-0.56666666666666665</v>
      </c>
      <c r="K647" s="42">
        <f>($E647-19)/30</f>
        <v>-0.6333333333333333</v>
      </c>
      <c r="L647" s="42">
        <f>($E647-23)/30</f>
        <v>-0.76666666666666672</v>
      </c>
      <c r="M647" s="42">
        <f>($E647-29)/30</f>
        <v>-0.96666666666666667</v>
      </c>
      <c r="O647" s="43" t="str">
        <f t="shared" ref="O647:O654" si="695">FactorNumber(E647)</f>
        <v/>
      </c>
    </row>
    <row r="648" spans="1:15" x14ac:dyDescent="0.45">
      <c r="D648" s="27">
        <f t="shared" ref="D648:D654" si="696">C638</f>
        <v>0</v>
      </c>
      <c r="E648" s="28">
        <f t="shared" ref="E648:E654" si="697">D648*$E$6</f>
        <v>0</v>
      </c>
      <c r="F648" s="42">
        <f t="shared" ref="F648:F654" si="698">(E648-1)/30</f>
        <v>-3.3333333333333333E-2</v>
      </c>
      <c r="G648" s="42">
        <f t="shared" ref="G648:G654" si="699">($E648-7)/30</f>
        <v>-0.23333333333333334</v>
      </c>
      <c r="H648" s="42">
        <f t="shared" ref="H648:H654" si="700">($E648-11)/30</f>
        <v>-0.36666666666666664</v>
      </c>
      <c r="I648" s="42">
        <f t="shared" ref="I648:I654" si="701">($E648-13)/30</f>
        <v>-0.43333333333333335</v>
      </c>
      <c r="J648" s="42">
        <f t="shared" ref="J648:J654" si="702">($E648-17)/30</f>
        <v>-0.56666666666666665</v>
      </c>
      <c r="K648" s="42">
        <f t="shared" ref="K648:K654" si="703">($E648-19)/30</f>
        <v>-0.6333333333333333</v>
      </c>
      <c r="L648" s="42">
        <f t="shared" ref="L648:L654" si="704">($E648-23)/30</f>
        <v>-0.76666666666666672</v>
      </c>
      <c r="M648" s="42">
        <f t="shared" ref="M648:M654" si="705">($E648-29)/30</f>
        <v>-0.96666666666666667</v>
      </c>
      <c r="O648" s="43" t="str">
        <f t="shared" si="695"/>
        <v/>
      </c>
    </row>
    <row r="649" spans="1:15" x14ac:dyDescent="0.45">
      <c r="D649" s="27">
        <f t="shared" si="696"/>
        <v>0</v>
      </c>
      <c r="E649" s="28">
        <f t="shared" si="697"/>
        <v>0</v>
      </c>
      <c r="F649" s="42">
        <f t="shared" si="698"/>
        <v>-3.3333333333333333E-2</v>
      </c>
      <c r="G649" s="42">
        <f t="shared" si="699"/>
        <v>-0.23333333333333334</v>
      </c>
      <c r="H649" s="42">
        <f t="shared" si="700"/>
        <v>-0.36666666666666664</v>
      </c>
      <c r="I649" s="42">
        <f t="shared" si="701"/>
        <v>-0.43333333333333335</v>
      </c>
      <c r="J649" s="42">
        <f t="shared" si="702"/>
        <v>-0.56666666666666665</v>
      </c>
      <c r="K649" s="42">
        <f t="shared" si="703"/>
        <v>-0.6333333333333333</v>
      </c>
      <c r="L649" s="42">
        <f t="shared" si="704"/>
        <v>-0.76666666666666672</v>
      </c>
      <c r="M649" s="42">
        <f t="shared" si="705"/>
        <v>-0.96666666666666667</v>
      </c>
      <c r="O649" s="43" t="str">
        <f t="shared" si="695"/>
        <v/>
      </c>
    </row>
    <row r="650" spans="1:15" x14ac:dyDescent="0.45">
      <c r="D650" s="27">
        <f t="shared" si="696"/>
        <v>0</v>
      </c>
      <c r="E650" s="28">
        <f t="shared" si="697"/>
        <v>0</v>
      </c>
      <c r="F650" s="42">
        <f t="shared" si="698"/>
        <v>-3.3333333333333333E-2</v>
      </c>
      <c r="G650" s="42">
        <f t="shared" si="699"/>
        <v>-0.23333333333333334</v>
      </c>
      <c r="H650" s="42">
        <f t="shared" si="700"/>
        <v>-0.36666666666666664</v>
      </c>
      <c r="I650" s="42">
        <f t="shared" si="701"/>
        <v>-0.43333333333333335</v>
      </c>
      <c r="J650" s="42">
        <f t="shared" si="702"/>
        <v>-0.56666666666666665</v>
      </c>
      <c r="K650" s="42">
        <f t="shared" si="703"/>
        <v>-0.6333333333333333</v>
      </c>
      <c r="L650" s="42">
        <f t="shared" si="704"/>
        <v>-0.76666666666666672</v>
      </c>
      <c r="M650" s="42">
        <f t="shared" si="705"/>
        <v>-0.96666666666666667</v>
      </c>
      <c r="O650" s="43" t="str">
        <f t="shared" si="695"/>
        <v/>
      </c>
    </row>
    <row r="651" spans="1:15" x14ac:dyDescent="0.45">
      <c r="D651" s="27">
        <f t="shared" si="696"/>
        <v>0</v>
      </c>
      <c r="E651" s="28">
        <f t="shared" si="697"/>
        <v>0</v>
      </c>
      <c r="F651" s="42">
        <f t="shared" si="698"/>
        <v>-3.3333333333333333E-2</v>
      </c>
      <c r="G651" s="42">
        <f t="shared" si="699"/>
        <v>-0.23333333333333334</v>
      </c>
      <c r="H651" s="42">
        <f t="shared" si="700"/>
        <v>-0.36666666666666664</v>
      </c>
      <c r="I651" s="42">
        <f t="shared" si="701"/>
        <v>-0.43333333333333335</v>
      </c>
      <c r="J651" s="42">
        <f t="shared" si="702"/>
        <v>-0.56666666666666665</v>
      </c>
      <c r="K651" s="42">
        <f t="shared" si="703"/>
        <v>-0.6333333333333333</v>
      </c>
      <c r="L651" s="42">
        <f t="shared" si="704"/>
        <v>-0.76666666666666672</v>
      </c>
      <c r="M651" s="42">
        <f t="shared" si="705"/>
        <v>-0.96666666666666667</v>
      </c>
      <c r="O651" s="43" t="str">
        <f t="shared" si="695"/>
        <v/>
      </c>
    </row>
    <row r="652" spans="1:15" x14ac:dyDescent="0.45">
      <c r="D652" s="27">
        <f t="shared" si="696"/>
        <v>0</v>
      </c>
      <c r="E652" s="28">
        <f t="shared" si="697"/>
        <v>0</v>
      </c>
      <c r="F652" s="42">
        <f t="shared" si="698"/>
        <v>-3.3333333333333333E-2</v>
      </c>
      <c r="G652" s="42">
        <f t="shared" si="699"/>
        <v>-0.23333333333333334</v>
      </c>
      <c r="H652" s="42">
        <f t="shared" si="700"/>
        <v>-0.36666666666666664</v>
      </c>
      <c r="I652" s="42">
        <f t="shared" si="701"/>
        <v>-0.43333333333333335</v>
      </c>
      <c r="J652" s="42">
        <f t="shared" si="702"/>
        <v>-0.56666666666666665</v>
      </c>
      <c r="K652" s="42">
        <f t="shared" si="703"/>
        <v>-0.6333333333333333</v>
      </c>
      <c r="L652" s="42">
        <f t="shared" si="704"/>
        <v>-0.76666666666666672</v>
      </c>
      <c r="M652" s="42">
        <f t="shared" si="705"/>
        <v>-0.96666666666666667</v>
      </c>
      <c r="O652" s="43" t="str">
        <f t="shared" si="695"/>
        <v/>
      </c>
    </row>
    <row r="653" spans="1:15" x14ac:dyDescent="0.45">
      <c r="D653" s="27">
        <f t="shared" si="696"/>
        <v>0</v>
      </c>
      <c r="E653" s="28">
        <f t="shared" si="697"/>
        <v>0</v>
      </c>
      <c r="F653" s="42">
        <f t="shared" si="698"/>
        <v>-3.3333333333333333E-2</v>
      </c>
      <c r="G653" s="42">
        <f t="shared" si="699"/>
        <v>-0.23333333333333334</v>
      </c>
      <c r="H653" s="42">
        <f t="shared" si="700"/>
        <v>-0.36666666666666664</v>
      </c>
      <c r="I653" s="42">
        <f t="shared" si="701"/>
        <v>-0.43333333333333335</v>
      </c>
      <c r="J653" s="42">
        <f t="shared" si="702"/>
        <v>-0.56666666666666665</v>
      </c>
      <c r="K653" s="42">
        <f t="shared" si="703"/>
        <v>-0.6333333333333333</v>
      </c>
      <c r="L653" s="42">
        <f t="shared" si="704"/>
        <v>-0.76666666666666672</v>
      </c>
      <c r="M653" s="42">
        <f t="shared" si="705"/>
        <v>-0.96666666666666667</v>
      </c>
      <c r="O653" s="43" t="str">
        <f t="shared" si="695"/>
        <v/>
      </c>
    </row>
    <row r="654" spans="1:15" x14ac:dyDescent="0.45">
      <c r="D654" s="27">
        <f t="shared" si="696"/>
        <v>0</v>
      </c>
      <c r="E654" s="28">
        <f t="shared" si="697"/>
        <v>0</v>
      </c>
      <c r="F654" s="42">
        <f t="shared" si="698"/>
        <v>-3.3333333333333333E-2</v>
      </c>
      <c r="G654" s="42">
        <f t="shared" si="699"/>
        <v>-0.23333333333333334</v>
      </c>
      <c r="H654" s="42">
        <f t="shared" si="700"/>
        <v>-0.36666666666666664</v>
      </c>
      <c r="I654" s="42">
        <f t="shared" si="701"/>
        <v>-0.43333333333333335</v>
      </c>
      <c r="J654" s="42">
        <f t="shared" si="702"/>
        <v>-0.56666666666666665</v>
      </c>
      <c r="K654" s="42">
        <f t="shared" si="703"/>
        <v>-0.6333333333333333</v>
      </c>
      <c r="L654" s="42">
        <f t="shared" si="704"/>
        <v>-0.76666666666666672</v>
      </c>
      <c r="M654" s="42">
        <f t="shared" si="705"/>
        <v>-0.96666666666666667</v>
      </c>
      <c r="O654" s="43" t="str">
        <f t="shared" si="695"/>
        <v/>
      </c>
    </row>
    <row r="655" spans="1:15" ht="19.2" thickBot="1" x14ac:dyDescent="0.5">
      <c r="F655" s="42"/>
      <c r="G655" s="42"/>
      <c r="H655" s="42"/>
      <c r="I655" s="42"/>
      <c r="J655" s="42"/>
      <c r="K655" s="42"/>
      <c r="L655" s="42"/>
      <c r="M655" s="42"/>
    </row>
    <row r="656" spans="1:15" ht="19.2" thickBot="1" x14ac:dyDescent="0.5">
      <c r="C656" s="44"/>
      <c r="E656" s="34">
        <f>E637</f>
        <v>0</v>
      </c>
      <c r="F656" s="45">
        <v>1</v>
      </c>
      <c r="G656" s="46">
        <v>7</v>
      </c>
      <c r="H656" s="46">
        <v>11</v>
      </c>
      <c r="I656" s="46">
        <v>13</v>
      </c>
      <c r="J656" s="46">
        <v>17</v>
      </c>
      <c r="K656" s="46">
        <v>19</v>
      </c>
      <c r="L656" s="46">
        <v>23</v>
      </c>
      <c r="M656" s="47">
        <v>29</v>
      </c>
      <c r="O656" s="27" t="s">
        <v>2</v>
      </c>
    </row>
    <row r="657" spans="1:15" x14ac:dyDescent="0.45">
      <c r="A657" s="29">
        <f>A647+1</f>
        <v>65</v>
      </c>
      <c r="D657" s="27">
        <f>C647</f>
        <v>0</v>
      </c>
      <c r="E657" s="28">
        <f>D657*$E$6</f>
        <v>0</v>
      </c>
      <c r="F657" s="42">
        <f>(E657-1)/30</f>
        <v>-3.3333333333333333E-2</v>
      </c>
      <c r="G657" s="42">
        <f>($E657-7)/30</f>
        <v>-0.23333333333333334</v>
      </c>
      <c r="H657" s="42">
        <f>($E657-11)/30</f>
        <v>-0.36666666666666664</v>
      </c>
      <c r="I657" s="42">
        <f>($E657-13)/30</f>
        <v>-0.43333333333333335</v>
      </c>
      <c r="J657" s="42">
        <f>($E657-17)/30</f>
        <v>-0.56666666666666665</v>
      </c>
      <c r="K657" s="42">
        <f>($E657-19)/30</f>
        <v>-0.6333333333333333</v>
      </c>
      <c r="L657" s="42">
        <f>($E657-23)/30</f>
        <v>-0.76666666666666672</v>
      </c>
      <c r="M657" s="42">
        <f>($E657-29)/30</f>
        <v>-0.96666666666666667</v>
      </c>
      <c r="O657" s="43" t="str">
        <f t="shared" ref="O657:O664" si="706">FactorNumber(E657)</f>
        <v/>
      </c>
    </row>
    <row r="658" spans="1:15" x14ac:dyDescent="0.45">
      <c r="D658" s="27">
        <f t="shared" ref="D658:D664" si="707">C648</f>
        <v>0</v>
      </c>
      <c r="E658" s="28">
        <f t="shared" ref="E658:E664" si="708">D658*$E$6</f>
        <v>0</v>
      </c>
      <c r="F658" s="42">
        <f t="shared" ref="F658:F664" si="709">(E658-1)/30</f>
        <v>-3.3333333333333333E-2</v>
      </c>
      <c r="G658" s="42">
        <f t="shared" ref="G658:G664" si="710">($E658-7)/30</f>
        <v>-0.23333333333333334</v>
      </c>
      <c r="H658" s="42">
        <f t="shared" ref="H658:H664" si="711">($E658-11)/30</f>
        <v>-0.36666666666666664</v>
      </c>
      <c r="I658" s="42">
        <f t="shared" ref="I658:I664" si="712">($E658-13)/30</f>
        <v>-0.43333333333333335</v>
      </c>
      <c r="J658" s="42">
        <f t="shared" ref="J658:J664" si="713">($E658-17)/30</f>
        <v>-0.56666666666666665</v>
      </c>
      <c r="K658" s="42">
        <f t="shared" ref="K658:K664" si="714">($E658-19)/30</f>
        <v>-0.6333333333333333</v>
      </c>
      <c r="L658" s="42">
        <f t="shared" ref="L658:L664" si="715">($E658-23)/30</f>
        <v>-0.76666666666666672</v>
      </c>
      <c r="M658" s="42">
        <f t="shared" ref="M658:M664" si="716">($E658-29)/30</f>
        <v>-0.96666666666666667</v>
      </c>
      <c r="O658" s="43" t="str">
        <f t="shared" si="706"/>
        <v/>
      </c>
    </row>
    <row r="659" spans="1:15" x14ac:dyDescent="0.45">
      <c r="D659" s="27">
        <f t="shared" si="707"/>
        <v>0</v>
      </c>
      <c r="E659" s="28">
        <f t="shared" si="708"/>
        <v>0</v>
      </c>
      <c r="F659" s="42">
        <f t="shared" si="709"/>
        <v>-3.3333333333333333E-2</v>
      </c>
      <c r="G659" s="42">
        <f t="shared" si="710"/>
        <v>-0.23333333333333334</v>
      </c>
      <c r="H659" s="42">
        <f t="shared" si="711"/>
        <v>-0.36666666666666664</v>
      </c>
      <c r="I659" s="42">
        <f t="shared" si="712"/>
        <v>-0.43333333333333335</v>
      </c>
      <c r="J659" s="42">
        <f t="shared" si="713"/>
        <v>-0.56666666666666665</v>
      </c>
      <c r="K659" s="42">
        <f t="shared" si="714"/>
        <v>-0.6333333333333333</v>
      </c>
      <c r="L659" s="42">
        <f t="shared" si="715"/>
        <v>-0.76666666666666672</v>
      </c>
      <c r="M659" s="42">
        <f t="shared" si="716"/>
        <v>-0.96666666666666667</v>
      </c>
      <c r="O659" s="43" t="str">
        <f t="shared" si="706"/>
        <v/>
      </c>
    </row>
    <row r="660" spans="1:15" x14ac:dyDescent="0.45">
      <c r="D660" s="27">
        <f t="shared" si="707"/>
        <v>0</v>
      </c>
      <c r="E660" s="28">
        <f t="shared" si="708"/>
        <v>0</v>
      </c>
      <c r="F660" s="42">
        <f t="shared" si="709"/>
        <v>-3.3333333333333333E-2</v>
      </c>
      <c r="G660" s="42">
        <f t="shared" si="710"/>
        <v>-0.23333333333333334</v>
      </c>
      <c r="H660" s="42">
        <f t="shared" si="711"/>
        <v>-0.36666666666666664</v>
      </c>
      <c r="I660" s="42">
        <f t="shared" si="712"/>
        <v>-0.43333333333333335</v>
      </c>
      <c r="J660" s="42">
        <f t="shared" si="713"/>
        <v>-0.56666666666666665</v>
      </c>
      <c r="K660" s="42">
        <f t="shared" si="714"/>
        <v>-0.6333333333333333</v>
      </c>
      <c r="L660" s="42">
        <f t="shared" si="715"/>
        <v>-0.76666666666666672</v>
      </c>
      <c r="M660" s="42">
        <f t="shared" si="716"/>
        <v>-0.96666666666666667</v>
      </c>
      <c r="O660" s="43" t="str">
        <f t="shared" si="706"/>
        <v/>
      </c>
    </row>
    <row r="661" spans="1:15" x14ac:dyDescent="0.45">
      <c r="D661" s="27">
        <f t="shared" si="707"/>
        <v>0</v>
      </c>
      <c r="E661" s="28">
        <f t="shared" si="708"/>
        <v>0</v>
      </c>
      <c r="F661" s="42">
        <f t="shared" si="709"/>
        <v>-3.3333333333333333E-2</v>
      </c>
      <c r="G661" s="42">
        <f t="shared" si="710"/>
        <v>-0.23333333333333334</v>
      </c>
      <c r="H661" s="42">
        <f t="shared" si="711"/>
        <v>-0.36666666666666664</v>
      </c>
      <c r="I661" s="42">
        <f t="shared" si="712"/>
        <v>-0.43333333333333335</v>
      </c>
      <c r="J661" s="42">
        <f t="shared" si="713"/>
        <v>-0.56666666666666665</v>
      </c>
      <c r="K661" s="42">
        <f t="shared" si="714"/>
        <v>-0.6333333333333333</v>
      </c>
      <c r="L661" s="42">
        <f t="shared" si="715"/>
        <v>-0.76666666666666672</v>
      </c>
      <c r="M661" s="42">
        <f t="shared" si="716"/>
        <v>-0.96666666666666667</v>
      </c>
      <c r="O661" s="43" t="str">
        <f t="shared" si="706"/>
        <v/>
      </c>
    </row>
    <row r="662" spans="1:15" x14ac:dyDescent="0.45">
      <c r="D662" s="27">
        <f t="shared" si="707"/>
        <v>0</v>
      </c>
      <c r="E662" s="28">
        <f t="shared" si="708"/>
        <v>0</v>
      </c>
      <c r="F662" s="42">
        <f t="shared" si="709"/>
        <v>-3.3333333333333333E-2</v>
      </c>
      <c r="G662" s="42">
        <f t="shared" si="710"/>
        <v>-0.23333333333333334</v>
      </c>
      <c r="H662" s="42">
        <f t="shared" si="711"/>
        <v>-0.36666666666666664</v>
      </c>
      <c r="I662" s="42">
        <f t="shared" si="712"/>
        <v>-0.43333333333333335</v>
      </c>
      <c r="J662" s="42">
        <f t="shared" si="713"/>
        <v>-0.56666666666666665</v>
      </c>
      <c r="K662" s="42">
        <f t="shared" si="714"/>
        <v>-0.6333333333333333</v>
      </c>
      <c r="L662" s="42">
        <f t="shared" si="715"/>
        <v>-0.76666666666666672</v>
      </c>
      <c r="M662" s="42">
        <f t="shared" si="716"/>
        <v>-0.96666666666666667</v>
      </c>
      <c r="O662" s="43" t="str">
        <f t="shared" si="706"/>
        <v/>
      </c>
    </row>
    <row r="663" spans="1:15" x14ac:dyDescent="0.45">
      <c r="D663" s="27">
        <f t="shared" si="707"/>
        <v>0</v>
      </c>
      <c r="E663" s="28">
        <f t="shared" si="708"/>
        <v>0</v>
      </c>
      <c r="F663" s="42">
        <f t="shared" si="709"/>
        <v>-3.3333333333333333E-2</v>
      </c>
      <c r="G663" s="42">
        <f t="shared" si="710"/>
        <v>-0.23333333333333334</v>
      </c>
      <c r="H663" s="42">
        <f t="shared" si="711"/>
        <v>-0.36666666666666664</v>
      </c>
      <c r="I663" s="42">
        <f t="shared" si="712"/>
        <v>-0.43333333333333335</v>
      </c>
      <c r="J663" s="42">
        <f t="shared" si="713"/>
        <v>-0.56666666666666665</v>
      </c>
      <c r="K663" s="42">
        <f t="shared" si="714"/>
        <v>-0.6333333333333333</v>
      </c>
      <c r="L663" s="42">
        <f t="shared" si="715"/>
        <v>-0.76666666666666672</v>
      </c>
      <c r="M663" s="42">
        <f t="shared" si="716"/>
        <v>-0.96666666666666667</v>
      </c>
      <c r="O663" s="43" t="str">
        <f t="shared" si="706"/>
        <v/>
      </c>
    </row>
    <row r="664" spans="1:15" x14ac:dyDescent="0.45">
      <c r="D664" s="27">
        <f t="shared" si="707"/>
        <v>0</v>
      </c>
      <c r="E664" s="28">
        <f t="shared" si="708"/>
        <v>0</v>
      </c>
      <c r="F664" s="42">
        <f t="shared" si="709"/>
        <v>-3.3333333333333333E-2</v>
      </c>
      <c r="G664" s="42">
        <f t="shared" si="710"/>
        <v>-0.23333333333333334</v>
      </c>
      <c r="H664" s="42">
        <f t="shared" si="711"/>
        <v>-0.36666666666666664</v>
      </c>
      <c r="I664" s="42">
        <f t="shared" si="712"/>
        <v>-0.43333333333333335</v>
      </c>
      <c r="J664" s="42">
        <f t="shared" si="713"/>
        <v>-0.56666666666666665</v>
      </c>
      <c r="K664" s="42">
        <f t="shared" si="714"/>
        <v>-0.6333333333333333</v>
      </c>
      <c r="L664" s="42">
        <f t="shared" si="715"/>
        <v>-0.76666666666666672</v>
      </c>
      <c r="M664" s="42">
        <f t="shared" si="716"/>
        <v>-0.96666666666666667</v>
      </c>
      <c r="O664" s="43" t="str">
        <f t="shared" si="706"/>
        <v/>
      </c>
    </row>
    <row r="665" spans="1:15" ht="19.2" thickBot="1" x14ac:dyDescent="0.5">
      <c r="F665" s="42"/>
      <c r="G665" s="42"/>
      <c r="H665" s="42"/>
      <c r="I665" s="42"/>
      <c r="J665" s="42"/>
      <c r="K665" s="42"/>
      <c r="L665" s="42"/>
      <c r="M665" s="42"/>
    </row>
    <row r="666" spans="1:15" ht="19.2" thickBot="1" x14ac:dyDescent="0.5">
      <c r="C666" s="44"/>
      <c r="E666" s="34">
        <f>E647</f>
        <v>0</v>
      </c>
      <c r="F666" s="45">
        <v>1</v>
      </c>
      <c r="G666" s="46">
        <v>7</v>
      </c>
      <c r="H666" s="46">
        <v>11</v>
      </c>
      <c r="I666" s="46">
        <v>13</v>
      </c>
      <c r="J666" s="46">
        <v>17</v>
      </c>
      <c r="K666" s="46">
        <v>19</v>
      </c>
      <c r="L666" s="46">
        <v>23</v>
      </c>
      <c r="M666" s="47">
        <v>29</v>
      </c>
      <c r="O666" s="27" t="s">
        <v>2</v>
      </c>
    </row>
    <row r="667" spans="1:15" x14ac:dyDescent="0.45">
      <c r="A667" s="29">
        <f>A657+1</f>
        <v>66</v>
      </c>
      <c r="D667" s="27">
        <f>C657</f>
        <v>0</v>
      </c>
      <c r="E667" s="28">
        <f>D667*$E$6</f>
        <v>0</v>
      </c>
      <c r="F667" s="42">
        <f>(E667-1)/30</f>
        <v>-3.3333333333333333E-2</v>
      </c>
      <c r="G667" s="42">
        <f>($E667-7)/30</f>
        <v>-0.23333333333333334</v>
      </c>
      <c r="H667" s="42">
        <f>($E667-11)/30</f>
        <v>-0.36666666666666664</v>
      </c>
      <c r="I667" s="42">
        <f>($E667-13)/30</f>
        <v>-0.43333333333333335</v>
      </c>
      <c r="J667" s="42">
        <f>($E667-17)/30</f>
        <v>-0.56666666666666665</v>
      </c>
      <c r="K667" s="42">
        <f>($E667-19)/30</f>
        <v>-0.6333333333333333</v>
      </c>
      <c r="L667" s="42">
        <f>($E667-23)/30</f>
        <v>-0.76666666666666672</v>
      </c>
      <c r="M667" s="42">
        <f>($E667-29)/30</f>
        <v>-0.96666666666666667</v>
      </c>
      <c r="O667" s="43" t="str">
        <f t="shared" ref="O667:O674" si="717">FactorNumber(E667)</f>
        <v/>
      </c>
    </row>
    <row r="668" spans="1:15" x14ac:dyDescent="0.45">
      <c r="D668" s="27">
        <f t="shared" ref="D668:D674" si="718">C658</f>
        <v>0</v>
      </c>
      <c r="E668" s="28">
        <f t="shared" ref="E668:E674" si="719">D668*$E$6</f>
        <v>0</v>
      </c>
      <c r="F668" s="42">
        <f t="shared" ref="F668:F674" si="720">(E668-1)/30</f>
        <v>-3.3333333333333333E-2</v>
      </c>
      <c r="G668" s="42">
        <f t="shared" ref="G668:G674" si="721">($E668-7)/30</f>
        <v>-0.23333333333333334</v>
      </c>
      <c r="H668" s="42">
        <f t="shared" ref="H668:H674" si="722">($E668-11)/30</f>
        <v>-0.36666666666666664</v>
      </c>
      <c r="I668" s="42">
        <f t="shared" ref="I668:I674" si="723">($E668-13)/30</f>
        <v>-0.43333333333333335</v>
      </c>
      <c r="J668" s="42">
        <f t="shared" ref="J668:J674" si="724">($E668-17)/30</f>
        <v>-0.56666666666666665</v>
      </c>
      <c r="K668" s="42">
        <f t="shared" ref="K668:K674" si="725">($E668-19)/30</f>
        <v>-0.6333333333333333</v>
      </c>
      <c r="L668" s="42">
        <f t="shared" ref="L668:L674" si="726">($E668-23)/30</f>
        <v>-0.76666666666666672</v>
      </c>
      <c r="M668" s="42">
        <f t="shared" ref="M668:M674" si="727">($E668-29)/30</f>
        <v>-0.96666666666666667</v>
      </c>
      <c r="O668" s="43" t="str">
        <f t="shared" si="717"/>
        <v/>
      </c>
    </row>
    <row r="669" spans="1:15" x14ac:dyDescent="0.45">
      <c r="D669" s="27">
        <f t="shared" si="718"/>
        <v>0</v>
      </c>
      <c r="E669" s="28">
        <f t="shared" si="719"/>
        <v>0</v>
      </c>
      <c r="F669" s="42">
        <f t="shared" si="720"/>
        <v>-3.3333333333333333E-2</v>
      </c>
      <c r="G669" s="42">
        <f t="shared" si="721"/>
        <v>-0.23333333333333334</v>
      </c>
      <c r="H669" s="42">
        <f t="shared" si="722"/>
        <v>-0.36666666666666664</v>
      </c>
      <c r="I669" s="42">
        <f t="shared" si="723"/>
        <v>-0.43333333333333335</v>
      </c>
      <c r="J669" s="42">
        <f t="shared" si="724"/>
        <v>-0.56666666666666665</v>
      </c>
      <c r="K669" s="42">
        <f t="shared" si="725"/>
        <v>-0.6333333333333333</v>
      </c>
      <c r="L669" s="42">
        <f t="shared" si="726"/>
        <v>-0.76666666666666672</v>
      </c>
      <c r="M669" s="42">
        <f t="shared" si="727"/>
        <v>-0.96666666666666667</v>
      </c>
      <c r="O669" s="43" t="str">
        <f t="shared" si="717"/>
        <v/>
      </c>
    </row>
    <row r="670" spans="1:15" x14ac:dyDescent="0.45">
      <c r="D670" s="27">
        <f t="shared" si="718"/>
        <v>0</v>
      </c>
      <c r="E670" s="28">
        <f t="shared" si="719"/>
        <v>0</v>
      </c>
      <c r="F670" s="42">
        <f t="shared" si="720"/>
        <v>-3.3333333333333333E-2</v>
      </c>
      <c r="G670" s="42">
        <f t="shared" si="721"/>
        <v>-0.23333333333333334</v>
      </c>
      <c r="H670" s="42">
        <f t="shared" si="722"/>
        <v>-0.36666666666666664</v>
      </c>
      <c r="I670" s="42">
        <f t="shared" si="723"/>
        <v>-0.43333333333333335</v>
      </c>
      <c r="J670" s="42">
        <f t="shared" si="724"/>
        <v>-0.56666666666666665</v>
      </c>
      <c r="K670" s="42">
        <f t="shared" si="725"/>
        <v>-0.6333333333333333</v>
      </c>
      <c r="L670" s="42">
        <f t="shared" si="726"/>
        <v>-0.76666666666666672</v>
      </c>
      <c r="M670" s="42">
        <f t="shared" si="727"/>
        <v>-0.96666666666666667</v>
      </c>
      <c r="O670" s="43" t="str">
        <f t="shared" si="717"/>
        <v/>
      </c>
    </row>
    <row r="671" spans="1:15" x14ac:dyDescent="0.45">
      <c r="D671" s="27">
        <f t="shared" si="718"/>
        <v>0</v>
      </c>
      <c r="E671" s="28">
        <f t="shared" si="719"/>
        <v>0</v>
      </c>
      <c r="F671" s="42">
        <f t="shared" si="720"/>
        <v>-3.3333333333333333E-2</v>
      </c>
      <c r="G671" s="42">
        <f t="shared" si="721"/>
        <v>-0.23333333333333334</v>
      </c>
      <c r="H671" s="42">
        <f t="shared" si="722"/>
        <v>-0.36666666666666664</v>
      </c>
      <c r="I671" s="42">
        <f t="shared" si="723"/>
        <v>-0.43333333333333335</v>
      </c>
      <c r="J671" s="42">
        <f t="shared" si="724"/>
        <v>-0.56666666666666665</v>
      </c>
      <c r="K671" s="42">
        <f t="shared" si="725"/>
        <v>-0.6333333333333333</v>
      </c>
      <c r="L671" s="42">
        <f t="shared" si="726"/>
        <v>-0.76666666666666672</v>
      </c>
      <c r="M671" s="42">
        <f t="shared" si="727"/>
        <v>-0.96666666666666667</v>
      </c>
      <c r="O671" s="43" t="str">
        <f t="shared" si="717"/>
        <v/>
      </c>
    </row>
    <row r="672" spans="1:15" x14ac:dyDescent="0.45">
      <c r="D672" s="27">
        <f t="shared" si="718"/>
        <v>0</v>
      </c>
      <c r="E672" s="28">
        <f t="shared" si="719"/>
        <v>0</v>
      </c>
      <c r="F672" s="42">
        <f t="shared" si="720"/>
        <v>-3.3333333333333333E-2</v>
      </c>
      <c r="G672" s="42">
        <f t="shared" si="721"/>
        <v>-0.23333333333333334</v>
      </c>
      <c r="H672" s="42">
        <f t="shared" si="722"/>
        <v>-0.36666666666666664</v>
      </c>
      <c r="I672" s="42">
        <f t="shared" si="723"/>
        <v>-0.43333333333333335</v>
      </c>
      <c r="J672" s="42">
        <f t="shared" si="724"/>
        <v>-0.56666666666666665</v>
      </c>
      <c r="K672" s="42">
        <f t="shared" si="725"/>
        <v>-0.6333333333333333</v>
      </c>
      <c r="L672" s="42">
        <f t="shared" si="726"/>
        <v>-0.76666666666666672</v>
      </c>
      <c r="M672" s="42">
        <f t="shared" si="727"/>
        <v>-0.96666666666666667</v>
      </c>
      <c r="O672" s="43" t="str">
        <f t="shared" si="717"/>
        <v/>
      </c>
    </row>
    <row r="673" spans="1:15" x14ac:dyDescent="0.45">
      <c r="D673" s="27">
        <f t="shared" si="718"/>
        <v>0</v>
      </c>
      <c r="E673" s="28">
        <f t="shared" si="719"/>
        <v>0</v>
      </c>
      <c r="F673" s="42">
        <f t="shared" si="720"/>
        <v>-3.3333333333333333E-2</v>
      </c>
      <c r="G673" s="42">
        <f t="shared" si="721"/>
        <v>-0.23333333333333334</v>
      </c>
      <c r="H673" s="42">
        <f t="shared" si="722"/>
        <v>-0.36666666666666664</v>
      </c>
      <c r="I673" s="42">
        <f t="shared" si="723"/>
        <v>-0.43333333333333335</v>
      </c>
      <c r="J673" s="42">
        <f t="shared" si="724"/>
        <v>-0.56666666666666665</v>
      </c>
      <c r="K673" s="42">
        <f t="shared" si="725"/>
        <v>-0.6333333333333333</v>
      </c>
      <c r="L673" s="42">
        <f t="shared" si="726"/>
        <v>-0.76666666666666672</v>
      </c>
      <c r="M673" s="42">
        <f t="shared" si="727"/>
        <v>-0.96666666666666667</v>
      </c>
      <c r="O673" s="43" t="str">
        <f t="shared" si="717"/>
        <v/>
      </c>
    </row>
    <row r="674" spans="1:15" x14ac:dyDescent="0.45">
      <c r="D674" s="27">
        <f t="shared" si="718"/>
        <v>0</v>
      </c>
      <c r="E674" s="28">
        <f t="shared" si="719"/>
        <v>0</v>
      </c>
      <c r="F674" s="42">
        <f t="shared" si="720"/>
        <v>-3.3333333333333333E-2</v>
      </c>
      <c r="G674" s="42">
        <f t="shared" si="721"/>
        <v>-0.23333333333333334</v>
      </c>
      <c r="H674" s="42">
        <f t="shared" si="722"/>
        <v>-0.36666666666666664</v>
      </c>
      <c r="I674" s="42">
        <f t="shared" si="723"/>
        <v>-0.43333333333333335</v>
      </c>
      <c r="J674" s="42">
        <f t="shared" si="724"/>
        <v>-0.56666666666666665</v>
      </c>
      <c r="K674" s="42">
        <f t="shared" si="725"/>
        <v>-0.6333333333333333</v>
      </c>
      <c r="L674" s="42">
        <f t="shared" si="726"/>
        <v>-0.76666666666666672</v>
      </c>
      <c r="M674" s="42">
        <f t="shared" si="727"/>
        <v>-0.96666666666666667</v>
      </c>
      <c r="O674" s="43" t="str">
        <f t="shared" si="717"/>
        <v/>
      </c>
    </row>
    <row r="675" spans="1:15" ht="19.2" thickBot="1" x14ac:dyDescent="0.5">
      <c r="F675" s="42"/>
      <c r="G675" s="42"/>
      <c r="H675" s="42"/>
      <c r="I675" s="42"/>
      <c r="J675" s="42"/>
      <c r="K675" s="42"/>
      <c r="L675" s="42"/>
      <c r="M675" s="42"/>
    </row>
    <row r="676" spans="1:15" ht="19.2" thickBot="1" x14ac:dyDescent="0.5">
      <c r="C676" s="44"/>
      <c r="E676" s="34">
        <f>E657</f>
        <v>0</v>
      </c>
      <c r="F676" s="45">
        <v>1</v>
      </c>
      <c r="G676" s="46">
        <v>7</v>
      </c>
      <c r="H676" s="46">
        <v>11</v>
      </c>
      <c r="I676" s="46">
        <v>13</v>
      </c>
      <c r="J676" s="46">
        <v>17</v>
      </c>
      <c r="K676" s="46">
        <v>19</v>
      </c>
      <c r="L676" s="46">
        <v>23</v>
      </c>
      <c r="M676" s="47">
        <v>29</v>
      </c>
      <c r="O676" s="27" t="s">
        <v>2</v>
      </c>
    </row>
    <row r="677" spans="1:15" x14ac:dyDescent="0.45">
      <c r="A677" s="29">
        <f>A667+1</f>
        <v>67</v>
      </c>
      <c r="D677" s="27">
        <f>C667</f>
        <v>0</v>
      </c>
      <c r="E677" s="28">
        <f>D677*$E$6</f>
        <v>0</v>
      </c>
      <c r="F677" s="42">
        <f>(E677-1)/30</f>
        <v>-3.3333333333333333E-2</v>
      </c>
      <c r="G677" s="42">
        <f>($E677-7)/30</f>
        <v>-0.23333333333333334</v>
      </c>
      <c r="H677" s="42">
        <f>($E677-11)/30</f>
        <v>-0.36666666666666664</v>
      </c>
      <c r="I677" s="42">
        <f>($E677-13)/30</f>
        <v>-0.43333333333333335</v>
      </c>
      <c r="J677" s="42">
        <f>($E677-17)/30</f>
        <v>-0.56666666666666665</v>
      </c>
      <c r="K677" s="42">
        <f>($E677-19)/30</f>
        <v>-0.6333333333333333</v>
      </c>
      <c r="L677" s="42">
        <f>($E677-23)/30</f>
        <v>-0.76666666666666672</v>
      </c>
      <c r="M677" s="42">
        <f>($E677-29)/30</f>
        <v>-0.96666666666666667</v>
      </c>
      <c r="O677" s="43" t="str">
        <f t="shared" ref="O677:O684" si="728">FactorNumber(E677)</f>
        <v/>
      </c>
    </row>
    <row r="678" spans="1:15" x14ac:dyDescent="0.45">
      <c r="D678" s="27">
        <f t="shared" ref="D678:D684" si="729">C668</f>
        <v>0</v>
      </c>
      <c r="E678" s="28">
        <f t="shared" ref="E678:E684" si="730">D678*$E$6</f>
        <v>0</v>
      </c>
      <c r="F678" s="42">
        <f t="shared" ref="F678:F684" si="731">(E678-1)/30</f>
        <v>-3.3333333333333333E-2</v>
      </c>
      <c r="G678" s="42">
        <f t="shared" ref="G678:G684" si="732">($E678-7)/30</f>
        <v>-0.23333333333333334</v>
      </c>
      <c r="H678" s="42">
        <f t="shared" ref="H678:H684" si="733">($E678-11)/30</f>
        <v>-0.36666666666666664</v>
      </c>
      <c r="I678" s="42">
        <f t="shared" ref="I678:I684" si="734">($E678-13)/30</f>
        <v>-0.43333333333333335</v>
      </c>
      <c r="J678" s="42">
        <f t="shared" ref="J678:J684" si="735">($E678-17)/30</f>
        <v>-0.56666666666666665</v>
      </c>
      <c r="K678" s="42">
        <f t="shared" ref="K678:K684" si="736">($E678-19)/30</f>
        <v>-0.6333333333333333</v>
      </c>
      <c r="L678" s="42">
        <f t="shared" ref="L678:L684" si="737">($E678-23)/30</f>
        <v>-0.76666666666666672</v>
      </c>
      <c r="M678" s="42">
        <f t="shared" ref="M678:M684" si="738">($E678-29)/30</f>
        <v>-0.96666666666666667</v>
      </c>
      <c r="O678" s="43" t="str">
        <f t="shared" si="728"/>
        <v/>
      </c>
    </row>
    <row r="679" spans="1:15" x14ac:dyDescent="0.45">
      <c r="D679" s="27">
        <f t="shared" si="729"/>
        <v>0</v>
      </c>
      <c r="E679" s="28">
        <f t="shared" si="730"/>
        <v>0</v>
      </c>
      <c r="F679" s="42">
        <f t="shared" si="731"/>
        <v>-3.3333333333333333E-2</v>
      </c>
      <c r="G679" s="42">
        <f t="shared" si="732"/>
        <v>-0.23333333333333334</v>
      </c>
      <c r="H679" s="42">
        <f t="shared" si="733"/>
        <v>-0.36666666666666664</v>
      </c>
      <c r="I679" s="42">
        <f t="shared" si="734"/>
        <v>-0.43333333333333335</v>
      </c>
      <c r="J679" s="42">
        <f t="shared" si="735"/>
        <v>-0.56666666666666665</v>
      </c>
      <c r="K679" s="42">
        <f t="shared" si="736"/>
        <v>-0.6333333333333333</v>
      </c>
      <c r="L679" s="42">
        <f t="shared" si="737"/>
        <v>-0.76666666666666672</v>
      </c>
      <c r="M679" s="42">
        <f t="shared" si="738"/>
        <v>-0.96666666666666667</v>
      </c>
      <c r="O679" s="43" t="str">
        <f t="shared" si="728"/>
        <v/>
      </c>
    </row>
    <row r="680" spans="1:15" x14ac:dyDescent="0.45">
      <c r="D680" s="27">
        <f t="shared" si="729"/>
        <v>0</v>
      </c>
      <c r="E680" s="28">
        <f t="shared" si="730"/>
        <v>0</v>
      </c>
      <c r="F680" s="42">
        <f t="shared" si="731"/>
        <v>-3.3333333333333333E-2</v>
      </c>
      <c r="G680" s="42">
        <f t="shared" si="732"/>
        <v>-0.23333333333333334</v>
      </c>
      <c r="H680" s="42">
        <f t="shared" si="733"/>
        <v>-0.36666666666666664</v>
      </c>
      <c r="I680" s="42">
        <f t="shared" si="734"/>
        <v>-0.43333333333333335</v>
      </c>
      <c r="J680" s="42">
        <f t="shared" si="735"/>
        <v>-0.56666666666666665</v>
      </c>
      <c r="K680" s="42">
        <f t="shared" si="736"/>
        <v>-0.6333333333333333</v>
      </c>
      <c r="L680" s="42">
        <f t="shared" si="737"/>
        <v>-0.76666666666666672</v>
      </c>
      <c r="M680" s="42">
        <f t="shared" si="738"/>
        <v>-0.96666666666666667</v>
      </c>
      <c r="O680" s="43" t="str">
        <f t="shared" si="728"/>
        <v/>
      </c>
    </row>
    <row r="681" spans="1:15" x14ac:dyDescent="0.45">
      <c r="D681" s="27">
        <f t="shared" si="729"/>
        <v>0</v>
      </c>
      <c r="E681" s="28">
        <f t="shared" si="730"/>
        <v>0</v>
      </c>
      <c r="F681" s="42">
        <f t="shared" si="731"/>
        <v>-3.3333333333333333E-2</v>
      </c>
      <c r="G681" s="42">
        <f t="shared" si="732"/>
        <v>-0.23333333333333334</v>
      </c>
      <c r="H681" s="42">
        <f t="shared" si="733"/>
        <v>-0.36666666666666664</v>
      </c>
      <c r="I681" s="42">
        <f t="shared" si="734"/>
        <v>-0.43333333333333335</v>
      </c>
      <c r="J681" s="42">
        <f t="shared" si="735"/>
        <v>-0.56666666666666665</v>
      </c>
      <c r="K681" s="42">
        <f t="shared" si="736"/>
        <v>-0.6333333333333333</v>
      </c>
      <c r="L681" s="42">
        <f t="shared" si="737"/>
        <v>-0.76666666666666672</v>
      </c>
      <c r="M681" s="42">
        <f t="shared" si="738"/>
        <v>-0.96666666666666667</v>
      </c>
      <c r="O681" s="43" t="str">
        <f t="shared" si="728"/>
        <v/>
      </c>
    </row>
    <row r="682" spans="1:15" x14ac:dyDescent="0.45">
      <c r="D682" s="27">
        <f t="shared" si="729"/>
        <v>0</v>
      </c>
      <c r="E682" s="28">
        <f t="shared" si="730"/>
        <v>0</v>
      </c>
      <c r="F682" s="42">
        <f t="shared" si="731"/>
        <v>-3.3333333333333333E-2</v>
      </c>
      <c r="G682" s="42">
        <f t="shared" si="732"/>
        <v>-0.23333333333333334</v>
      </c>
      <c r="H682" s="42">
        <f t="shared" si="733"/>
        <v>-0.36666666666666664</v>
      </c>
      <c r="I682" s="42">
        <f t="shared" si="734"/>
        <v>-0.43333333333333335</v>
      </c>
      <c r="J682" s="42">
        <f t="shared" si="735"/>
        <v>-0.56666666666666665</v>
      </c>
      <c r="K682" s="42">
        <f t="shared" si="736"/>
        <v>-0.6333333333333333</v>
      </c>
      <c r="L682" s="42">
        <f t="shared" si="737"/>
        <v>-0.76666666666666672</v>
      </c>
      <c r="M682" s="42">
        <f t="shared" si="738"/>
        <v>-0.96666666666666667</v>
      </c>
      <c r="O682" s="43" t="str">
        <f t="shared" si="728"/>
        <v/>
      </c>
    </row>
    <row r="683" spans="1:15" x14ac:dyDescent="0.45">
      <c r="D683" s="27">
        <f t="shared" si="729"/>
        <v>0</v>
      </c>
      <c r="E683" s="28">
        <f t="shared" si="730"/>
        <v>0</v>
      </c>
      <c r="F683" s="42">
        <f t="shared" si="731"/>
        <v>-3.3333333333333333E-2</v>
      </c>
      <c r="G683" s="42">
        <f t="shared" si="732"/>
        <v>-0.23333333333333334</v>
      </c>
      <c r="H683" s="42">
        <f t="shared" si="733"/>
        <v>-0.36666666666666664</v>
      </c>
      <c r="I683" s="42">
        <f t="shared" si="734"/>
        <v>-0.43333333333333335</v>
      </c>
      <c r="J683" s="42">
        <f t="shared" si="735"/>
        <v>-0.56666666666666665</v>
      </c>
      <c r="K683" s="42">
        <f t="shared" si="736"/>
        <v>-0.6333333333333333</v>
      </c>
      <c r="L683" s="42">
        <f t="shared" si="737"/>
        <v>-0.76666666666666672</v>
      </c>
      <c r="M683" s="42">
        <f t="shared" si="738"/>
        <v>-0.96666666666666667</v>
      </c>
      <c r="O683" s="43" t="str">
        <f t="shared" si="728"/>
        <v/>
      </c>
    </row>
    <row r="684" spans="1:15" x14ac:dyDescent="0.45">
      <c r="D684" s="27">
        <f t="shared" si="729"/>
        <v>0</v>
      </c>
      <c r="E684" s="28">
        <f t="shared" si="730"/>
        <v>0</v>
      </c>
      <c r="F684" s="42">
        <f t="shared" si="731"/>
        <v>-3.3333333333333333E-2</v>
      </c>
      <c r="G684" s="42">
        <f t="shared" si="732"/>
        <v>-0.23333333333333334</v>
      </c>
      <c r="H684" s="42">
        <f t="shared" si="733"/>
        <v>-0.36666666666666664</v>
      </c>
      <c r="I684" s="42">
        <f t="shared" si="734"/>
        <v>-0.43333333333333335</v>
      </c>
      <c r="J684" s="42">
        <f t="shared" si="735"/>
        <v>-0.56666666666666665</v>
      </c>
      <c r="K684" s="42">
        <f t="shared" si="736"/>
        <v>-0.6333333333333333</v>
      </c>
      <c r="L684" s="42">
        <f t="shared" si="737"/>
        <v>-0.76666666666666672</v>
      </c>
      <c r="M684" s="42">
        <f t="shared" si="738"/>
        <v>-0.96666666666666667</v>
      </c>
      <c r="O684" s="43" t="str">
        <f t="shared" si="728"/>
        <v/>
      </c>
    </row>
    <row r="685" spans="1:15" ht="19.2" thickBot="1" x14ac:dyDescent="0.5">
      <c r="F685" s="42"/>
      <c r="G685" s="42"/>
      <c r="H685" s="42"/>
      <c r="I685" s="42"/>
      <c r="J685" s="42"/>
      <c r="K685" s="42"/>
      <c r="L685" s="42"/>
      <c r="M685" s="42"/>
    </row>
    <row r="686" spans="1:15" ht="19.2" thickBot="1" x14ac:dyDescent="0.5">
      <c r="C686" s="44"/>
      <c r="E686" s="34">
        <f>E667</f>
        <v>0</v>
      </c>
      <c r="F686" s="45">
        <v>1</v>
      </c>
      <c r="G686" s="46">
        <v>7</v>
      </c>
      <c r="H686" s="46">
        <v>11</v>
      </c>
      <c r="I686" s="46">
        <v>13</v>
      </c>
      <c r="J686" s="46">
        <v>17</v>
      </c>
      <c r="K686" s="46">
        <v>19</v>
      </c>
      <c r="L686" s="46">
        <v>23</v>
      </c>
      <c r="M686" s="47">
        <v>29</v>
      </c>
      <c r="O686" s="27" t="s">
        <v>2</v>
      </c>
    </row>
    <row r="687" spans="1:15" x14ac:dyDescent="0.45">
      <c r="A687" s="29">
        <f>A677+1</f>
        <v>68</v>
      </c>
      <c r="D687" s="27">
        <f>C677</f>
        <v>0</v>
      </c>
      <c r="E687" s="28">
        <f>D687*$E$6</f>
        <v>0</v>
      </c>
      <c r="F687" s="42">
        <f>(E687-1)/30</f>
        <v>-3.3333333333333333E-2</v>
      </c>
      <c r="G687" s="42">
        <f>($E687-7)/30</f>
        <v>-0.23333333333333334</v>
      </c>
      <c r="H687" s="42">
        <f>($E687-11)/30</f>
        <v>-0.36666666666666664</v>
      </c>
      <c r="I687" s="42">
        <f>($E687-13)/30</f>
        <v>-0.43333333333333335</v>
      </c>
      <c r="J687" s="42">
        <f>($E687-17)/30</f>
        <v>-0.56666666666666665</v>
      </c>
      <c r="K687" s="42">
        <f>($E687-19)/30</f>
        <v>-0.6333333333333333</v>
      </c>
      <c r="L687" s="42">
        <f>($E687-23)/30</f>
        <v>-0.76666666666666672</v>
      </c>
      <c r="M687" s="42">
        <f>($E687-29)/30</f>
        <v>-0.96666666666666667</v>
      </c>
      <c r="O687" s="43" t="str">
        <f t="shared" ref="O687:O694" si="739">FactorNumber(E687)</f>
        <v/>
      </c>
    </row>
    <row r="688" spans="1:15" x14ac:dyDescent="0.45">
      <c r="D688" s="27">
        <f t="shared" ref="D688:D694" si="740">C678</f>
        <v>0</v>
      </c>
      <c r="E688" s="28">
        <f t="shared" ref="E688:E694" si="741">D688*$E$6</f>
        <v>0</v>
      </c>
      <c r="F688" s="42">
        <f t="shared" ref="F688:F694" si="742">(E688-1)/30</f>
        <v>-3.3333333333333333E-2</v>
      </c>
      <c r="G688" s="42">
        <f t="shared" ref="G688:G694" si="743">($E688-7)/30</f>
        <v>-0.23333333333333334</v>
      </c>
      <c r="H688" s="42">
        <f t="shared" ref="H688:H694" si="744">($E688-11)/30</f>
        <v>-0.36666666666666664</v>
      </c>
      <c r="I688" s="42">
        <f t="shared" ref="I688:I694" si="745">($E688-13)/30</f>
        <v>-0.43333333333333335</v>
      </c>
      <c r="J688" s="42">
        <f t="shared" ref="J688:J694" si="746">($E688-17)/30</f>
        <v>-0.56666666666666665</v>
      </c>
      <c r="K688" s="42">
        <f t="shared" ref="K688:K694" si="747">($E688-19)/30</f>
        <v>-0.6333333333333333</v>
      </c>
      <c r="L688" s="42">
        <f t="shared" ref="L688:L694" si="748">($E688-23)/30</f>
        <v>-0.76666666666666672</v>
      </c>
      <c r="M688" s="42">
        <f t="shared" ref="M688:M694" si="749">($E688-29)/30</f>
        <v>-0.96666666666666667</v>
      </c>
      <c r="O688" s="43" t="str">
        <f t="shared" si="739"/>
        <v/>
      </c>
    </row>
    <row r="689" spans="1:15" x14ac:dyDescent="0.45">
      <c r="D689" s="27">
        <f t="shared" si="740"/>
        <v>0</v>
      </c>
      <c r="E689" s="28">
        <f t="shared" si="741"/>
        <v>0</v>
      </c>
      <c r="F689" s="42">
        <f t="shared" si="742"/>
        <v>-3.3333333333333333E-2</v>
      </c>
      <c r="G689" s="42">
        <f t="shared" si="743"/>
        <v>-0.23333333333333334</v>
      </c>
      <c r="H689" s="42">
        <f t="shared" si="744"/>
        <v>-0.36666666666666664</v>
      </c>
      <c r="I689" s="42">
        <f t="shared" si="745"/>
        <v>-0.43333333333333335</v>
      </c>
      <c r="J689" s="42">
        <f t="shared" si="746"/>
        <v>-0.56666666666666665</v>
      </c>
      <c r="K689" s="42">
        <f t="shared" si="747"/>
        <v>-0.6333333333333333</v>
      </c>
      <c r="L689" s="42">
        <f t="shared" si="748"/>
        <v>-0.76666666666666672</v>
      </c>
      <c r="M689" s="42">
        <f t="shared" si="749"/>
        <v>-0.96666666666666667</v>
      </c>
      <c r="O689" s="43" t="str">
        <f t="shared" si="739"/>
        <v/>
      </c>
    </row>
    <row r="690" spans="1:15" x14ac:dyDescent="0.45">
      <c r="D690" s="27">
        <f t="shared" si="740"/>
        <v>0</v>
      </c>
      <c r="E690" s="28">
        <f t="shared" si="741"/>
        <v>0</v>
      </c>
      <c r="F690" s="42">
        <f t="shared" si="742"/>
        <v>-3.3333333333333333E-2</v>
      </c>
      <c r="G690" s="42">
        <f t="shared" si="743"/>
        <v>-0.23333333333333334</v>
      </c>
      <c r="H690" s="42">
        <f t="shared" si="744"/>
        <v>-0.36666666666666664</v>
      </c>
      <c r="I690" s="42">
        <f t="shared" si="745"/>
        <v>-0.43333333333333335</v>
      </c>
      <c r="J690" s="42">
        <f t="shared" si="746"/>
        <v>-0.56666666666666665</v>
      </c>
      <c r="K690" s="42">
        <f t="shared" si="747"/>
        <v>-0.6333333333333333</v>
      </c>
      <c r="L690" s="42">
        <f t="shared" si="748"/>
        <v>-0.76666666666666672</v>
      </c>
      <c r="M690" s="42">
        <f t="shared" si="749"/>
        <v>-0.96666666666666667</v>
      </c>
      <c r="O690" s="43" t="str">
        <f t="shared" si="739"/>
        <v/>
      </c>
    </row>
    <row r="691" spans="1:15" x14ac:dyDescent="0.45">
      <c r="D691" s="27">
        <f t="shared" si="740"/>
        <v>0</v>
      </c>
      <c r="E691" s="28">
        <f t="shared" si="741"/>
        <v>0</v>
      </c>
      <c r="F691" s="42">
        <f t="shared" si="742"/>
        <v>-3.3333333333333333E-2</v>
      </c>
      <c r="G691" s="42">
        <f t="shared" si="743"/>
        <v>-0.23333333333333334</v>
      </c>
      <c r="H691" s="42">
        <f t="shared" si="744"/>
        <v>-0.36666666666666664</v>
      </c>
      <c r="I691" s="42">
        <f t="shared" si="745"/>
        <v>-0.43333333333333335</v>
      </c>
      <c r="J691" s="42">
        <f t="shared" si="746"/>
        <v>-0.56666666666666665</v>
      </c>
      <c r="K691" s="42">
        <f t="shared" si="747"/>
        <v>-0.6333333333333333</v>
      </c>
      <c r="L691" s="42">
        <f t="shared" si="748"/>
        <v>-0.76666666666666672</v>
      </c>
      <c r="M691" s="42">
        <f t="shared" si="749"/>
        <v>-0.96666666666666667</v>
      </c>
      <c r="O691" s="43" t="str">
        <f t="shared" si="739"/>
        <v/>
      </c>
    </row>
    <row r="692" spans="1:15" x14ac:dyDescent="0.45">
      <c r="D692" s="27">
        <f t="shared" si="740"/>
        <v>0</v>
      </c>
      <c r="E692" s="28">
        <f t="shared" si="741"/>
        <v>0</v>
      </c>
      <c r="F692" s="42">
        <f t="shared" si="742"/>
        <v>-3.3333333333333333E-2</v>
      </c>
      <c r="G692" s="42">
        <f t="shared" si="743"/>
        <v>-0.23333333333333334</v>
      </c>
      <c r="H692" s="42">
        <f t="shared" si="744"/>
        <v>-0.36666666666666664</v>
      </c>
      <c r="I692" s="42">
        <f t="shared" si="745"/>
        <v>-0.43333333333333335</v>
      </c>
      <c r="J692" s="42">
        <f t="shared" si="746"/>
        <v>-0.56666666666666665</v>
      </c>
      <c r="K692" s="42">
        <f t="shared" si="747"/>
        <v>-0.6333333333333333</v>
      </c>
      <c r="L692" s="42">
        <f t="shared" si="748"/>
        <v>-0.76666666666666672</v>
      </c>
      <c r="M692" s="42">
        <f t="shared" si="749"/>
        <v>-0.96666666666666667</v>
      </c>
      <c r="O692" s="43" t="str">
        <f t="shared" si="739"/>
        <v/>
      </c>
    </row>
    <row r="693" spans="1:15" x14ac:dyDescent="0.45">
      <c r="D693" s="27">
        <f t="shared" si="740"/>
        <v>0</v>
      </c>
      <c r="E693" s="28">
        <f t="shared" si="741"/>
        <v>0</v>
      </c>
      <c r="F693" s="42">
        <f t="shared" si="742"/>
        <v>-3.3333333333333333E-2</v>
      </c>
      <c r="G693" s="42">
        <f t="shared" si="743"/>
        <v>-0.23333333333333334</v>
      </c>
      <c r="H693" s="42">
        <f t="shared" si="744"/>
        <v>-0.36666666666666664</v>
      </c>
      <c r="I693" s="42">
        <f t="shared" si="745"/>
        <v>-0.43333333333333335</v>
      </c>
      <c r="J693" s="42">
        <f t="shared" si="746"/>
        <v>-0.56666666666666665</v>
      </c>
      <c r="K693" s="42">
        <f t="shared" si="747"/>
        <v>-0.6333333333333333</v>
      </c>
      <c r="L693" s="42">
        <f t="shared" si="748"/>
        <v>-0.76666666666666672</v>
      </c>
      <c r="M693" s="42">
        <f t="shared" si="749"/>
        <v>-0.96666666666666667</v>
      </c>
      <c r="O693" s="43" t="str">
        <f t="shared" si="739"/>
        <v/>
      </c>
    </row>
    <row r="694" spans="1:15" x14ac:dyDescent="0.45">
      <c r="D694" s="27">
        <f t="shared" si="740"/>
        <v>0</v>
      </c>
      <c r="E694" s="28">
        <f t="shared" si="741"/>
        <v>0</v>
      </c>
      <c r="F694" s="42">
        <f t="shared" si="742"/>
        <v>-3.3333333333333333E-2</v>
      </c>
      <c r="G694" s="42">
        <f t="shared" si="743"/>
        <v>-0.23333333333333334</v>
      </c>
      <c r="H694" s="42">
        <f t="shared" si="744"/>
        <v>-0.36666666666666664</v>
      </c>
      <c r="I694" s="42">
        <f t="shared" si="745"/>
        <v>-0.43333333333333335</v>
      </c>
      <c r="J694" s="42">
        <f t="shared" si="746"/>
        <v>-0.56666666666666665</v>
      </c>
      <c r="K694" s="42">
        <f t="shared" si="747"/>
        <v>-0.6333333333333333</v>
      </c>
      <c r="L694" s="42">
        <f t="shared" si="748"/>
        <v>-0.76666666666666672</v>
      </c>
      <c r="M694" s="42">
        <f t="shared" si="749"/>
        <v>-0.96666666666666667</v>
      </c>
      <c r="O694" s="43" t="str">
        <f t="shared" si="739"/>
        <v/>
      </c>
    </row>
    <row r="695" spans="1:15" ht="19.2" thickBot="1" x14ac:dyDescent="0.5">
      <c r="F695" s="42"/>
      <c r="G695" s="42"/>
      <c r="H695" s="42"/>
      <c r="I695" s="42"/>
      <c r="J695" s="42"/>
      <c r="K695" s="42"/>
      <c r="L695" s="42"/>
      <c r="M695" s="42"/>
    </row>
    <row r="696" spans="1:15" ht="19.2" thickBot="1" x14ac:dyDescent="0.5">
      <c r="C696" s="44"/>
      <c r="E696" s="34">
        <f>E677</f>
        <v>0</v>
      </c>
      <c r="F696" s="45">
        <v>1</v>
      </c>
      <c r="G696" s="46">
        <v>7</v>
      </c>
      <c r="H696" s="46">
        <v>11</v>
      </c>
      <c r="I696" s="46">
        <v>13</v>
      </c>
      <c r="J696" s="46">
        <v>17</v>
      </c>
      <c r="K696" s="46">
        <v>19</v>
      </c>
      <c r="L696" s="46">
        <v>23</v>
      </c>
      <c r="M696" s="47">
        <v>29</v>
      </c>
      <c r="O696" s="27" t="s">
        <v>2</v>
      </c>
    </row>
    <row r="697" spans="1:15" x14ac:dyDescent="0.45">
      <c r="A697" s="29">
        <f>A687+1</f>
        <v>69</v>
      </c>
      <c r="D697" s="27">
        <f>C687</f>
        <v>0</v>
      </c>
      <c r="E697" s="28">
        <f>D697*$E$6</f>
        <v>0</v>
      </c>
      <c r="F697" s="42">
        <f>(E697-1)/30</f>
        <v>-3.3333333333333333E-2</v>
      </c>
      <c r="G697" s="42">
        <f>($E697-7)/30</f>
        <v>-0.23333333333333334</v>
      </c>
      <c r="H697" s="42">
        <f>($E697-11)/30</f>
        <v>-0.36666666666666664</v>
      </c>
      <c r="I697" s="42">
        <f>($E697-13)/30</f>
        <v>-0.43333333333333335</v>
      </c>
      <c r="J697" s="42">
        <f>($E697-17)/30</f>
        <v>-0.56666666666666665</v>
      </c>
      <c r="K697" s="42">
        <f>($E697-19)/30</f>
        <v>-0.6333333333333333</v>
      </c>
      <c r="L697" s="42">
        <f>($E697-23)/30</f>
        <v>-0.76666666666666672</v>
      </c>
      <c r="M697" s="42">
        <f>($E697-29)/30</f>
        <v>-0.96666666666666667</v>
      </c>
      <c r="O697" s="43" t="str">
        <f t="shared" ref="O697:O704" si="750">FactorNumber(E697)</f>
        <v/>
      </c>
    </row>
    <row r="698" spans="1:15" x14ac:dyDescent="0.45">
      <c r="D698" s="27">
        <f t="shared" ref="D698:D704" si="751">C688</f>
        <v>0</v>
      </c>
      <c r="E698" s="28">
        <f t="shared" ref="E698:E704" si="752">D698*$E$6</f>
        <v>0</v>
      </c>
      <c r="F698" s="42">
        <f t="shared" ref="F698:F704" si="753">(E698-1)/30</f>
        <v>-3.3333333333333333E-2</v>
      </c>
      <c r="G698" s="42">
        <f t="shared" ref="G698:G704" si="754">($E698-7)/30</f>
        <v>-0.23333333333333334</v>
      </c>
      <c r="H698" s="42">
        <f t="shared" ref="H698:H704" si="755">($E698-11)/30</f>
        <v>-0.36666666666666664</v>
      </c>
      <c r="I698" s="42">
        <f t="shared" ref="I698:I704" si="756">($E698-13)/30</f>
        <v>-0.43333333333333335</v>
      </c>
      <c r="J698" s="42">
        <f t="shared" ref="J698:J704" si="757">($E698-17)/30</f>
        <v>-0.56666666666666665</v>
      </c>
      <c r="K698" s="42">
        <f t="shared" ref="K698:K704" si="758">($E698-19)/30</f>
        <v>-0.6333333333333333</v>
      </c>
      <c r="L698" s="42">
        <f t="shared" ref="L698:L704" si="759">($E698-23)/30</f>
        <v>-0.76666666666666672</v>
      </c>
      <c r="M698" s="42">
        <f t="shared" ref="M698:M704" si="760">($E698-29)/30</f>
        <v>-0.96666666666666667</v>
      </c>
      <c r="O698" s="43" t="str">
        <f t="shared" si="750"/>
        <v/>
      </c>
    </row>
    <row r="699" spans="1:15" x14ac:dyDescent="0.45">
      <c r="D699" s="27">
        <f t="shared" si="751"/>
        <v>0</v>
      </c>
      <c r="E699" s="28">
        <f t="shared" si="752"/>
        <v>0</v>
      </c>
      <c r="F699" s="42">
        <f t="shared" si="753"/>
        <v>-3.3333333333333333E-2</v>
      </c>
      <c r="G699" s="42">
        <f t="shared" si="754"/>
        <v>-0.23333333333333334</v>
      </c>
      <c r="H699" s="42">
        <f t="shared" si="755"/>
        <v>-0.36666666666666664</v>
      </c>
      <c r="I699" s="42">
        <f t="shared" si="756"/>
        <v>-0.43333333333333335</v>
      </c>
      <c r="J699" s="42">
        <f t="shared" si="757"/>
        <v>-0.56666666666666665</v>
      </c>
      <c r="K699" s="42">
        <f t="shared" si="758"/>
        <v>-0.6333333333333333</v>
      </c>
      <c r="L699" s="42">
        <f t="shared" si="759"/>
        <v>-0.76666666666666672</v>
      </c>
      <c r="M699" s="42">
        <f t="shared" si="760"/>
        <v>-0.96666666666666667</v>
      </c>
      <c r="O699" s="43" t="str">
        <f t="shared" si="750"/>
        <v/>
      </c>
    </row>
    <row r="700" spans="1:15" x14ac:dyDescent="0.45">
      <c r="D700" s="27">
        <f t="shared" si="751"/>
        <v>0</v>
      </c>
      <c r="E700" s="28">
        <f t="shared" si="752"/>
        <v>0</v>
      </c>
      <c r="F700" s="42">
        <f t="shared" si="753"/>
        <v>-3.3333333333333333E-2</v>
      </c>
      <c r="G700" s="42">
        <f t="shared" si="754"/>
        <v>-0.23333333333333334</v>
      </c>
      <c r="H700" s="42">
        <f t="shared" si="755"/>
        <v>-0.36666666666666664</v>
      </c>
      <c r="I700" s="42">
        <f t="shared" si="756"/>
        <v>-0.43333333333333335</v>
      </c>
      <c r="J700" s="42">
        <f t="shared" si="757"/>
        <v>-0.56666666666666665</v>
      </c>
      <c r="K700" s="42">
        <f t="shared" si="758"/>
        <v>-0.6333333333333333</v>
      </c>
      <c r="L700" s="42">
        <f t="shared" si="759"/>
        <v>-0.76666666666666672</v>
      </c>
      <c r="M700" s="42">
        <f t="shared" si="760"/>
        <v>-0.96666666666666667</v>
      </c>
      <c r="O700" s="43" t="str">
        <f t="shared" si="750"/>
        <v/>
      </c>
    </row>
    <row r="701" spans="1:15" x14ac:dyDescent="0.45">
      <c r="D701" s="27">
        <f t="shared" si="751"/>
        <v>0</v>
      </c>
      <c r="E701" s="28">
        <f t="shared" si="752"/>
        <v>0</v>
      </c>
      <c r="F701" s="42">
        <f t="shared" si="753"/>
        <v>-3.3333333333333333E-2</v>
      </c>
      <c r="G701" s="42">
        <f t="shared" si="754"/>
        <v>-0.23333333333333334</v>
      </c>
      <c r="H701" s="42">
        <f t="shared" si="755"/>
        <v>-0.36666666666666664</v>
      </c>
      <c r="I701" s="42">
        <f t="shared" si="756"/>
        <v>-0.43333333333333335</v>
      </c>
      <c r="J701" s="42">
        <f t="shared" si="757"/>
        <v>-0.56666666666666665</v>
      </c>
      <c r="K701" s="42">
        <f t="shared" si="758"/>
        <v>-0.6333333333333333</v>
      </c>
      <c r="L701" s="42">
        <f t="shared" si="759"/>
        <v>-0.76666666666666672</v>
      </c>
      <c r="M701" s="42">
        <f t="shared" si="760"/>
        <v>-0.96666666666666667</v>
      </c>
      <c r="O701" s="43" t="str">
        <f t="shared" si="750"/>
        <v/>
      </c>
    </row>
    <row r="702" spans="1:15" x14ac:dyDescent="0.45">
      <c r="D702" s="27">
        <f t="shared" si="751"/>
        <v>0</v>
      </c>
      <c r="E702" s="28">
        <f t="shared" si="752"/>
        <v>0</v>
      </c>
      <c r="F702" s="42">
        <f t="shared" si="753"/>
        <v>-3.3333333333333333E-2</v>
      </c>
      <c r="G702" s="42">
        <f t="shared" si="754"/>
        <v>-0.23333333333333334</v>
      </c>
      <c r="H702" s="42">
        <f t="shared" si="755"/>
        <v>-0.36666666666666664</v>
      </c>
      <c r="I702" s="42">
        <f t="shared" si="756"/>
        <v>-0.43333333333333335</v>
      </c>
      <c r="J702" s="42">
        <f t="shared" si="757"/>
        <v>-0.56666666666666665</v>
      </c>
      <c r="K702" s="42">
        <f t="shared" si="758"/>
        <v>-0.6333333333333333</v>
      </c>
      <c r="L702" s="42">
        <f t="shared" si="759"/>
        <v>-0.76666666666666672</v>
      </c>
      <c r="M702" s="42">
        <f t="shared" si="760"/>
        <v>-0.96666666666666667</v>
      </c>
      <c r="O702" s="43" t="str">
        <f t="shared" si="750"/>
        <v/>
      </c>
    </row>
    <row r="703" spans="1:15" x14ac:dyDescent="0.45">
      <c r="D703" s="27">
        <f t="shared" si="751"/>
        <v>0</v>
      </c>
      <c r="E703" s="28">
        <f t="shared" si="752"/>
        <v>0</v>
      </c>
      <c r="F703" s="42">
        <f t="shared" si="753"/>
        <v>-3.3333333333333333E-2</v>
      </c>
      <c r="G703" s="42">
        <f t="shared" si="754"/>
        <v>-0.23333333333333334</v>
      </c>
      <c r="H703" s="42">
        <f t="shared" si="755"/>
        <v>-0.36666666666666664</v>
      </c>
      <c r="I703" s="42">
        <f t="shared" si="756"/>
        <v>-0.43333333333333335</v>
      </c>
      <c r="J703" s="42">
        <f t="shared" si="757"/>
        <v>-0.56666666666666665</v>
      </c>
      <c r="K703" s="42">
        <f t="shared" si="758"/>
        <v>-0.6333333333333333</v>
      </c>
      <c r="L703" s="42">
        <f t="shared" si="759"/>
        <v>-0.76666666666666672</v>
      </c>
      <c r="M703" s="42">
        <f t="shared" si="760"/>
        <v>-0.96666666666666667</v>
      </c>
      <c r="O703" s="43" t="str">
        <f t="shared" si="750"/>
        <v/>
      </c>
    </row>
    <row r="704" spans="1:15" x14ac:dyDescent="0.45">
      <c r="D704" s="27">
        <f t="shared" si="751"/>
        <v>0</v>
      </c>
      <c r="E704" s="28">
        <f t="shared" si="752"/>
        <v>0</v>
      </c>
      <c r="F704" s="42">
        <f t="shared" si="753"/>
        <v>-3.3333333333333333E-2</v>
      </c>
      <c r="G704" s="42">
        <f t="shared" si="754"/>
        <v>-0.23333333333333334</v>
      </c>
      <c r="H704" s="42">
        <f t="shared" si="755"/>
        <v>-0.36666666666666664</v>
      </c>
      <c r="I704" s="42">
        <f t="shared" si="756"/>
        <v>-0.43333333333333335</v>
      </c>
      <c r="J704" s="42">
        <f t="shared" si="757"/>
        <v>-0.56666666666666665</v>
      </c>
      <c r="K704" s="42">
        <f t="shared" si="758"/>
        <v>-0.6333333333333333</v>
      </c>
      <c r="L704" s="42">
        <f t="shared" si="759"/>
        <v>-0.76666666666666672</v>
      </c>
      <c r="M704" s="42">
        <f t="shared" si="760"/>
        <v>-0.96666666666666667</v>
      </c>
      <c r="O704" s="43" t="str">
        <f t="shared" si="750"/>
        <v/>
      </c>
    </row>
    <row r="705" spans="1:15" ht="19.2" thickBot="1" x14ac:dyDescent="0.5">
      <c r="F705" s="42"/>
      <c r="G705" s="42"/>
      <c r="H705" s="42"/>
      <c r="I705" s="42"/>
      <c r="J705" s="42"/>
      <c r="K705" s="42"/>
      <c r="L705" s="42"/>
      <c r="M705" s="42"/>
    </row>
    <row r="706" spans="1:15" ht="19.2" thickBot="1" x14ac:dyDescent="0.5">
      <c r="C706" s="44"/>
      <c r="E706" s="34">
        <f>E687</f>
        <v>0</v>
      </c>
      <c r="F706" s="45">
        <v>1</v>
      </c>
      <c r="G706" s="46">
        <v>7</v>
      </c>
      <c r="H706" s="46">
        <v>11</v>
      </c>
      <c r="I706" s="46">
        <v>13</v>
      </c>
      <c r="J706" s="46">
        <v>17</v>
      </c>
      <c r="K706" s="46">
        <v>19</v>
      </c>
      <c r="L706" s="46">
        <v>23</v>
      </c>
      <c r="M706" s="47">
        <v>29</v>
      </c>
      <c r="O706" s="27" t="s">
        <v>2</v>
      </c>
    </row>
    <row r="707" spans="1:15" x14ac:dyDescent="0.45">
      <c r="A707" s="29">
        <f>A697+1</f>
        <v>70</v>
      </c>
      <c r="D707" s="27">
        <f>C697</f>
        <v>0</v>
      </c>
      <c r="E707" s="28">
        <f>D707*$E$6</f>
        <v>0</v>
      </c>
      <c r="F707" s="42">
        <f>(E707-1)/30</f>
        <v>-3.3333333333333333E-2</v>
      </c>
      <c r="G707" s="42">
        <f>($E707-7)/30</f>
        <v>-0.23333333333333334</v>
      </c>
      <c r="H707" s="42">
        <f>($E707-11)/30</f>
        <v>-0.36666666666666664</v>
      </c>
      <c r="I707" s="42">
        <f>($E707-13)/30</f>
        <v>-0.43333333333333335</v>
      </c>
      <c r="J707" s="42">
        <f>($E707-17)/30</f>
        <v>-0.56666666666666665</v>
      </c>
      <c r="K707" s="42">
        <f>($E707-19)/30</f>
        <v>-0.6333333333333333</v>
      </c>
      <c r="L707" s="42">
        <f>($E707-23)/30</f>
        <v>-0.76666666666666672</v>
      </c>
      <c r="M707" s="42">
        <f>($E707-29)/30</f>
        <v>-0.96666666666666667</v>
      </c>
      <c r="O707" s="43" t="str">
        <f t="shared" ref="O707:O714" si="761">FactorNumber(E707)</f>
        <v/>
      </c>
    </row>
    <row r="708" spans="1:15" x14ac:dyDescent="0.45">
      <c r="D708" s="27">
        <f t="shared" ref="D708:D714" si="762">C698</f>
        <v>0</v>
      </c>
      <c r="E708" s="28">
        <f t="shared" ref="E708:E714" si="763">D708*$E$6</f>
        <v>0</v>
      </c>
      <c r="F708" s="42">
        <f t="shared" ref="F708:F714" si="764">(E708-1)/30</f>
        <v>-3.3333333333333333E-2</v>
      </c>
      <c r="G708" s="42">
        <f t="shared" ref="G708:G714" si="765">($E708-7)/30</f>
        <v>-0.23333333333333334</v>
      </c>
      <c r="H708" s="42">
        <f t="shared" ref="H708:H714" si="766">($E708-11)/30</f>
        <v>-0.36666666666666664</v>
      </c>
      <c r="I708" s="42">
        <f t="shared" ref="I708:I714" si="767">($E708-13)/30</f>
        <v>-0.43333333333333335</v>
      </c>
      <c r="J708" s="42">
        <f t="shared" ref="J708:J714" si="768">($E708-17)/30</f>
        <v>-0.56666666666666665</v>
      </c>
      <c r="K708" s="42">
        <f t="shared" ref="K708:K714" si="769">($E708-19)/30</f>
        <v>-0.6333333333333333</v>
      </c>
      <c r="L708" s="42">
        <f t="shared" ref="L708:L714" si="770">($E708-23)/30</f>
        <v>-0.76666666666666672</v>
      </c>
      <c r="M708" s="42">
        <f t="shared" ref="M708:M714" si="771">($E708-29)/30</f>
        <v>-0.96666666666666667</v>
      </c>
      <c r="O708" s="43" t="str">
        <f t="shared" si="761"/>
        <v/>
      </c>
    </row>
    <row r="709" spans="1:15" x14ac:dyDescent="0.45">
      <c r="D709" s="27">
        <f t="shared" si="762"/>
        <v>0</v>
      </c>
      <c r="E709" s="28">
        <f t="shared" si="763"/>
        <v>0</v>
      </c>
      <c r="F709" s="42">
        <f t="shared" si="764"/>
        <v>-3.3333333333333333E-2</v>
      </c>
      <c r="G709" s="42">
        <f t="shared" si="765"/>
        <v>-0.23333333333333334</v>
      </c>
      <c r="H709" s="42">
        <f t="shared" si="766"/>
        <v>-0.36666666666666664</v>
      </c>
      <c r="I709" s="42">
        <f t="shared" si="767"/>
        <v>-0.43333333333333335</v>
      </c>
      <c r="J709" s="42">
        <f t="shared" si="768"/>
        <v>-0.56666666666666665</v>
      </c>
      <c r="K709" s="42">
        <f t="shared" si="769"/>
        <v>-0.6333333333333333</v>
      </c>
      <c r="L709" s="42">
        <f t="shared" si="770"/>
        <v>-0.76666666666666672</v>
      </c>
      <c r="M709" s="42">
        <f t="shared" si="771"/>
        <v>-0.96666666666666667</v>
      </c>
      <c r="O709" s="43" t="str">
        <f t="shared" si="761"/>
        <v/>
      </c>
    </row>
    <row r="710" spans="1:15" x14ac:dyDescent="0.45">
      <c r="D710" s="27">
        <f t="shared" si="762"/>
        <v>0</v>
      </c>
      <c r="E710" s="28">
        <f t="shared" si="763"/>
        <v>0</v>
      </c>
      <c r="F710" s="42">
        <f t="shared" si="764"/>
        <v>-3.3333333333333333E-2</v>
      </c>
      <c r="G710" s="42">
        <f t="shared" si="765"/>
        <v>-0.23333333333333334</v>
      </c>
      <c r="H710" s="42">
        <f t="shared" si="766"/>
        <v>-0.36666666666666664</v>
      </c>
      <c r="I710" s="42">
        <f t="shared" si="767"/>
        <v>-0.43333333333333335</v>
      </c>
      <c r="J710" s="42">
        <f t="shared" si="768"/>
        <v>-0.56666666666666665</v>
      </c>
      <c r="K710" s="42">
        <f t="shared" si="769"/>
        <v>-0.6333333333333333</v>
      </c>
      <c r="L710" s="42">
        <f t="shared" si="770"/>
        <v>-0.76666666666666672</v>
      </c>
      <c r="M710" s="42">
        <f t="shared" si="771"/>
        <v>-0.96666666666666667</v>
      </c>
      <c r="O710" s="43" t="str">
        <f t="shared" si="761"/>
        <v/>
      </c>
    </row>
    <row r="711" spans="1:15" x14ac:dyDescent="0.45">
      <c r="D711" s="27">
        <f t="shared" si="762"/>
        <v>0</v>
      </c>
      <c r="E711" s="28">
        <f t="shared" si="763"/>
        <v>0</v>
      </c>
      <c r="F711" s="42">
        <f t="shared" si="764"/>
        <v>-3.3333333333333333E-2</v>
      </c>
      <c r="G711" s="42">
        <f t="shared" si="765"/>
        <v>-0.23333333333333334</v>
      </c>
      <c r="H711" s="42">
        <f t="shared" si="766"/>
        <v>-0.36666666666666664</v>
      </c>
      <c r="I711" s="42">
        <f t="shared" si="767"/>
        <v>-0.43333333333333335</v>
      </c>
      <c r="J711" s="42">
        <f t="shared" si="768"/>
        <v>-0.56666666666666665</v>
      </c>
      <c r="K711" s="42">
        <f t="shared" si="769"/>
        <v>-0.6333333333333333</v>
      </c>
      <c r="L711" s="42">
        <f t="shared" si="770"/>
        <v>-0.76666666666666672</v>
      </c>
      <c r="M711" s="42">
        <f t="shared" si="771"/>
        <v>-0.96666666666666667</v>
      </c>
      <c r="O711" s="43" t="str">
        <f t="shared" si="761"/>
        <v/>
      </c>
    </row>
    <row r="712" spans="1:15" x14ac:dyDescent="0.45">
      <c r="D712" s="27">
        <f t="shared" si="762"/>
        <v>0</v>
      </c>
      <c r="E712" s="28">
        <f t="shared" si="763"/>
        <v>0</v>
      </c>
      <c r="F712" s="42">
        <f t="shared" si="764"/>
        <v>-3.3333333333333333E-2</v>
      </c>
      <c r="G712" s="42">
        <f t="shared" si="765"/>
        <v>-0.23333333333333334</v>
      </c>
      <c r="H712" s="42">
        <f t="shared" si="766"/>
        <v>-0.36666666666666664</v>
      </c>
      <c r="I712" s="42">
        <f t="shared" si="767"/>
        <v>-0.43333333333333335</v>
      </c>
      <c r="J712" s="42">
        <f t="shared" si="768"/>
        <v>-0.56666666666666665</v>
      </c>
      <c r="K712" s="42">
        <f t="shared" si="769"/>
        <v>-0.6333333333333333</v>
      </c>
      <c r="L712" s="42">
        <f t="shared" si="770"/>
        <v>-0.76666666666666672</v>
      </c>
      <c r="M712" s="42">
        <f t="shared" si="771"/>
        <v>-0.96666666666666667</v>
      </c>
      <c r="O712" s="43" t="str">
        <f t="shared" si="761"/>
        <v/>
      </c>
    </row>
    <row r="713" spans="1:15" x14ac:dyDescent="0.45">
      <c r="D713" s="27">
        <f t="shared" si="762"/>
        <v>0</v>
      </c>
      <c r="E713" s="28">
        <f t="shared" si="763"/>
        <v>0</v>
      </c>
      <c r="F713" s="42">
        <f t="shared" si="764"/>
        <v>-3.3333333333333333E-2</v>
      </c>
      <c r="G713" s="42">
        <f t="shared" si="765"/>
        <v>-0.23333333333333334</v>
      </c>
      <c r="H713" s="42">
        <f t="shared" si="766"/>
        <v>-0.36666666666666664</v>
      </c>
      <c r="I713" s="42">
        <f t="shared" si="767"/>
        <v>-0.43333333333333335</v>
      </c>
      <c r="J713" s="42">
        <f t="shared" si="768"/>
        <v>-0.56666666666666665</v>
      </c>
      <c r="K713" s="42">
        <f t="shared" si="769"/>
        <v>-0.6333333333333333</v>
      </c>
      <c r="L713" s="42">
        <f t="shared" si="770"/>
        <v>-0.76666666666666672</v>
      </c>
      <c r="M713" s="42">
        <f t="shared" si="771"/>
        <v>-0.96666666666666667</v>
      </c>
      <c r="O713" s="43" t="str">
        <f t="shared" si="761"/>
        <v/>
      </c>
    </row>
    <row r="714" spans="1:15" x14ac:dyDescent="0.45">
      <c r="D714" s="27">
        <f t="shared" si="762"/>
        <v>0</v>
      </c>
      <c r="E714" s="28">
        <f t="shared" si="763"/>
        <v>0</v>
      </c>
      <c r="F714" s="42">
        <f t="shared" si="764"/>
        <v>-3.3333333333333333E-2</v>
      </c>
      <c r="G714" s="42">
        <f t="shared" si="765"/>
        <v>-0.23333333333333334</v>
      </c>
      <c r="H714" s="42">
        <f t="shared" si="766"/>
        <v>-0.36666666666666664</v>
      </c>
      <c r="I714" s="42">
        <f t="shared" si="767"/>
        <v>-0.43333333333333335</v>
      </c>
      <c r="J714" s="42">
        <f t="shared" si="768"/>
        <v>-0.56666666666666665</v>
      </c>
      <c r="K714" s="42">
        <f t="shared" si="769"/>
        <v>-0.6333333333333333</v>
      </c>
      <c r="L714" s="42">
        <f t="shared" si="770"/>
        <v>-0.76666666666666672</v>
      </c>
      <c r="M714" s="42">
        <f t="shared" si="771"/>
        <v>-0.96666666666666667</v>
      </c>
      <c r="O714" s="43" t="str">
        <f t="shared" si="761"/>
        <v/>
      </c>
    </row>
    <row r="715" spans="1:15" ht="19.2" thickBot="1" x14ac:dyDescent="0.5">
      <c r="F715" s="42"/>
      <c r="G715" s="42"/>
      <c r="H715" s="42"/>
      <c r="I715" s="42"/>
      <c r="J715" s="42"/>
      <c r="K715" s="42"/>
      <c r="L715" s="42"/>
      <c r="M715" s="42"/>
    </row>
    <row r="716" spans="1:15" ht="19.2" thickBot="1" x14ac:dyDescent="0.5">
      <c r="C716" s="44"/>
      <c r="E716" s="34">
        <f>E697</f>
        <v>0</v>
      </c>
      <c r="F716" s="45">
        <v>1</v>
      </c>
      <c r="G716" s="46">
        <v>7</v>
      </c>
      <c r="H716" s="46">
        <v>11</v>
      </c>
      <c r="I716" s="46">
        <v>13</v>
      </c>
      <c r="J716" s="46">
        <v>17</v>
      </c>
      <c r="K716" s="46">
        <v>19</v>
      </c>
      <c r="L716" s="46">
        <v>23</v>
      </c>
      <c r="M716" s="47">
        <v>29</v>
      </c>
      <c r="O716" s="27" t="s">
        <v>2</v>
      </c>
    </row>
    <row r="717" spans="1:15" x14ac:dyDescent="0.45">
      <c r="A717" s="29">
        <f>A707+1</f>
        <v>71</v>
      </c>
      <c r="D717" s="27">
        <f>C707</f>
        <v>0</v>
      </c>
      <c r="E717" s="28">
        <f>D717*$E$6</f>
        <v>0</v>
      </c>
      <c r="F717" s="42">
        <f>(E717-1)/30</f>
        <v>-3.3333333333333333E-2</v>
      </c>
      <c r="G717" s="42">
        <f>($E717-7)/30</f>
        <v>-0.23333333333333334</v>
      </c>
      <c r="H717" s="42">
        <f>($E717-11)/30</f>
        <v>-0.36666666666666664</v>
      </c>
      <c r="I717" s="42">
        <f>($E717-13)/30</f>
        <v>-0.43333333333333335</v>
      </c>
      <c r="J717" s="42">
        <f>($E717-17)/30</f>
        <v>-0.56666666666666665</v>
      </c>
      <c r="K717" s="42">
        <f>($E717-19)/30</f>
        <v>-0.6333333333333333</v>
      </c>
      <c r="L717" s="42">
        <f>($E717-23)/30</f>
        <v>-0.76666666666666672</v>
      </c>
      <c r="M717" s="42">
        <f>($E717-29)/30</f>
        <v>-0.96666666666666667</v>
      </c>
      <c r="O717" s="43" t="str">
        <f t="shared" ref="O717:O724" si="772">FactorNumber(E717)</f>
        <v/>
      </c>
    </row>
    <row r="718" spans="1:15" x14ac:dyDescent="0.45">
      <c r="D718" s="27">
        <f t="shared" ref="D718:D724" si="773">C708</f>
        <v>0</v>
      </c>
      <c r="E718" s="28">
        <f t="shared" ref="E718:E724" si="774">D718*$E$6</f>
        <v>0</v>
      </c>
      <c r="F718" s="42">
        <f t="shared" ref="F718:F724" si="775">(E718-1)/30</f>
        <v>-3.3333333333333333E-2</v>
      </c>
      <c r="G718" s="42">
        <f t="shared" ref="G718:G724" si="776">($E718-7)/30</f>
        <v>-0.23333333333333334</v>
      </c>
      <c r="H718" s="42">
        <f t="shared" ref="H718:H724" si="777">($E718-11)/30</f>
        <v>-0.36666666666666664</v>
      </c>
      <c r="I718" s="42">
        <f t="shared" ref="I718:I724" si="778">($E718-13)/30</f>
        <v>-0.43333333333333335</v>
      </c>
      <c r="J718" s="42">
        <f t="shared" ref="J718:J724" si="779">($E718-17)/30</f>
        <v>-0.56666666666666665</v>
      </c>
      <c r="K718" s="42">
        <f t="shared" ref="K718:K724" si="780">($E718-19)/30</f>
        <v>-0.6333333333333333</v>
      </c>
      <c r="L718" s="42">
        <f t="shared" ref="L718:L724" si="781">($E718-23)/30</f>
        <v>-0.76666666666666672</v>
      </c>
      <c r="M718" s="42">
        <f t="shared" ref="M718:M724" si="782">($E718-29)/30</f>
        <v>-0.96666666666666667</v>
      </c>
      <c r="O718" s="43" t="str">
        <f t="shared" si="772"/>
        <v/>
      </c>
    </row>
    <row r="719" spans="1:15" x14ac:dyDescent="0.45">
      <c r="D719" s="27">
        <f t="shared" si="773"/>
        <v>0</v>
      </c>
      <c r="E719" s="28">
        <f t="shared" si="774"/>
        <v>0</v>
      </c>
      <c r="F719" s="42">
        <f t="shared" si="775"/>
        <v>-3.3333333333333333E-2</v>
      </c>
      <c r="G719" s="42">
        <f t="shared" si="776"/>
        <v>-0.23333333333333334</v>
      </c>
      <c r="H719" s="42">
        <f t="shared" si="777"/>
        <v>-0.36666666666666664</v>
      </c>
      <c r="I719" s="42">
        <f t="shared" si="778"/>
        <v>-0.43333333333333335</v>
      </c>
      <c r="J719" s="42">
        <f t="shared" si="779"/>
        <v>-0.56666666666666665</v>
      </c>
      <c r="K719" s="42">
        <f t="shared" si="780"/>
        <v>-0.6333333333333333</v>
      </c>
      <c r="L719" s="42">
        <f t="shared" si="781"/>
        <v>-0.76666666666666672</v>
      </c>
      <c r="M719" s="42">
        <f t="shared" si="782"/>
        <v>-0.96666666666666667</v>
      </c>
      <c r="O719" s="43" t="str">
        <f t="shared" si="772"/>
        <v/>
      </c>
    </row>
    <row r="720" spans="1:15" x14ac:dyDescent="0.45">
      <c r="D720" s="27">
        <f t="shared" si="773"/>
        <v>0</v>
      </c>
      <c r="E720" s="28">
        <f t="shared" si="774"/>
        <v>0</v>
      </c>
      <c r="F720" s="42">
        <f t="shared" si="775"/>
        <v>-3.3333333333333333E-2</v>
      </c>
      <c r="G720" s="42">
        <f t="shared" si="776"/>
        <v>-0.23333333333333334</v>
      </c>
      <c r="H720" s="42">
        <f t="shared" si="777"/>
        <v>-0.36666666666666664</v>
      </c>
      <c r="I720" s="42">
        <f t="shared" si="778"/>
        <v>-0.43333333333333335</v>
      </c>
      <c r="J720" s="42">
        <f t="shared" si="779"/>
        <v>-0.56666666666666665</v>
      </c>
      <c r="K720" s="42">
        <f t="shared" si="780"/>
        <v>-0.6333333333333333</v>
      </c>
      <c r="L720" s="42">
        <f t="shared" si="781"/>
        <v>-0.76666666666666672</v>
      </c>
      <c r="M720" s="42">
        <f t="shared" si="782"/>
        <v>-0.96666666666666667</v>
      </c>
      <c r="O720" s="43" t="str">
        <f t="shared" si="772"/>
        <v/>
      </c>
    </row>
    <row r="721" spans="1:15" x14ac:dyDescent="0.45">
      <c r="D721" s="27">
        <f t="shared" si="773"/>
        <v>0</v>
      </c>
      <c r="E721" s="28">
        <f t="shared" si="774"/>
        <v>0</v>
      </c>
      <c r="F721" s="42">
        <f t="shared" si="775"/>
        <v>-3.3333333333333333E-2</v>
      </c>
      <c r="G721" s="42">
        <f t="shared" si="776"/>
        <v>-0.23333333333333334</v>
      </c>
      <c r="H721" s="42">
        <f t="shared" si="777"/>
        <v>-0.36666666666666664</v>
      </c>
      <c r="I721" s="42">
        <f t="shared" si="778"/>
        <v>-0.43333333333333335</v>
      </c>
      <c r="J721" s="42">
        <f t="shared" si="779"/>
        <v>-0.56666666666666665</v>
      </c>
      <c r="K721" s="42">
        <f t="shared" si="780"/>
        <v>-0.6333333333333333</v>
      </c>
      <c r="L721" s="42">
        <f t="shared" si="781"/>
        <v>-0.76666666666666672</v>
      </c>
      <c r="M721" s="42">
        <f t="shared" si="782"/>
        <v>-0.96666666666666667</v>
      </c>
      <c r="O721" s="43" t="str">
        <f t="shared" si="772"/>
        <v/>
      </c>
    </row>
    <row r="722" spans="1:15" x14ac:dyDescent="0.45">
      <c r="D722" s="27">
        <f t="shared" si="773"/>
        <v>0</v>
      </c>
      <c r="E722" s="28">
        <f t="shared" si="774"/>
        <v>0</v>
      </c>
      <c r="F722" s="42">
        <f t="shared" si="775"/>
        <v>-3.3333333333333333E-2</v>
      </c>
      <c r="G722" s="42">
        <f t="shared" si="776"/>
        <v>-0.23333333333333334</v>
      </c>
      <c r="H722" s="42">
        <f t="shared" si="777"/>
        <v>-0.36666666666666664</v>
      </c>
      <c r="I722" s="42">
        <f t="shared" si="778"/>
        <v>-0.43333333333333335</v>
      </c>
      <c r="J722" s="42">
        <f t="shared" si="779"/>
        <v>-0.56666666666666665</v>
      </c>
      <c r="K722" s="42">
        <f t="shared" si="780"/>
        <v>-0.6333333333333333</v>
      </c>
      <c r="L722" s="42">
        <f t="shared" si="781"/>
        <v>-0.76666666666666672</v>
      </c>
      <c r="M722" s="42">
        <f t="shared" si="782"/>
        <v>-0.96666666666666667</v>
      </c>
      <c r="O722" s="43" t="str">
        <f t="shared" si="772"/>
        <v/>
      </c>
    </row>
    <row r="723" spans="1:15" x14ac:dyDescent="0.45">
      <c r="D723" s="27">
        <f t="shared" si="773"/>
        <v>0</v>
      </c>
      <c r="E723" s="28">
        <f t="shared" si="774"/>
        <v>0</v>
      </c>
      <c r="F723" s="42">
        <f t="shared" si="775"/>
        <v>-3.3333333333333333E-2</v>
      </c>
      <c r="G723" s="42">
        <f t="shared" si="776"/>
        <v>-0.23333333333333334</v>
      </c>
      <c r="H723" s="42">
        <f t="shared" si="777"/>
        <v>-0.36666666666666664</v>
      </c>
      <c r="I723" s="42">
        <f t="shared" si="778"/>
        <v>-0.43333333333333335</v>
      </c>
      <c r="J723" s="42">
        <f t="shared" si="779"/>
        <v>-0.56666666666666665</v>
      </c>
      <c r="K723" s="42">
        <f t="shared" si="780"/>
        <v>-0.6333333333333333</v>
      </c>
      <c r="L723" s="42">
        <f t="shared" si="781"/>
        <v>-0.76666666666666672</v>
      </c>
      <c r="M723" s="42">
        <f t="shared" si="782"/>
        <v>-0.96666666666666667</v>
      </c>
      <c r="O723" s="43" t="str">
        <f t="shared" si="772"/>
        <v/>
      </c>
    </row>
    <row r="724" spans="1:15" x14ac:dyDescent="0.45">
      <c r="D724" s="27">
        <f t="shared" si="773"/>
        <v>0</v>
      </c>
      <c r="E724" s="28">
        <f t="shared" si="774"/>
        <v>0</v>
      </c>
      <c r="F724" s="42">
        <f t="shared" si="775"/>
        <v>-3.3333333333333333E-2</v>
      </c>
      <c r="G724" s="42">
        <f t="shared" si="776"/>
        <v>-0.23333333333333334</v>
      </c>
      <c r="H724" s="42">
        <f t="shared" si="777"/>
        <v>-0.36666666666666664</v>
      </c>
      <c r="I724" s="42">
        <f t="shared" si="778"/>
        <v>-0.43333333333333335</v>
      </c>
      <c r="J724" s="42">
        <f t="shared" si="779"/>
        <v>-0.56666666666666665</v>
      </c>
      <c r="K724" s="42">
        <f t="shared" si="780"/>
        <v>-0.6333333333333333</v>
      </c>
      <c r="L724" s="42">
        <f t="shared" si="781"/>
        <v>-0.76666666666666672</v>
      </c>
      <c r="M724" s="42">
        <f t="shared" si="782"/>
        <v>-0.96666666666666667</v>
      </c>
      <c r="O724" s="43" t="str">
        <f t="shared" si="772"/>
        <v/>
      </c>
    </row>
    <row r="725" spans="1:15" ht="19.2" thickBot="1" x14ac:dyDescent="0.5">
      <c r="F725" s="42"/>
      <c r="G725" s="42"/>
      <c r="H725" s="42"/>
      <c r="I725" s="42"/>
      <c r="J725" s="42"/>
      <c r="K725" s="42"/>
      <c r="L725" s="42"/>
      <c r="M725" s="42"/>
    </row>
    <row r="726" spans="1:15" ht="19.2" thickBot="1" x14ac:dyDescent="0.5">
      <c r="C726" s="44"/>
      <c r="E726" s="34">
        <f>E707</f>
        <v>0</v>
      </c>
      <c r="F726" s="45">
        <v>1</v>
      </c>
      <c r="G726" s="46">
        <v>7</v>
      </c>
      <c r="H726" s="46">
        <v>11</v>
      </c>
      <c r="I726" s="46">
        <v>13</v>
      </c>
      <c r="J726" s="46">
        <v>17</v>
      </c>
      <c r="K726" s="46">
        <v>19</v>
      </c>
      <c r="L726" s="46">
        <v>23</v>
      </c>
      <c r="M726" s="47">
        <v>29</v>
      </c>
      <c r="O726" s="27" t="s">
        <v>2</v>
      </c>
    </row>
    <row r="727" spans="1:15" x14ac:dyDescent="0.45">
      <c r="A727" s="29">
        <f>A717+1</f>
        <v>72</v>
      </c>
      <c r="D727" s="27">
        <f>C717</f>
        <v>0</v>
      </c>
      <c r="E727" s="28">
        <f>D727*$E$6</f>
        <v>0</v>
      </c>
      <c r="F727" s="42">
        <f>(E727-1)/30</f>
        <v>-3.3333333333333333E-2</v>
      </c>
      <c r="G727" s="42">
        <f>($E727-7)/30</f>
        <v>-0.23333333333333334</v>
      </c>
      <c r="H727" s="42">
        <f>($E727-11)/30</f>
        <v>-0.36666666666666664</v>
      </c>
      <c r="I727" s="42">
        <f>($E727-13)/30</f>
        <v>-0.43333333333333335</v>
      </c>
      <c r="J727" s="42">
        <f>($E727-17)/30</f>
        <v>-0.56666666666666665</v>
      </c>
      <c r="K727" s="42">
        <f>($E727-19)/30</f>
        <v>-0.6333333333333333</v>
      </c>
      <c r="L727" s="42">
        <f>($E727-23)/30</f>
        <v>-0.76666666666666672</v>
      </c>
      <c r="M727" s="42">
        <f>($E727-29)/30</f>
        <v>-0.96666666666666667</v>
      </c>
      <c r="O727" s="43" t="str">
        <f t="shared" ref="O727:O734" si="783">FactorNumber(E727)</f>
        <v/>
      </c>
    </row>
    <row r="728" spans="1:15" x14ac:dyDescent="0.45">
      <c r="D728" s="27">
        <f t="shared" ref="D728:D734" si="784">C718</f>
        <v>0</v>
      </c>
      <c r="E728" s="28">
        <f t="shared" ref="E728:E734" si="785">D728*$E$6</f>
        <v>0</v>
      </c>
      <c r="F728" s="42">
        <f t="shared" ref="F728:F734" si="786">(E728-1)/30</f>
        <v>-3.3333333333333333E-2</v>
      </c>
      <c r="G728" s="42">
        <f t="shared" ref="G728:G734" si="787">($E728-7)/30</f>
        <v>-0.23333333333333334</v>
      </c>
      <c r="H728" s="42">
        <f t="shared" ref="H728:H734" si="788">($E728-11)/30</f>
        <v>-0.36666666666666664</v>
      </c>
      <c r="I728" s="42">
        <f t="shared" ref="I728:I734" si="789">($E728-13)/30</f>
        <v>-0.43333333333333335</v>
      </c>
      <c r="J728" s="42">
        <f t="shared" ref="J728:J734" si="790">($E728-17)/30</f>
        <v>-0.56666666666666665</v>
      </c>
      <c r="K728" s="42">
        <f t="shared" ref="K728:K734" si="791">($E728-19)/30</f>
        <v>-0.6333333333333333</v>
      </c>
      <c r="L728" s="42">
        <f t="shared" ref="L728:L734" si="792">($E728-23)/30</f>
        <v>-0.76666666666666672</v>
      </c>
      <c r="M728" s="42">
        <f t="shared" ref="M728:M734" si="793">($E728-29)/30</f>
        <v>-0.96666666666666667</v>
      </c>
      <c r="O728" s="43" t="str">
        <f t="shared" si="783"/>
        <v/>
      </c>
    </row>
    <row r="729" spans="1:15" x14ac:dyDescent="0.45">
      <c r="D729" s="27">
        <f t="shared" si="784"/>
        <v>0</v>
      </c>
      <c r="E729" s="28">
        <f t="shared" si="785"/>
        <v>0</v>
      </c>
      <c r="F729" s="42">
        <f t="shared" si="786"/>
        <v>-3.3333333333333333E-2</v>
      </c>
      <c r="G729" s="42">
        <f t="shared" si="787"/>
        <v>-0.23333333333333334</v>
      </c>
      <c r="H729" s="42">
        <f t="shared" si="788"/>
        <v>-0.36666666666666664</v>
      </c>
      <c r="I729" s="42">
        <f t="shared" si="789"/>
        <v>-0.43333333333333335</v>
      </c>
      <c r="J729" s="42">
        <f t="shared" si="790"/>
        <v>-0.56666666666666665</v>
      </c>
      <c r="K729" s="42">
        <f t="shared" si="791"/>
        <v>-0.6333333333333333</v>
      </c>
      <c r="L729" s="42">
        <f t="shared" si="792"/>
        <v>-0.76666666666666672</v>
      </c>
      <c r="M729" s="42">
        <f t="shared" si="793"/>
        <v>-0.96666666666666667</v>
      </c>
      <c r="O729" s="43" t="str">
        <f t="shared" si="783"/>
        <v/>
      </c>
    </row>
    <row r="730" spans="1:15" x14ac:dyDescent="0.45">
      <c r="D730" s="27">
        <f t="shared" si="784"/>
        <v>0</v>
      </c>
      <c r="E730" s="28">
        <f t="shared" si="785"/>
        <v>0</v>
      </c>
      <c r="F730" s="42">
        <f t="shared" si="786"/>
        <v>-3.3333333333333333E-2</v>
      </c>
      <c r="G730" s="42">
        <f t="shared" si="787"/>
        <v>-0.23333333333333334</v>
      </c>
      <c r="H730" s="42">
        <f t="shared" si="788"/>
        <v>-0.36666666666666664</v>
      </c>
      <c r="I730" s="42">
        <f t="shared" si="789"/>
        <v>-0.43333333333333335</v>
      </c>
      <c r="J730" s="42">
        <f t="shared" si="790"/>
        <v>-0.56666666666666665</v>
      </c>
      <c r="K730" s="42">
        <f t="shared" si="791"/>
        <v>-0.6333333333333333</v>
      </c>
      <c r="L730" s="42">
        <f t="shared" si="792"/>
        <v>-0.76666666666666672</v>
      </c>
      <c r="M730" s="42">
        <f t="shared" si="793"/>
        <v>-0.96666666666666667</v>
      </c>
      <c r="O730" s="43" t="str">
        <f t="shared" si="783"/>
        <v/>
      </c>
    </row>
    <row r="731" spans="1:15" x14ac:dyDescent="0.45">
      <c r="D731" s="27">
        <f t="shared" si="784"/>
        <v>0</v>
      </c>
      <c r="E731" s="28">
        <f t="shared" si="785"/>
        <v>0</v>
      </c>
      <c r="F731" s="42">
        <f t="shared" si="786"/>
        <v>-3.3333333333333333E-2</v>
      </c>
      <c r="G731" s="42">
        <f t="shared" si="787"/>
        <v>-0.23333333333333334</v>
      </c>
      <c r="H731" s="42">
        <f t="shared" si="788"/>
        <v>-0.36666666666666664</v>
      </c>
      <c r="I731" s="42">
        <f t="shared" si="789"/>
        <v>-0.43333333333333335</v>
      </c>
      <c r="J731" s="42">
        <f t="shared" si="790"/>
        <v>-0.56666666666666665</v>
      </c>
      <c r="K731" s="42">
        <f t="shared" si="791"/>
        <v>-0.6333333333333333</v>
      </c>
      <c r="L731" s="42">
        <f t="shared" si="792"/>
        <v>-0.76666666666666672</v>
      </c>
      <c r="M731" s="42">
        <f t="shared" si="793"/>
        <v>-0.96666666666666667</v>
      </c>
      <c r="O731" s="43" t="str">
        <f t="shared" si="783"/>
        <v/>
      </c>
    </row>
    <row r="732" spans="1:15" x14ac:dyDescent="0.45">
      <c r="D732" s="27">
        <f t="shared" si="784"/>
        <v>0</v>
      </c>
      <c r="E732" s="28">
        <f t="shared" si="785"/>
        <v>0</v>
      </c>
      <c r="F732" s="42">
        <f t="shared" si="786"/>
        <v>-3.3333333333333333E-2</v>
      </c>
      <c r="G732" s="42">
        <f t="shared" si="787"/>
        <v>-0.23333333333333334</v>
      </c>
      <c r="H732" s="42">
        <f t="shared" si="788"/>
        <v>-0.36666666666666664</v>
      </c>
      <c r="I732" s="42">
        <f t="shared" si="789"/>
        <v>-0.43333333333333335</v>
      </c>
      <c r="J732" s="42">
        <f t="shared" si="790"/>
        <v>-0.56666666666666665</v>
      </c>
      <c r="K732" s="42">
        <f t="shared" si="791"/>
        <v>-0.6333333333333333</v>
      </c>
      <c r="L732" s="42">
        <f t="shared" si="792"/>
        <v>-0.76666666666666672</v>
      </c>
      <c r="M732" s="42">
        <f t="shared" si="793"/>
        <v>-0.96666666666666667</v>
      </c>
      <c r="O732" s="43" t="str">
        <f t="shared" si="783"/>
        <v/>
      </c>
    </row>
    <row r="733" spans="1:15" x14ac:dyDescent="0.45">
      <c r="D733" s="27">
        <f t="shared" si="784"/>
        <v>0</v>
      </c>
      <c r="E733" s="28">
        <f t="shared" si="785"/>
        <v>0</v>
      </c>
      <c r="F733" s="42">
        <f t="shared" si="786"/>
        <v>-3.3333333333333333E-2</v>
      </c>
      <c r="G733" s="42">
        <f t="shared" si="787"/>
        <v>-0.23333333333333334</v>
      </c>
      <c r="H733" s="42">
        <f t="shared" si="788"/>
        <v>-0.36666666666666664</v>
      </c>
      <c r="I733" s="42">
        <f t="shared" si="789"/>
        <v>-0.43333333333333335</v>
      </c>
      <c r="J733" s="42">
        <f t="shared" si="790"/>
        <v>-0.56666666666666665</v>
      </c>
      <c r="K733" s="42">
        <f t="shared" si="791"/>
        <v>-0.6333333333333333</v>
      </c>
      <c r="L733" s="42">
        <f t="shared" si="792"/>
        <v>-0.76666666666666672</v>
      </c>
      <c r="M733" s="42">
        <f t="shared" si="793"/>
        <v>-0.96666666666666667</v>
      </c>
      <c r="O733" s="43" t="str">
        <f t="shared" si="783"/>
        <v/>
      </c>
    </row>
    <row r="734" spans="1:15" x14ac:dyDescent="0.45">
      <c r="D734" s="27">
        <f t="shared" si="784"/>
        <v>0</v>
      </c>
      <c r="E734" s="28">
        <f t="shared" si="785"/>
        <v>0</v>
      </c>
      <c r="F734" s="42">
        <f t="shared" si="786"/>
        <v>-3.3333333333333333E-2</v>
      </c>
      <c r="G734" s="42">
        <f t="shared" si="787"/>
        <v>-0.23333333333333334</v>
      </c>
      <c r="H734" s="42">
        <f t="shared" si="788"/>
        <v>-0.36666666666666664</v>
      </c>
      <c r="I734" s="42">
        <f t="shared" si="789"/>
        <v>-0.43333333333333335</v>
      </c>
      <c r="J734" s="42">
        <f t="shared" si="790"/>
        <v>-0.56666666666666665</v>
      </c>
      <c r="K734" s="42">
        <f t="shared" si="791"/>
        <v>-0.6333333333333333</v>
      </c>
      <c r="L734" s="42">
        <f t="shared" si="792"/>
        <v>-0.76666666666666672</v>
      </c>
      <c r="M734" s="42">
        <f t="shared" si="793"/>
        <v>-0.96666666666666667</v>
      </c>
      <c r="O734" s="43" t="str">
        <f t="shared" si="783"/>
        <v/>
      </c>
    </row>
    <row r="735" spans="1:15" ht="19.2" thickBot="1" x14ac:dyDescent="0.5">
      <c r="F735" s="42"/>
      <c r="G735" s="42"/>
      <c r="H735" s="42"/>
      <c r="I735" s="42"/>
      <c r="J735" s="42"/>
      <c r="K735" s="42"/>
      <c r="L735" s="42"/>
      <c r="M735" s="42"/>
    </row>
    <row r="736" spans="1:15" ht="19.2" thickBot="1" x14ac:dyDescent="0.5">
      <c r="C736" s="44"/>
      <c r="E736" s="34">
        <f>E717</f>
        <v>0</v>
      </c>
      <c r="F736" s="45">
        <v>1</v>
      </c>
      <c r="G736" s="46">
        <v>7</v>
      </c>
      <c r="H736" s="46">
        <v>11</v>
      </c>
      <c r="I736" s="46">
        <v>13</v>
      </c>
      <c r="J736" s="46">
        <v>17</v>
      </c>
      <c r="K736" s="46">
        <v>19</v>
      </c>
      <c r="L736" s="46">
        <v>23</v>
      </c>
      <c r="M736" s="47">
        <v>29</v>
      </c>
      <c r="O736" s="27" t="s">
        <v>2</v>
      </c>
    </row>
    <row r="737" spans="1:15" x14ac:dyDescent="0.45">
      <c r="A737" s="29">
        <f>A727+1</f>
        <v>73</v>
      </c>
      <c r="D737" s="27">
        <f>C727</f>
        <v>0</v>
      </c>
      <c r="E737" s="28">
        <f>D737*$E$6</f>
        <v>0</v>
      </c>
      <c r="F737" s="42">
        <f>(E737-1)/30</f>
        <v>-3.3333333333333333E-2</v>
      </c>
      <c r="G737" s="42">
        <f>($E737-7)/30</f>
        <v>-0.23333333333333334</v>
      </c>
      <c r="H737" s="42">
        <f>($E737-11)/30</f>
        <v>-0.36666666666666664</v>
      </c>
      <c r="I737" s="42">
        <f>($E737-13)/30</f>
        <v>-0.43333333333333335</v>
      </c>
      <c r="J737" s="42">
        <f>($E737-17)/30</f>
        <v>-0.56666666666666665</v>
      </c>
      <c r="K737" s="42">
        <f>($E737-19)/30</f>
        <v>-0.6333333333333333</v>
      </c>
      <c r="L737" s="42">
        <f>($E737-23)/30</f>
        <v>-0.76666666666666672</v>
      </c>
      <c r="M737" s="42">
        <f>($E737-29)/30</f>
        <v>-0.96666666666666667</v>
      </c>
      <c r="O737" s="43" t="str">
        <f t="shared" ref="O737:O744" si="794">FactorNumber(E737)</f>
        <v/>
      </c>
    </row>
    <row r="738" spans="1:15" x14ac:dyDescent="0.45">
      <c r="D738" s="27">
        <f t="shared" ref="D738:D744" si="795">C728</f>
        <v>0</v>
      </c>
      <c r="E738" s="28">
        <f t="shared" ref="E738:E744" si="796">D738*$E$6</f>
        <v>0</v>
      </c>
      <c r="F738" s="42">
        <f t="shared" ref="F738:F744" si="797">(E738-1)/30</f>
        <v>-3.3333333333333333E-2</v>
      </c>
      <c r="G738" s="42">
        <f t="shared" ref="G738:G744" si="798">($E738-7)/30</f>
        <v>-0.23333333333333334</v>
      </c>
      <c r="H738" s="42">
        <f t="shared" ref="H738:H744" si="799">($E738-11)/30</f>
        <v>-0.36666666666666664</v>
      </c>
      <c r="I738" s="42">
        <f t="shared" ref="I738:I744" si="800">($E738-13)/30</f>
        <v>-0.43333333333333335</v>
      </c>
      <c r="J738" s="42">
        <f t="shared" ref="J738:J744" si="801">($E738-17)/30</f>
        <v>-0.56666666666666665</v>
      </c>
      <c r="K738" s="42">
        <f t="shared" ref="K738:K744" si="802">($E738-19)/30</f>
        <v>-0.6333333333333333</v>
      </c>
      <c r="L738" s="42">
        <f t="shared" ref="L738:L744" si="803">($E738-23)/30</f>
        <v>-0.76666666666666672</v>
      </c>
      <c r="M738" s="42">
        <f t="shared" ref="M738:M744" si="804">($E738-29)/30</f>
        <v>-0.96666666666666667</v>
      </c>
      <c r="O738" s="43" t="str">
        <f t="shared" si="794"/>
        <v/>
      </c>
    </row>
    <row r="739" spans="1:15" x14ac:dyDescent="0.45">
      <c r="D739" s="27">
        <f t="shared" si="795"/>
        <v>0</v>
      </c>
      <c r="E739" s="28">
        <f t="shared" si="796"/>
        <v>0</v>
      </c>
      <c r="F739" s="42">
        <f t="shared" si="797"/>
        <v>-3.3333333333333333E-2</v>
      </c>
      <c r="G739" s="42">
        <f t="shared" si="798"/>
        <v>-0.23333333333333334</v>
      </c>
      <c r="H739" s="42">
        <f t="shared" si="799"/>
        <v>-0.36666666666666664</v>
      </c>
      <c r="I739" s="42">
        <f t="shared" si="800"/>
        <v>-0.43333333333333335</v>
      </c>
      <c r="J739" s="42">
        <f t="shared" si="801"/>
        <v>-0.56666666666666665</v>
      </c>
      <c r="K739" s="42">
        <f t="shared" si="802"/>
        <v>-0.6333333333333333</v>
      </c>
      <c r="L739" s="42">
        <f t="shared" si="803"/>
        <v>-0.76666666666666672</v>
      </c>
      <c r="M739" s="42">
        <f t="shared" si="804"/>
        <v>-0.96666666666666667</v>
      </c>
      <c r="O739" s="43" t="str">
        <f t="shared" si="794"/>
        <v/>
      </c>
    </row>
    <row r="740" spans="1:15" x14ac:dyDescent="0.45">
      <c r="D740" s="27">
        <f t="shared" si="795"/>
        <v>0</v>
      </c>
      <c r="E740" s="28">
        <f t="shared" si="796"/>
        <v>0</v>
      </c>
      <c r="F740" s="42">
        <f t="shared" si="797"/>
        <v>-3.3333333333333333E-2</v>
      </c>
      <c r="G740" s="42">
        <f t="shared" si="798"/>
        <v>-0.23333333333333334</v>
      </c>
      <c r="H740" s="42">
        <f t="shared" si="799"/>
        <v>-0.36666666666666664</v>
      </c>
      <c r="I740" s="42">
        <f t="shared" si="800"/>
        <v>-0.43333333333333335</v>
      </c>
      <c r="J740" s="42">
        <f t="shared" si="801"/>
        <v>-0.56666666666666665</v>
      </c>
      <c r="K740" s="42">
        <f t="shared" si="802"/>
        <v>-0.6333333333333333</v>
      </c>
      <c r="L740" s="42">
        <f t="shared" si="803"/>
        <v>-0.76666666666666672</v>
      </c>
      <c r="M740" s="42">
        <f t="shared" si="804"/>
        <v>-0.96666666666666667</v>
      </c>
      <c r="O740" s="43" t="str">
        <f t="shared" si="794"/>
        <v/>
      </c>
    </row>
    <row r="741" spans="1:15" x14ac:dyDescent="0.45">
      <c r="D741" s="27">
        <f t="shared" si="795"/>
        <v>0</v>
      </c>
      <c r="E741" s="28">
        <f t="shared" si="796"/>
        <v>0</v>
      </c>
      <c r="F741" s="42">
        <f t="shared" si="797"/>
        <v>-3.3333333333333333E-2</v>
      </c>
      <c r="G741" s="42">
        <f t="shared" si="798"/>
        <v>-0.23333333333333334</v>
      </c>
      <c r="H741" s="42">
        <f t="shared" si="799"/>
        <v>-0.36666666666666664</v>
      </c>
      <c r="I741" s="42">
        <f t="shared" si="800"/>
        <v>-0.43333333333333335</v>
      </c>
      <c r="J741" s="42">
        <f t="shared" si="801"/>
        <v>-0.56666666666666665</v>
      </c>
      <c r="K741" s="42">
        <f t="shared" si="802"/>
        <v>-0.6333333333333333</v>
      </c>
      <c r="L741" s="42">
        <f t="shared" si="803"/>
        <v>-0.76666666666666672</v>
      </c>
      <c r="M741" s="42">
        <f t="shared" si="804"/>
        <v>-0.96666666666666667</v>
      </c>
      <c r="O741" s="43" t="str">
        <f t="shared" si="794"/>
        <v/>
      </c>
    </row>
    <row r="742" spans="1:15" x14ac:dyDescent="0.45">
      <c r="D742" s="27">
        <f t="shared" si="795"/>
        <v>0</v>
      </c>
      <c r="E742" s="28">
        <f t="shared" si="796"/>
        <v>0</v>
      </c>
      <c r="F742" s="42">
        <f t="shared" si="797"/>
        <v>-3.3333333333333333E-2</v>
      </c>
      <c r="G742" s="42">
        <f t="shared" si="798"/>
        <v>-0.23333333333333334</v>
      </c>
      <c r="H742" s="42">
        <f t="shared" si="799"/>
        <v>-0.36666666666666664</v>
      </c>
      <c r="I742" s="42">
        <f t="shared" si="800"/>
        <v>-0.43333333333333335</v>
      </c>
      <c r="J742" s="42">
        <f t="shared" si="801"/>
        <v>-0.56666666666666665</v>
      </c>
      <c r="K742" s="42">
        <f t="shared" si="802"/>
        <v>-0.6333333333333333</v>
      </c>
      <c r="L742" s="42">
        <f t="shared" si="803"/>
        <v>-0.76666666666666672</v>
      </c>
      <c r="M742" s="42">
        <f t="shared" si="804"/>
        <v>-0.96666666666666667</v>
      </c>
      <c r="O742" s="43" t="str">
        <f t="shared" si="794"/>
        <v/>
      </c>
    </row>
    <row r="743" spans="1:15" x14ac:dyDescent="0.45">
      <c r="D743" s="27">
        <f t="shared" si="795"/>
        <v>0</v>
      </c>
      <c r="E743" s="28">
        <f t="shared" si="796"/>
        <v>0</v>
      </c>
      <c r="F743" s="42">
        <f t="shared" si="797"/>
        <v>-3.3333333333333333E-2</v>
      </c>
      <c r="G743" s="42">
        <f t="shared" si="798"/>
        <v>-0.23333333333333334</v>
      </c>
      <c r="H743" s="42">
        <f t="shared" si="799"/>
        <v>-0.36666666666666664</v>
      </c>
      <c r="I743" s="42">
        <f t="shared" si="800"/>
        <v>-0.43333333333333335</v>
      </c>
      <c r="J743" s="42">
        <f t="shared" si="801"/>
        <v>-0.56666666666666665</v>
      </c>
      <c r="K743" s="42">
        <f t="shared" si="802"/>
        <v>-0.6333333333333333</v>
      </c>
      <c r="L743" s="42">
        <f t="shared" si="803"/>
        <v>-0.76666666666666672</v>
      </c>
      <c r="M743" s="42">
        <f t="shared" si="804"/>
        <v>-0.96666666666666667</v>
      </c>
      <c r="O743" s="43" t="str">
        <f t="shared" si="794"/>
        <v/>
      </c>
    </row>
    <row r="744" spans="1:15" x14ac:dyDescent="0.45">
      <c r="D744" s="27">
        <f t="shared" si="795"/>
        <v>0</v>
      </c>
      <c r="E744" s="28">
        <f t="shared" si="796"/>
        <v>0</v>
      </c>
      <c r="F744" s="42">
        <f t="shared" si="797"/>
        <v>-3.3333333333333333E-2</v>
      </c>
      <c r="G744" s="42">
        <f t="shared" si="798"/>
        <v>-0.23333333333333334</v>
      </c>
      <c r="H744" s="42">
        <f t="shared" si="799"/>
        <v>-0.36666666666666664</v>
      </c>
      <c r="I744" s="42">
        <f t="shared" si="800"/>
        <v>-0.43333333333333335</v>
      </c>
      <c r="J744" s="42">
        <f t="shared" si="801"/>
        <v>-0.56666666666666665</v>
      </c>
      <c r="K744" s="42">
        <f t="shared" si="802"/>
        <v>-0.6333333333333333</v>
      </c>
      <c r="L744" s="42">
        <f t="shared" si="803"/>
        <v>-0.76666666666666672</v>
      </c>
      <c r="M744" s="42">
        <f t="shared" si="804"/>
        <v>-0.96666666666666667</v>
      </c>
      <c r="O744" s="43" t="str">
        <f t="shared" si="794"/>
        <v/>
      </c>
    </row>
    <row r="745" spans="1:15" ht="19.2" thickBot="1" x14ac:dyDescent="0.5">
      <c r="F745" s="42"/>
      <c r="G745" s="42"/>
      <c r="H745" s="42"/>
      <c r="I745" s="42"/>
      <c r="J745" s="42"/>
      <c r="K745" s="42"/>
      <c r="L745" s="42"/>
      <c r="M745" s="42"/>
    </row>
    <row r="746" spans="1:15" ht="19.2" thickBot="1" x14ac:dyDescent="0.5">
      <c r="C746" s="44"/>
      <c r="E746" s="34">
        <f>E727</f>
        <v>0</v>
      </c>
      <c r="F746" s="45">
        <v>1</v>
      </c>
      <c r="G746" s="46">
        <v>7</v>
      </c>
      <c r="H746" s="46">
        <v>11</v>
      </c>
      <c r="I746" s="46">
        <v>13</v>
      </c>
      <c r="J746" s="46">
        <v>17</v>
      </c>
      <c r="K746" s="46">
        <v>19</v>
      </c>
      <c r="L746" s="46">
        <v>23</v>
      </c>
      <c r="M746" s="47">
        <v>29</v>
      </c>
      <c r="O746" s="27" t="s">
        <v>2</v>
      </c>
    </row>
    <row r="747" spans="1:15" x14ac:dyDescent="0.45">
      <c r="A747" s="29">
        <f>A737+1</f>
        <v>74</v>
      </c>
      <c r="D747" s="27">
        <f>C737</f>
        <v>0</v>
      </c>
      <c r="E747" s="28">
        <f>D747*$E$6</f>
        <v>0</v>
      </c>
      <c r="F747" s="42">
        <f>(E747-1)/30</f>
        <v>-3.3333333333333333E-2</v>
      </c>
      <c r="G747" s="42">
        <f>($E747-7)/30</f>
        <v>-0.23333333333333334</v>
      </c>
      <c r="H747" s="42">
        <f>($E747-11)/30</f>
        <v>-0.36666666666666664</v>
      </c>
      <c r="I747" s="42">
        <f>($E747-13)/30</f>
        <v>-0.43333333333333335</v>
      </c>
      <c r="J747" s="42">
        <f>($E747-17)/30</f>
        <v>-0.56666666666666665</v>
      </c>
      <c r="K747" s="42">
        <f>($E747-19)/30</f>
        <v>-0.6333333333333333</v>
      </c>
      <c r="L747" s="42">
        <f>($E747-23)/30</f>
        <v>-0.76666666666666672</v>
      </c>
      <c r="M747" s="42">
        <f>($E747-29)/30</f>
        <v>-0.96666666666666667</v>
      </c>
      <c r="O747" s="43" t="str">
        <f t="shared" ref="O747:O754" si="805">FactorNumber(E747)</f>
        <v/>
      </c>
    </row>
    <row r="748" spans="1:15" x14ac:dyDescent="0.45">
      <c r="D748" s="27">
        <f t="shared" ref="D748:D754" si="806">C738</f>
        <v>0</v>
      </c>
      <c r="E748" s="28">
        <f t="shared" ref="E748:E754" si="807">D748*$E$6</f>
        <v>0</v>
      </c>
      <c r="F748" s="42">
        <f t="shared" ref="F748:F754" si="808">(E748-1)/30</f>
        <v>-3.3333333333333333E-2</v>
      </c>
      <c r="G748" s="42">
        <f t="shared" ref="G748:G754" si="809">($E748-7)/30</f>
        <v>-0.23333333333333334</v>
      </c>
      <c r="H748" s="42">
        <f t="shared" ref="H748:H754" si="810">($E748-11)/30</f>
        <v>-0.36666666666666664</v>
      </c>
      <c r="I748" s="42">
        <f t="shared" ref="I748:I754" si="811">($E748-13)/30</f>
        <v>-0.43333333333333335</v>
      </c>
      <c r="J748" s="42">
        <f t="shared" ref="J748:J754" si="812">($E748-17)/30</f>
        <v>-0.56666666666666665</v>
      </c>
      <c r="K748" s="42">
        <f t="shared" ref="K748:K754" si="813">($E748-19)/30</f>
        <v>-0.6333333333333333</v>
      </c>
      <c r="L748" s="42">
        <f t="shared" ref="L748:L754" si="814">($E748-23)/30</f>
        <v>-0.76666666666666672</v>
      </c>
      <c r="M748" s="42">
        <f t="shared" ref="M748:M754" si="815">($E748-29)/30</f>
        <v>-0.96666666666666667</v>
      </c>
      <c r="O748" s="43" t="str">
        <f t="shared" si="805"/>
        <v/>
      </c>
    </row>
    <row r="749" spans="1:15" x14ac:dyDescent="0.45">
      <c r="D749" s="27">
        <f t="shared" si="806"/>
        <v>0</v>
      </c>
      <c r="E749" s="28">
        <f t="shared" si="807"/>
        <v>0</v>
      </c>
      <c r="F749" s="42">
        <f t="shared" si="808"/>
        <v>-3.3333333333333333E-2</v>
      </c>
      <c r="G749" s="42">
        <f t="shared" si="809"/>
        <v>-0.23333333333333334</v>
      </c>
      <c r="H749" s="42">
        <f t="shared" si="810"/>
        <v>-0.36666666666666664</v>
      </c>
      <c r="I749" s="42">
        <f t="shared" si="811"/>
        <v>-0.43333333333333335</v>
      </c>
      <c r="J749" s="42">
        <f t="shared" si="812"/>
        <v>-0.56666666666666665</v>
      </c>
      <c r="K749" s="42">
        <f t="shared" si="813"/>
        <v>-0.6333333333333333</v>
      </c>
      <c r="L749" s="42">
        <f t="shared" si="814"/>
        <v>-0.76666666666666672</v>
      </c>
      <c r="M749" s="42">
        <f t="shared" si="815"/>
        <v>-0.96666666666666667</v>
      </c>
      <c r="O749" s="43" t="str">
        <f t="shared" si="805"/>
        <v/>
      </c>
    </row>
    <row r="750" spans="1:15" x14ac:dyDescent="0.45">
      <c r="D750" s="27">
        <f t="shared" si="806"/>
        <v>0</v>
      </c>
      <c r="E750" s="28">
        <f t="shared" si="807"/>
        <v>0</v>
      </c>
      <c r="F750" s="42">
        <f t="shared" si="808"/>
        <v>-3.3333333333333333E-2</v>
      </c>
      <c r="G750" s="42">
        <f t="shared" si="809"/>
        <v>-0.23333333333333334</v>
      </c>
      <c r="H750" s="42">
        <f t="shared" si="810"/>
        <v>-0.36666666666666664</v>
      </c>
      <c r="I750" s="42">
        <f t="shared" si="811"/>
        <v>-0.43333333333333335</v>
      </c>
      <c r="J750" s="42">
        <f t="shared" si="812"/>
        <v>-0.56666666666666665</v>
      </c>
      <c r="K750" s="42">
        <f t="shared" si="813"/>
        <v>-0.6333333333333333</v>
      </c>
      <c r="L750" s="42">
        <f t="shared" si="814"/>
        <v>-0.76666666666666672</v>
      </c>
      <c r="M750" s="42">
        <f t="shared" si="815"/>
        <v>-0.96666666666666667</v>
      </c>
      <c r="O750" s="43" t="str">
        <f t="shared" si="805"/>
        <v/>
      </c>
    </row>
    <row r="751" spans="1:15" x14ac:dyDescent="0.45">
      <c r="D751" s="27">
        <f t="shared" si="806"/>
        <v>0</v>
      </c>
      <c r="E751" s="28">
        <f t="shared" si="807"/>
        <v>0</v>
      </c>
      <c r="F751" s="42">
        <f t="shared" si="808"/>
        <v>-3.3333333333333333E-2</v>
      </c>
      <c r="G751" s="42">
        <f t="shared" si="809"/>
        <v>-0.23333333333333334</v>
      </c>
      <c r="H751" s="42">
        <f t="shared" si="810"/>
        <v>-0.36666666666666664</v>
      </c>
      <c r="I751" s="42">
        <f t="shared" si="811"/>
        <v>-0.43333333333333335</v>
      </c>
      <c r="J751" s="42">
        <f t="shared" si="812"/>
        <v>-0.56666666666666665</v>
      </c>
      <c r="K751" s="42">
        <f t="shared" si="813"/>
        <v>-0.6333333333333333</v>
      </c>
      <c r="L751" s="42">
        <f t="shared" si="814"/>
        <v>-0.76666666666666672</v>
      </c>
      <c r="M751" s="42">
        <f t="shared" si="815"/>
        <v>-0.96666666666666667</v>
      </c>
      <c r="O751" s="43" t="str">
        <f t="shared" si="805"/>
        <v/>
      </c>
    </row>
    <row r="752" spans="1:15" x14ac:dyDescent="0.45">
      <c r="D752" s="27">
        <f t="shared" si="806"/>
        <v>0</v>
      </c>
      <c r="E752" s="28">
        <f t="shared" si="807"/>
        <v>0</v>
      </c>
      <c r="F752" s="42">
        <f t="shared" si="808"/>
        <v>-3.3333333333333333E-2</v>
      </c>
      <c r="G752" s="42">
        <f t="shared" si="809"/>
        <v>-0.23333333333333334</v>
      </c>
      <c r="H752" s="42">
        <f t="shared" si="810"/>
        <v>-0.36666666666666664</v>
      </c>
      <c r="I752" s="42">
        <f t="shared" si="811"/>
        <v>-0.43333333333333335</v>
      </c>
      <c r="J752" s="42">
        <f t="shared" si="812"/>
        <v>-0.56666666666666665</v>
      </c>
      <c r="K752" s="42">
        <f t="shared" si="813"/>
        <v>-0.6333333333333333</v>
      </c>
      <c r="L752" s="42">
        <f t="shared" si="814"/>
        <v>-0.76666666666666672</v>
      </c>
      <c r="M752" s="42">
        <f t="shared" si="815"/>
        <v>-0.96666666666666667</v>
      </c>
      <c r="O752" s="43" t="str">
        <f t="shared" si="805"/>
        <v/>
      </c>
    </row>
    <row r="753" spans="1:15" x14ac:dyDescent="0.45">
      <c r="D753" s="27">
        <f t="shared" si="806"/>
        <v>0</v>
      </c>
      <c r="E753" s="28">
        <f t="shared" si="807"/>
        <v>0</v>
      </c>
      <c r="F753" s="42">
        <f t="shared" si="808"/>
        <v>-3.3333333333333333E-2</v>
      </c>
      <c r="G753" s="42">
        <f t="shared" si="809"/>
        <v>-0.23333333333333334</v>
      </c>
      <c r="H753" s="42">
        <f t="shared" si="810"/>
        <v>-0.36666666666666664</v>
      </c>
      <c r="I753" s="42">
        <f t="shared" si="811"/>
        <v>-0.43333333333333335</v>
      </c>
      <c r="J753" s="42">
        <f t="shared" si="812"/>
        <v>-0.56666666666666665</v>
      </c>
      <c r="K753" s="42">
        <f t="shared" si="813"/>
        <v>-0.6333333333333333</v>
      </c>
      <c r="L753" s="42">
        <f t="shared" si="814"/>
        <v>-0.76666666666666672</v>
      </c>
      <c r="M753" s="42">
        <f t="shared" si="815"/>
        <v>-0.96666666666666667</v>
      </c>
      <c r="O753" s="43" t="str">
        <f t="shared" si="805"/>
        <v/>
      </c>
    </row>
    <row r="754" spans="1:15" x14ac:dyDescent="0.45">
      <c r="D754" s="27">
        <f t="shared" si="806"/>
        <v>0</v>
      </c>
      <c r="E754" s="28">
        <f t="shared" si="807"/>
        <v>0</v>
      </c>
      <c r="F754" s="42">
        <f t="shared" si="808"/>
        <v>-3.3333333333333333E-2</v>
      </c>
      <c r="G754" s="42">
        <f t="shared" si="809"/>
        <v>-0.23333333333333334</v>
      </c>
      <c r="H754" s="42">
        <f t="shared" si="810"/>
        <v>-0.36666666666666664</v>
      </c>
      <c r="I754" s="42">
        <f t="shared" si="811"/>
        <v>-0.43333333333333335</v>
      </c>
      <c r="J754" s="42">
        <f t="shared" si="812"/>
        <v>-0.56666666666666665</v>
      </c>
      <c r="K754" s="42">
        <f t="shared" si="813"/>
        <v>-0.6333333333333333</v>
      </c>
      <c r="L754" s="42">
        <f t="shared" si="814"/>
        <v>-0.76666666666666672</v>
      </c>
      <c r="M754" s="42">
        <f t="shared" si="815"/>
        <v>-0.96666666666666667</v>
      </c>
      <c r="O754" s="43" t="str">
        <f t="shared" si="805"/>
        <v/>
      </c>
    </row>
    <row r="755" spans="1:15" ht="19.2" thickBot="1" x14ac:dyDescent="0.5">
      <c r="F755" s="42"/>
      <c r="G755" s="42"/>
      <c r="H755" s="42"/>
      <c r="I755" s="42"/>
      <c r="J755" s="42"/>
      <c r="K755" s="42"/>
      <c r="L755" s="42"/>
      <c r="M755" s="42"/>
    </row>
    <row r="756" spans="1:15" ht="19.2" thickBot="1" x14ac:dyDescent="0.5">
      <c r="C756" s="44"/>
      <c r="E756" s="34">
        <f>E737</f>
        <v>0</v>
      </c>
      <c r="F756" s="45">
        <v>1</v>
      </c>
      <c r="G756" s="46">
        <v>7</v>
      </c>
      <c r="H756" s="46">
        <v>11</v>
      </c>
      <c r="I756" s="46">
        <v>13</v>
      </c>
      <c r="J756" s="46">
        <v>17</v>
      </c>
      <c r="K756" s="46">
        <v>19</v>
      </c>
      <c r="L756" s="46">
        <v>23</v>
      </c>
      <c r="M756" s="47">
        <v>29</v>
      </c>
      <c r="O756" s="27" t="s">
        <v>2</v>
      </c>
    </row>
    <row r="757" spans="1:15" x14ac:dyDescent="0.45">
      <c r="A757" s="29">
        <f>A747+1</f>
        <v>75</v>
      </c>
      <c r="D757" s="27">
        <f>C747</f>
        <v>0</v>
      </c>
      <c r="E757" s="28">
        <f>D757*$E$6</f>
        <v>0</v>
      </c>
      <c r="F757" s="42">
        <f>(E757-1)/30</f>
        <v>-3.3333333333333333E-2</v>
      </c>
      <c r="G757" s="42">
        <f>($E757-7)/30</f>
        <v>-0.23333333333333334</v>
      </c>
      <c r="H757" s="42">
        <f>($E757-11)/30</f>
        <v>-0.36666666666666664</v>
      </c>
      <c r="I757" s="42">
        <f>($E757-13)/30</f>
        <v>-0.43333333333333335</v>
      </c>
      <c r="J757" s="42">
        <f>($E757-17)/30</f>
        <v>-0.56666666666666665</v>
      </c>
      <c r="K757" s="42">
        <f>($E757-19)/30</f>
        <v>-0.6333333333333333</v>
      </c>
      <c r="L757" s="42">
        <f>($E757-23)/30</f>
        <v>-0.76666666666666672</v>
      </c>
      <c r="M757" s="42">
        <f>($E757-29)/30</f>
        <v>-0.96666666666666667</v>
      </c>
      <c r="O757" s="43" t="str">
        <f t="shared" ref="O757:O764" si="816">FactorNumber(E757)</f>
        <v/>
      </c>
    </row>
    <row r="758" spans="1:15" x14ac:dyDescent="0.45">
      <c r="D758" s="27">
        <f t="shared" ref="D758:D764" si="817">C748</f>
        <v>0</v>
      </c>
      <c r="E758" s="28">
        <f t="shared" ref="E758:E764" si="818">D758*$E$6</f>
        <v>0</v>
      </c>
      <c r="F758" s="42">
        <f t="shared" ref="F758:F764" si="819">(E758-1)/30</f>
        <v>-3.3333333333333333E-2</v>
      </c>
      <c r="G758" s="42">
        <f t="shared" ref="G758:G764" si="820">($E758-7)/30</f>
        <v>-0.23333333333333334</v>
      </c>
      <c r="H758" s="42">
        <f t="shared" ref="H758:H764" si="821">($E758-11)/30</f>
        <v>-0.36666666666666664</v>
      </c>
      <c r="I758" s="42">
        <f t="shared" ref="I758:I764" si="822">($E758-13)/30</f>
        <v>-0.43333333333333335</v>
      </c>
      <c r="J758" s="42">
        <f t="shared" ref="J758:J764" si="823">($E758-17)/30</f>
        <v>-0.56666666666666665</v>
      </c>
      <c r="K758" s="42">
        <f t="shared" ref="K758:K764" si="824">($E758-19)/30</f>
        <v>-0.6333333333333333</v>
      </c>
      <c r="L758" s="42">
        <f t="shared" ref="L758:L764" si="825">($E758-23)/30</f>
        <v>-0.76666666666666672</v>
      </c>
      <c r="M758" s="42">
        <f t="shared" ref="M758:M764" si="826">($E758-29)/30</f>
        <v>-0.96666666666666667</v>
      </c>
      <c r="O758" s="43" t="str">
        <f t="shared" si="816"/>
        <v/>
      </c>
    </row>
    <row r="759" spans="1:15" x14ac:dyDescent="0.45">
      <c r="D759" s="27">
        <f t="shared" si="817"/>
        <v>0</v>
      </c>
      <c r="E759" s="28">
        <f t="shared" si="818"/>
        <v>0</v>
      </c>
      <c r="F759" s="42">
        <f t="shared" si="819"/>
        <v>-3.3333333333333333E-2</v>
      </c>
      <c r="G759" s="42">
        <f t="shared" si="820"/>
        <v>-0.23333333333333334</v>
      </c>
      <c r="H759" s="42">
        <f t="shared" si="821"/>
        <v>-0.36666666666666664</v>
      </c>
      <c r="I759" s="42">
        <f t="shared" si="822"/>
        <v>-0.43333333333333335</v>
      </c>
      <c r="J759" s="42">
        <f t="shared" si="823"/>
        <v>-0.56666666666666665</v>
      </c>
      <c r="K759" s="42">
        <f t="shared" si="824"/>
        <v>-0.6333333333333333</v>
      </c>
      <c r="L759" s="42">
        <f t="shared" si="825"/>
        <v>-0.76666666666666672</v>
      </c>
      <c r="M759" s="42">
        <f t="shared" si="826"/>
        <v>-0.96666666666666667</v>
      </c>
      <c r="O759" s="43" t="str">
        <f t="shared" si="816"/>
        <v/>
      </c>
    </row>
    <row r="760" spans="1:15" x14ac:dyDescent="0.45">
      <c r="D760" s="27">
        <f t="shared" si="817"/>
        <v>0</v>
      </c>
      <c r="E760" s="28">
        <f t="shared" si="818"/>
        <v>0</v>
      </c>
      <c r="F760" s="42">
        <f t="shared" si="819"/>
        <v>-3.3333333333333333E-2</v>
      </c>
      <c r="G760" s="42">
        <f t="shared" si="820"/>
        <v>-0.23333333333333334</v>
      </c>
      <c r="H760" s="42">
        <f t="shared" si="821"/>
        <v>-0.36666666666666664</v>
      </c>
      <c r="I760" s="42">
        <f t="shared" si="822"/>
        <v>-0.43333333333333335</v>
      </c>
      <c r="J760" s="42">
        <f t="shared" si="823"/>
        <v>-0.56666666666666665</v>
      </c>
      <c r="K760" s="42">
        <f t="shared" si="824"/>
        <v>-0.6333333333333333</v>
      </c>
      <c r="L760" s="42">
        <f t="shared" si="825"/>
        <v>-0.76666666666666672</v>
      </c>
      <c r="M760" s="42">
        <f t="shared" si="826"/>
        <v>-0.96666666666666667</v>
      </c>
      <c r="O760" s="43" t="str">
        <f t="shared" si="816"/>
        <v/>
      </c>
    </row>
    <row r="761" spans="1:15" x14ac:dyDescent="0.45">
      <c r="D761" s="27">
        <f t="shared" si="817"/>
        <v>0</v>
      </c>
      <c r="E761" s="28">
        <f t="shared" si="818"/>
        <v>0</v>
      </c>
      <c r="F761" s="42">
        <f t="shared" si="819"/>
        <v>-3.3333333333333333E-2</v>
      </c>
      <c r="G761" s="42">
        <f t="shared" si="820"/>
        <v>-0.23333333333333334</v>
      </c>
      <c r="H761" s="42">
        <f t="shared" si="821"/>
        <v>-0.36666666666666664</v>
      </c>
      <c r="I761" s="42">
        <f t="shared" si="822"/>
        <v>-0.43333333333333335</v>
      </c>
      <c r="J761" s="42">
        <f t="shared" si="823"/>
        <v>-0.56666666666666665</v>
      </c>
      <c r="K761" s="42">
        <f t="shared" si="824"/>
        <v>-0.6333333333333333</v>
      </c>
      <c r="L761" s="42">
        <f t="shared" si="825"/>
        <v>-0.76666666666666672</v>
      </c>
      <c r="M761" s="42">
        <f t="shared" si="826"/>
        <v>-0.96666666666666667</v>
      </c>
      <c r="O761" s="43" t="str">
        <f t="shared" si="816"/>
        <v/>
      </c>
    </row>
    <row r="762" spans="1:15" x14ac:dyDescent="0.45">
      <c r="D762" s="27">
        <f t="shared" si="817"/>
        <v>0</v>
      </c>
      <c r="E762" s="28">
        <f t="shared" si="818"/>
        <v>0</v>
      </c>
      <c r="F762" s="42">
        <f t="shared" si="819"/>
        <v>-3.3333333333333333E-2</v>
      </c>
      <c r="G762" s="42">
        <f t="shared" si="820"/>
        <v>-0.23333333333333334</v>
      </c>
      <c r="H762" s="42">
        <f t="shared" si="821"/>
        <v>-0.36666666666666664</v>
      </c>
      <c r="I762" s="42">
        <f t="shared" si="822"/>
        <v>-0.43333333333333335</v>
      </c>
      <c r="J762" s="42">
        <f t="shared" si="823"/>
        <v>-0.56666666666666665</v>
      </c>
      <c r="K762" s="42">
        <f t="shared" si="824"/>
        <v>-0.6333333333333333</v>
      </c>
      <c r="L762" s="42">
        <f t="shared" si="825"/>
        <v>-0.76666666666666672</v>
      </c>
      <c r="M762" s="42">
        <f t="shared" si="826"/>
        <v>-0.96666666666666667</v>
      </c>
      <c r="O762" s="43" t="str">
        <f t="shared" si="816"/>
        <v/>
      </c>
    </row>
    <row r="763" spans="1:15" x14ac:dyDescent="0.45">
      <c r="D763" s="27">
        <f t="shared" si="817"/>
        <v>0</v>
      </c>
      <c r="E763" s="28">
        <f t="shared" si="818"/>
        <v>0</v>
      </c>
      <c r="F763" s="42">
        <f t="shared" si="819"/>
        <v>-3.3333333333333333E-2</v>
      </c>
      <c r="G763" s="42">
        <f t="shared" si="820"/>
        <v>-0.23333333333333334</v>
      </c>
      <c r="H763" s="42">
        <f t="shared" si="821"/>
        <v>-0.36666666666666664</v>
      </c>
      <c r="I763" s="42">
        <f t="shared" si="822"/>
        <v>-0.43333333333333335</v>
      </c>
      <c r="J763" s="42">
        <f t="shared" si="823"/>
        <v>-0.56666666666666665</v>
      </c>
      <c r="K763" s="42">
        <f t="shared" si="824"/>
        <v>-0.6333333333333333</v>
      </c>
      <c r="L763" s="42">
        <f t="shared" si="825"/>
        <v>-0.76666666666666672</v>
      </c>
      <c r="M763" s="42">
        <f t="shared" si="826"/>
        <v>-0.96666666666666667</v>
      </c>
      <c r="O763" s="43" t="str">
        <f t="shared" si="816"/>
        <v/>
      </c>
    </row>
    <row r="764" spans="1:15" x14ac:dyDescent="0.45">
      <c r="D764" s="27">
        <f t="shared" si="817"/>
        <v>0</v>
      </c>
      <c r="E764" s="28">
        <f t="shared" si="818"/>
        <v>0</v>
      </c>
      <c r="F764" s="42">
        <f t="shared" si="819"/>
        <v>-3.3333333333333333E-2</v>
      </c>
      <c r="G764" s="42">
        <f t="shared" si="820"/>
        <v>-0.23333333333333334</v>
      </c>
      <c r="H764" s="42">
        <f t="shared" si="821"/>
        <v>-0.36666666666666664</v>
      </c>
      <c r="I764" s="42">
        <f t="shared" si="822"/>
        <v>-0.43333333333333335</v>
      </c>
      <c r="J764" s="42">
        <f t="shared" si="823"/>
        <v>-0.56666666666666665</v>
      </c>
      <c r="K764" s="42">
        <f t="shared" si="824"/>
        <v>-0.6333333333333333</v>
      </c>
      <c r="L764" s="42">
        <f t="shared" si="825"/>
        <v>-0.76666666666666672</v>
      </c>
      <c r="M764" s="42">
        <f t="shared" si="826"/>
        <v>-0.96666666666666667</v>
      </c>
      <c r="O764" s="43" t="str">
        <f t="shared" si="816"/>
        <v/>
      </c>
    </row>
    <row r="765" spans="1:15" ht="19.2" thickBot="1" x14ac:dyDescent="0.5">
      <c r="F765" s="42"/>
      <c r="G765" s="42"/>
      <c r="H765" s="42"/>
      <c r="I765" s="42"/>
      <c r="J765" s="42"/>
      <c r="K765" s="42"/>
      <c r="L765" s="42"/>
      <c r="M765" s="42"/>
    </row>
    <row r="766" spans="1:15" ht="19.2" thickBot="1" x14ac:dyDescent="0.5">
      <c r="C766" s="44"/>
      <c r="E766" s="34">
        <f>E747</f>
        <v>0</v>
      </c>
      <c r="F766" s="45">
        <v>1</v>
      </c>
      <c r="G766" s="46">
        <v>7</v>
      </c>
      <c r="H766" s="46">
        <v>11</v>
      </c>
      <c r="I766" s="46">
        <v>13</v>
      </c>
      <c r="J766" s="46">
        <v>17</v>
      </c>
      <c r="K766" s="46">
        <v>19</v>
      </c>
      <c r="L766" s="46">
        <v>23</v>
      </c>
      <c r="M766" s="47">
        <v>29</v>
      </c>
      <c r="O766" s="27" t="s">
        <v>2</v>
      </c>
    </row>
    <row r="767" spans="1:15" x14ac:dyDescent="0.45">
      <c r="A767" s="29">
        <f>A757+1</f>
        <v>76</v>
      </c>
      <c r="D767" s="27">
        <f>C757</f>
        <v>0</v>
      </c>
      <c r="E767" s="28">
        <f>D767*$E$6</f>
        <v>0</v>
      </c>
      <c r="F767" s="42">
        <f>(E767-1)/30</f>
        <v>-3.3333333333333333E-2</v>
      </c>
      <c r="G767" s="42">
        <f>($E767-7)/30</f>
        <v>-0.23333333333333334</v>
      </c>
      <c r="H767" s="42">
        <f>($E767-11)/30</f>
        <v>-0.36666666666666664</v>
      </c>
      <c r="I767" s="42">
        <f>($E767-13)/30</f>
        <v>-0.43333333333333335</v>
      </c>
      <c r="J767" s="42">
        <f>($E767-17)/30</f>
        <v>-0.56666666666666665</v>
      </c>
      <c r="K767" s="42">
        <f>($E767-19)/30</f>
        <v>-0.6333333333333333</v>
      </c>
      <c r="L767" s="42">
        <f>($E767-23)/30</f>
        <v>-0.76666666666666672</v>
      </c>
      <c r="M767" s="42">
        <f>($E767-29)/30</f>
        <v>-0.96666666666666667</v>
      </c>
      <c r="O767" s="43" t="str">
        <f t="shared" ref="O767:O774" si="827">FactorNumber(E767)</f>
        <v/>
      </c>
    </row>
    <row r="768" spans="1:15" x14ac:dyDescent="0.45">
      <c r="D768" s="27">
        <f t="shared" ref="D768:D774" si="828">C758</f>
        <v>0</v>
      </c>
      <c r="E768" s="28">
        <f t="shared" ref="E768:E774" si="829">D768*$E$6</f>
        <v>0</v>
      </c>
      <c r="F768" s="42">
        <f t="shared" ref="F768:F774" si="830">(E768-1)/30</f>
        <v>-3.3333333333333333E-2</v>
      </c>
      <c r="G768" s="42">
        <f t="shared" ref="G768:G774" si="831">($E768-7)/30</f>
        <v>-0.23333333333333334</v>
      </c>
      <c r="H768" s="42">
        <f t="shared" ref="H768:H774" si="832">($E768-11)/30</f>
        <v>-0.36666666666666664</v>
      </c>
      <c r="I768" s="42">
        <f t="shared" ref="I768:I774" si="833">($E768-13)/30</f>
        <v>-0.43333333333333335</v>
      </c>
      <c r="J768" s="42">
        <f t="shared" ref="J768:J774" si="834">($E768-17)/30</f>
        <v>-0.56666666666666665</v>
      </c>
      <c r="K768" s="42">
        <f t="shared" ref="K768:K774" si="835">($E768-19)/30</f>
        <v>-0.6333333333333333</v>
      </c>
      <c r="L768" s="42">
        <f t="shared" ref="L768:L774" si="836">($E768-23)/30</f>
        <v>-0.76666666666666672</v>
      </c>
      <c r="M768" s="42">
        <f t="shared" ref="M768:M774" si="837">($E768-29)/30</f>
        <v>-0.96666666666666667</v>
      </c>
      <c r="O768" s="43" t="str">
        <f t="shared" si="827"/>
        <v/>
      </c>
    </row>
    <row r="769" spans="1:15" x14ac:dyDescent="0.45">
      <c r="D769" s="27">
        <f t="shared" si="828"/>
        <v>0</v>
      </c>
      <c r="E769" s="28">
        <f t="shared" si="829"/>
        <v>0</v>
      </c>
      <c r="F769" s="42">
        <f t="shared" si="830"/>
        <v>-3.3333333333333333E-2</v>
      </c>
      <c r="G769" s="42">
        <f t="shared" si="831"/>
        <v>-0.23333333333333334</v>
      </c>
      <c r="H769" s="42">
        <f t="shared" si="832"/>
        <v>-0.36666666666666664</v>
      </c>
      <c r="I769" s="42">
        <f t="shared" si="833"/>
        <v>-0.43333333333333335</v>
      </c>
      <c r="J769" s="42">
        <f t="shared" si="834"/>
        <v>-0.56666666666666665</v>
      </c>
      <c r="K769" s="42">
        <f t="shared" si="835"/>
        <v>-0.6333333333333333</v>
      </c>
      <c r="L769" s="42">
        <f t="shared" si="836"/>
        <v>-0.76666666666666672</v>
      </c>
      <c r="M769" s="42">
        <f t="shared" si="837"/>
        <v>-0.96666666666666667</v>
      </c>
      <c r="O769" s="43" t="str">
        <f t="shared" si="827"/>
        <v/>
      </c>
    </row>
    <row r="770" spans="1:15" x14ac:dyDescent="0.45">
      <c r="D770" s="27">
        <f t="shared" si="828"/>
        <v>0</v>
      </c>
      <c r="E770" s="28">
        <f t="shared" si="829"/>
        <v>0</v>
      </c>
      <c r="F770" s="42">
        <f t="shared" si="830"/>
        <v>-3.3333333333333333E-2</v>
      </c>
      <c r="G770" s="42">
        <f t="shared" si="831"/>
        <v>-0.23333333333333334</v>
      </c>
      <c r="H770" s="42">
        <f t="shared" si="832"/>
        <v>-0.36666666666666664</v>
      </c>
      <c r="I770" s="42">
        <f t="shared" si="833"/>
        <v>-0.43333333333333335</v>
      </c>
      <c r="J770" s="42">
        <f t="shared" si="834"/>
        <v>-0.56666666666666665</v>
      </c>
      <c r="K770" s="42">
        <f t="shared" si="835"/>
        <v>-0.6333333333333333</v>
      </c>
      <c r="L770" s="42">
        <f t="shared" si="836"/>
        <v>-0.76666666666666672</v>
      </c>
      <c r="M770" s="42">
        <f t="shared" si="837"/>
        <v>-0.96666666666666667</v>
      </c>
      <c r="O770" s="43" t="str">
        <f t="shared" si="827"/>
        <v/>
      </c>
    </row>
    <row r="771" spans="1:15" x14ac:dyDescent="0.45">
      <c r="D771" s="27">
        <f t="shared" si="828"/>
        <v>0</v>
      </c>
      <c r="E771" s="28">
        <f t="shared" si="829"/>
        <v>0</v>
      </c>
      <c r="F771" s="42">
        <f t="shared" si="830"/>
        <v>-3.3333333333333333E-2</v>
      </c>
      <c r="G771" s="42">
        <f t="shared" si="831"/>
        <v>-0.23333333333333334</v>
      </c>
      <c r="H771" s="42">
        <f t="shared" si="832"/>
        <v>-0.36666666666666664</v>
      </c>
      <c r="I771" s="42">
        <f t="shared" si="833"/>
        <v>-0.43333333333333335</v>
      </c>
      <c r="J771" s="42">
        <f t="shared" si="834"/>
        <v>-0.56666666666666665</v>
      </c>
      <c r="K771" s="42">
        <f t="shared" si="835"/>
        <v>-0.6333333333333333</v>
      </c>
      <c r="L771" s="42">
        <f t="shared" si="836"/>
        <v>-0.76666666666666672</v>
      </c>
      <c r="M771" s="42">
        <f t="shared" si="837"/>
        <v>-0.96666666666666667</v>
      </c>
      <c r="O771" s="43" t="str">
        <f t="shared" si="827"/>
        <v/>
      </c>
    </row>
    <row r="772" spans="1:15" x14ac:dyDescent="0.45">
      <c r="D772" s="27">
        <f t="shared" si="828"/>
        <v>0</v>
      </c>
      <c r="E772" s="28">
        <f t="shared" si="829"/>
        <v>0</v>
      </c>
      <c r="F772" s="42">
        <f t="shared" si="830"/>
        <v>-3.3333333333333333E-2</v>
      </c>
      <c r="G772" s="42">
        <f t="shared" si="831"/>
        <v>-0.23333333333333334</v>
      </c>
      <c r="H772" s="42">
        <f t="shared" si="832"/>
        <v>-0.36666666666666664</v>
      </c>
      <c r="I772" s="42">
        <f t="shared" si="833"/>
        <v>-0.43333333333333335</v>
      </c>
      <c r="J772" s="42">
        <f t="shared" si="834"/>
        <v>-0.56666666666666665</v>
      </c>
      <c r="K772" s="42">
        <f t="shared" si="835"/>
        <v>-0.6333333333333333</v>
      </c>
      <c r="L772" s="42">
        <f t="shared" si="836"/>
        <v>-0.76666666666666672</v>
      </c>
      <c r="M772" s="42">
        <f t="shared" si="837"/>
        <v>-0.96666666666666667</v>
      </c>
      <c r="O772" s="43" t="str">
        <f t="shared" si="827"/>
        <v/>
      </c>
    </row>
    <row r="773" spans="1:15" x14ac:dyDescent="0.45">
      <c r="D773" s="27">
        <f t="shared" si="828"/>
        <v>0</v>
      </c>
      <c r="E773" s="28">
        <f t="shared" si="829"/>
        <v>0</v>
      </c>
      <c r="F773" s="42">
        <f t="shared" si="830"/>
        <v>-3.3333333333333333E-2</v>
      </c>
      <c r="G773" s="42">
        <f t="shared" si="831"/>
        <v>-0.23333333333333334</v>
      </c>
      <c r="H773" s="42">
        <f t="shared" si="832"/>
        <v>-0.36666666666666664</v>
      </c>
      <c r="I773" s="42">
        <f t="shared" si="833"/>
        <v>-0.43333333333333335</v>
      </c>
      <c r="J773" s="42">
        <f t="shared" si="834"/>
        <v>-0.56666666666666665</v>
      </c>
      <c r="K773" s="42">
        <f t="shared" si="835"/>
        <v>-0.6333333333333333</v>
      </c>
      <c r="L773" s="42">
        <f t="shared" si="836"/>
        <v>-0.76666666666666672</v>
      </c>
      <c r="M773" s="42">
        <f t="shared" si="837"/>
        <v>-0.96666666666666667</v>
      </c>
      <c r="O773" s="43" t="str">
        <f t="shared" si="827"/>
        <v/>
      </c>
    </row>
    <row r="774" spans="1:15" x14ac:dyDescent="0.45">
      <c r="D774" s="27">
        <f t="shared" si="828"/>
        <v>0</v>
      </c>
      <c r="E774" s="28">
        <f t="shared" si="829"/>
        <v>0</v>
      </c>
      <c r="F774" s="42">
        <f t="shared" si="830"/>
        <v>-3.3333333333333333E-2</v>
      </c>
      <c r="G774" s="42">
        <f t="shared" si="831"/>
        <v>-0.23333333333333334</v>
      </c>
      <c r="H774" s="42">
        <f t="shared" si="832"/>
        <v>-0.36666666666666664</v>
      </c>
      <c r="I774" s="42">
        <f t="shared" si="833"/>
        <v>-0.43333333333333335</v>
      </c>
      <c r="J774" s="42">
        <f t="shared" si="834"/>
        <v>-0.56666666666666665</v>
      </c>
      <c r="K774" s="42">
        <f t="shared" si="835"/>
        <v>-0.6333333333333333</v>
      </c>
      <c r="L774" s="42">
        <f t="shared" si="836"/>
        <v>-0.76666666666666672</v>
      </c>
      <c r="M774" s="42">
        <f t="shared" si="837"/>
        <v>-0.96666666666666667</v>
      </c>
      <c r="O774" s="43" t="str">
        <f t="shared" si="827"/>
        <v/>
      </c>
    </row>
    <row r="775" spans="1:15" ht="19.2" thickBot="1" x14ac:dyDescent="0.5">
      <c r="F775" s="42"/>
      <c r="G775" s="42"/>
      <c r="H775" s="42"/>
      <c r="I775" s="42"/>
      <c r="J775" s="42"/>
      <c r="K775" s="42"/>
      <c r="L775" s="42"/>
      <c r="M775" s="42"/>
    </row>
    <row r="776" spans="1:15" ht="19.2" thickBot="1" x14ac:dyDescent="0.5">
      <c r="C776" s="44"/>
      <c r="E776" s="34">
        <f>E757</f>
        <v>0</v>
      </c>
      <c r="F776" s="45">
        <v>1</v>
      </c>
      <c r="G776" s="46">
        <v>7</v>
      </c>
      <c r="H776" s="46">
        <v>11</v>
      </c>
      <c r="I776" s="46">
        <v>13</v>
      </c>
      <c r="J776" s="46">
        <v>17</v>
      </c>
      <c r="K776" s="46">
        <v>19</v>
      </c>
      <c r="L776" s="46">
        <v>23</v>
      </c>
      <c r="M776" s="47">
        <v>29</v>
      </c>
      <c r="O776" s="27" t="s">
        <v>2</v>
      </c>
    </row>
    <row r="777" spans="1:15" x14ac:dyDescent="0.45">
      <c r="A777" s="29">
        <f>A767+1</f>
        <v>77</v>
      </c>
      <c r="D777" s="27">
        <f>C767</f>
        <v>0</v>
      </c>
      <c r="E777" s="28">
        <f>D777*$E$6</f>
        <v>0</v>
      </c>
      <c r="F777" s="42">
        <f>(E777-1)/30</f>
        <v>-3.3333333333333333E-2</v>
      </c>
      <c r="G777" s="42">
        <f>($E777-7)/30</f>
        <v>-0.23333333333333334</v>
      </c>
      <c r="H777" s="42">
        <f>($E777-11)/30</f>
        <v>-0.36666666666666664</v>
      </c>
      <c r="I777" s="42">
        <f>($E777-13)/30</f>
        <v>-0.43333333333333335</v>
      </c>
      <c r="J777" s="42">
        <f>($E777-17)/30</f>
        <v>-0.56666666666666665</v>
      </c>
      <c r="K777" s="42">
        <f>($E777-19)/30</f>
        <v>-0.6333333333333333</v>
      </c>
      <c r="L777" s="42">
        <f>($E777-23)/30</f>
        <v>-0.76666666666666672</v>
      </c>
      <c r="M777" s="42">
        <f>($E777-29)/30</f>
        <v>-0.96666666666666667</v>
      </c>
      <c r="O777" s="43" t="str">
        <f t="shared" ref="O777:O784" si="838">FactorNumber(E777)</f>
        <v/>
      </c>
    </row>
    <row r="778" spans="1:15" x14ac:dyDescent="0.45">
      <c r="D778" s="27">
        <f t="shared" ref="D778:D784" si="839">C768</f>
        <v>0</v>
      </c>
      <c r="E778" s="28">
        <f t="shared" ref="E778:E784" si="840">D778*$E$6</f>
        <v>0</v>
      </c>
      <c r="F778" s="42">
        <f t="shared" ref="F778:F784" si="841">(E778-1)/30</f>
        <v>-3.3333333333333333E-2</v>
      </c>
      <c r="G778" s="42">
        <f t="shared" ref="G778:G784" si="842">($E778-7)/30</f>
        <v>-0.23333333333333334</v>
      </c>
      <c r="H778" s="42">
        <f t="shared" ref="H778:H784" si="843">($E778-11)/30</f>
        <v>-0.36666666666666664</v>
      </c>
      <c r="I778" s="42">
        <f t="shared" ref="I778:I784" si="844">($E778-13)/30</f>
        <v>-0.43333333333333335</v>
      </c>
      <c r="J778" s="42">
        <f t="shared" ref="J778:J784" si="845">($E778-17)/30</f>
        <v>-0.56666666666666665</v>
      </c>
      <c r="K778" s="42">
        <f t="shared" ref="K778:K784" si="846">($E778-19)/30</f>
        <v>-0.6333333333333333</v>
      </c>
      <c r="L778" s="42">
        <f t="shared" ref="L778:L784" si="847">($E778-23)/30</f>
        <v>-0.76666666666666672</v>
      </c>
      <c r="M778" s="42">
        <f t="shared" ref="M778:M784" si="848">($E778-29)/30</f>
        <v>-0.96666666666666667</v>
      </c>
      <c r="O778" s="43" t="str">
        <f t="shared" si="838"/>
        <v/>
      </c>
    </row>
    <row r="779" spans="1:15" x14ac:dyDescent="0.45">
      <c r="D779" s="27">
        <f t="shared" si="839"/>
        <v>0</v>
      </c>
      <c r="E779" s="28">
        <f t="shared" si="840"/>
        <v>0</v>
      </c>
      <c r="F779" s="42">
        <f t="shared" si="841"/>
        <v>-3.3333333333333333E-2</v>
      </c>
      <c r="G779" s="42">
        <f t="shared" si="842"/>
        <v>-0.23333333333333334</v>
      </c>
      <c r="H779" s="42">
        <f t="shared" si="843"/>
        <v>-0.36666666666666664</v>
      </c>
      <c r="I779" s="42">
        <f t="shared" si="844"/>
        <v>-0.43333333333333335</v>
      </c>
      <c r="J779" s="42">
        <f t="shared" si="845"/>
        <v>-0.56666666666666665</v>
      </c>
      <c r="K779" s="42">
        <f t="shared" si="846"/>
        <v>-0.6333333333333333</v>
      </c>
      <c r="L779" s="42">
        <f t="shared" si="847"/>
        <v>-0.76666666666666672</v>
      </c>
      <c r="M779" s="42">
        <f t="shared" si="848"/>
        <v>-0.96666666666666667</v>
      </c>
      <c r="O779" s="43" t="str">
        <f t="shared" si="838"/>
        <v/>
      </c>
    </row>
    <row r="780" spans="1:15" x14ac:dyDescent="0.45">
      <c r="D780" s="27">
        <f t="shared" si="839"/>
        <v>0</v>
      </c>
      <c r="E780" s="28">
        <f t="shared" si="840"/>
        <v>0</v>
      </c>
      <c r="F780" s="42">
        <f t="shared" si="841"/>
        <v>-3.3333333333333333E-2</v>
      </c>
      <c r="G780" s="42">
        <f t="shared" si="842"/>
        <v>-0.23333333333333334</v>
      </c>
      <c r="H780" s="42">
        <f t="shared" si="843"/>
        <v>-0.36666666666666664</v>
      </c>
      <c r="I780" s="42">
        <f t="shared" si="844"/>
        <v>-0.43333333333333335</v>
      </c>
      <c r="J780" s="42">
        <f t="shared" si="845"/>
        <v>-0.56666666666666665</v>
      </c>
      <c r="K780" s="42">
        <f t="shared" si="846"/>
        <v>-0.6333333333333333</v>
      </c>
      <c r="L780" s="42">
        <f t="shared" si="847"/>
        <v>-0.76666666666666672</v>
      </c>
      <c r="M780" s="42">
        <f t="shared" si="848"/>
        <v>-0.96666666666666667</v>
      </c>
      <c r="O780" s="43" t="str">
        <f t="shared" si="838"/>
        <v/>
      </c>
    </row>
    <row r="781" spans="1:15" x14ac:dyDescent="0.45">
      <c r="D781" s="27">
        <f t="shared" si="839"/>
        <v>0</v>
      </c>
      <c r="E781" s="28">
        <f t="shared" si="840"/>
        <v>0</v>
      </c>
      <c r="F781" s="42">
        <f t="shared" si="841"/>
        <v>-3.3333333333333333E-2</v>
      </c>
      <c r="G781" s="42">
        <f t="shared" si="842"/>
        <v>-0.23333333333333334</v>
      </c>
      <c r="H781" s="42">
        <f t="shared" si="843"/>
        <v>-0.36666666666666664</v>
      </c>
      <c r="I781" s="42">
        <f t="shared" si="844"/>
        <v>-0.43333333333333335</v>
      </c>
      <c r="J781" s="42">
        <f t="shared" si="845"/>
        <v>-0.56666666666666665</v>
      </c>
      <c r="K781" s="42">
        <f t="shared" si="846"/>
        <v>-0.6333333333333333</v>
      </c>
      <c r="L781" s="42">
        <f t="shared" si="847"/>
        <v>-0.76666666666666672</v>
      </c>
      <c r="M781" s="42">
        <f t="shared" si="848"/>
        <v>-0.96666666666666667</v>
      </c>
      <c r="O781" s="43" t="str">
        <f t="shared" si="838"/>
        <v/>
      </c>
    </row>
    <row r="782" spans="1:15" x14ac:dyDescent="0.45">
      <c r="D782" s="27">
        <f t="shared" si="839"/>
        <v>0</v>
      </c>
      <c r="E782" s="28">
        <f t="shared" si="840"/>
        <v>0</v>
      </c>
      <c r="F782" s="42">
        <f t="shared" si="841"/>
        <v>-3.3333333333333333E-2</v>
      </c>
      <c r="G782" s="42">
        <f t="shared" si="842"/>
        <v>-0.23333333333333334</v>
      </c>
      <c r="H782" s="42">
        <f t="shared" si="843"/>
        <v>-0.36666666666666664</v>
      </c>
      <c r="I782" s="42">
        <f t="shared" si="844"/>
        <v>-0.43333333333333335</v>
      </c>
      <c r="J782" s="42">
        <f t="shared" si="845"/>
        <v>-0.56666666666666665</v>
      </c>
      <c r="K782" s="42">
        <f t="shared" si="846"/>
        <v>-0.6333333333333333</v>
      </c>
      <c r="L782" s="42">
        <f t="shared" si="847"/>
        <v>-0.76666666666666672</v>
      </c>
      <c r="M782" s="42">
        <f t="shared" si="848"/>
        <v>-0.96666666666666667</v>
      </c>
      <c r="O782" s="43" t="str">
        <f t="shared" si="838"/>
        <v/>
      </c>
    </row>
    <row r="783" spans="1:15" x14ac:dyDescent="0.45">
      <c r="D783" s="27">
        <f t="shared" si="839"/>
        <v>0</v>
      </c>
      <c r="E783" s="28">
        <f t="shared" si="840"/>
        <v>0</v>
      </c>
      <c r="F783" s="42">
        <f t="shared" si="841"/>
        <v>-3.3333333333333333E-2</v>
      </c>
      <c r="G783" s="42">
        <f t="shared" si="842"/>
        <v>-0.23333333333333334</v>
      </c>
      <c r="H783" s="42">
        <f t="shared" si="843"/>
        <v>-0.36666666666666664</v>
      </c>
      <c r="I783" s="42">
        <f t="shared" si="844"/>
        <v>-0.43333333333333335</v>
      </c>
      <c r="J783" s="42">
        <f t="shared" si="845"/>
        <v>-0.56666666666666665</v>
      </c>
      <c r="K783" s="42">
        <f t="shared" si="846"/>
        <v>-0.6333333333333333</v>
      </c>
      <c r="L783" s="42">
        <f t="shared" si="847"/>
        <v>-0.76666666666666672</v>
      </c>
      <c r="M783" s="42">
        <f t="shared" si="848"/>
        <v>-0.96666666666666667</v>
      </c>
      <c r="O783" s="43" t="str">
        <f t="shared" si="838"/>
        <v/>
      </c>
    </row>
    <row r="784" spans="1:15" x14ac:dyDescent="0.45">
      <c r="D784" s="27">
        <f t="shared" si="839"/>
        <v>0</v>
      </c>
      <c r="E784" s="28">
        <f t="shared" si="840"/>
        <v>0</v>
      </c>
      <c r="F784" s="42">
        <f t="shared" si="841"/>
        <v>-3.3333333333333333E-2</v>
      </c>
      <c r="G784" s="42">
        <f t="shared" si="842"/>
        <v>-0.23333333333333334</v>
      </c>
      <c r="H784" s="42">
        <f t="shared" si="843"/>
        <v>-0.36666666666666664</v>
      </c>
      <c r="I784" s="42">
        <f t="shared" si="844"/>
        <v>-0.43333333333333335</v>
      </c>
      <c r="J784" s="42">
        <f t="shared" si="845"/>
        <v>-0.56666666666666665</v>
      </c>
      <c r="K784" s="42">
        <f t="shared" si="846"/>
        <v>-0.6333333333333333</v>
      </c>
      <c r="L784" s="42">
        <f t="shared" si="847"/>
        <v>-0.76666666666666672</v>
      </c>
      <c r="M784" s="42">
        <f t="shared" si="848"/>
        <v>-0.96666666666666667</v>
      </c>
      <c r="O784" s="43" t="str">
        <f t="shared" si="838"/>
        <v/>
      </c>
    </row>
    <row r="785" spans="1:15" ht="19.2" thickBot="1" x14ac:dyDescent="0.5">
      <c r="F785" s="42"/>
      <c r="G785" s="42"/>
      <c r="H785" s="42"/>
      <c r="I785" s="42"/>
      <c r="J785" s="42"/>
      <c r="K785" s="42"/>
      <c r="L785" s="42"/>
      <c r="M785" s="42"/>
    </row>
    <row r="786" spans="1:15" ht="19.2" thickBot="1" x14ac:dyDescent="0.5">
      <c r="C786" s="44"/>
      <c r="E786" s="34">
        <f>E767</f>
        <v>0</v>
      </c>
      <c r="F786" s="45">
        <v>1</v>
      </c>
      <c r="G786" s="46">
        <v>7</v>
      </c>
      <c r="H786" s="46">
        <v>11</v>
      </c>
      <c r="I786" s="46">
        <v>13</v>
      </c>
      <c r="J786" s="46">
        <v>17</v>
      </c>
      <c r="K786" s="46">
        <v>19</v>
      </c>
      <c r="L786" s="46">
        <v>23</v>
      </c>
      <c r="M786" s="47">
        <v>29</v>
      </c>
      <c r="O786" s="27" t="s">
        <v>2</v>
      </c>
    </row>
    <row r="787" spans="1:15" x14ac:dyDescent="0.45">
      <c r="A787" s="29">
        <f>A777+1</f>
        <v>78</v>
      </c>
      <c r="D787" s="27">
        <f>C777</f>
        <v>0</v>
      </c>
      <c r="E787" s="28">
        <f>D787*$E$6</f>
        <v>0</v>
      </c>
      <c r="F787" s="42">
        <f>(E787-1)/30</f>
        <v>-3.3333333333333333E-2</v>
      </c>
      <c r="G787" s="42">
        <f>($E787-7)/30</f>
        <v>-0.23333333333333334</v>
      </c>
      <c r="H787" s="42">
        <f>($E787-11)/30</f>
        <v>-0.36666666666666664</v>
      </c>
      <c r="I787" s="42">
        <f>($E787-13)/30</f>
        <v>-0.43333333333333335</v>
      </c>
      <c r="J787" s="42">
        <f>($E787-17)/30</f>
        <v>-0.56666666666666665</v>
      </c>
      <c r="K787" s="42">
        <f>($E787-19)/30</f>
        <v>-0.6333333333333333</v>
      </c>
      <c r="L787" s="42">
        <f>($E787-23)/30</f>
        <v>-0.76666666666666672</v>
      </c>
      <c r="M787" s="42">
        <f>($E787-29)/30</f>
        <v>-0.96666666666666667</v>
      </c>
      <c r="O787" s="43" t="str">
        <f t="shared" ref="O787:O794" si="849">FactorNumber(E787)</f>
        <v/>
      </c>
    </row>
    <row r="788" spans="1:15" x14ac:dyDescent="0.45">
      <c r="D788" s="27">
        <f t="shared" ref="D788:D794" si="850">C778</f>
        <v>0</v>
      </c>
      <c r="E788" s="28">
        <f t="shared" ref="E788:E794" si="851">D788*$E$6</f>
        <v>0</v>
      </c>
      <c r="F788" s="42">
        <f t="shared" ref="F788:F794" si="852">(E788-1)/30</f>
        <v>-3.3333333333333333E-2</v>
      </c>
      <c r="G788" s="42">
        <f t="shared" ref="G788:G794" si="853">($E788-7)/30</f>
        <v>-0.23333333333333334</v>
      </c>
      <c r="H788" s="42">
        <f t="shared" ref="H788:H794" si="854">($E788-11)/30</f>
        <v>-0.36666666666666664</v>
      </c>
      <c r="I788" s="42">
        <f t="shared" ref="I788:I794" si="855">($E788-13)/30</f>
        <v>-0.43333333333333335</v>
      </c>
      <c r="J788" s="42">
        <f t="shared" ref="J788:J794" si="856">($E788-17)/30</f>
        <v>-0.56666666666666665</v>
      </c>
      <c r="K788" s="42">
        <f t="shared" ref="K788:K794" si="857">($E788-19)/30</f>
        <v>-0.6333333333333333</v>
      </c>
      <c r="L788" s="42">
        <f t="shared" ref="L788:L794" si="858">($E788-23)/30</f>
        <v>-0.76666666666666672</v>
      </c>
      <c r="M788" s="42">
        <f t="shared" ref="M788:M794" si="859">($E788-29)/30</f>
        <v>-0.96666666666666667</v>
      </c>
      <c r="O788" s="43" t="str">
        <f t="shared" si="849"/>
        <v/>
      </c>
    </row>
    <row r="789" spans="1:15" x14ac:dyDescent="0.45">
      <c r="D789" s="27">
        <f t="shared" si="850"/>
        <v>0</v>
      </c>
      <c r="E789" s="28">
        <f t="shared" si="851"/>
        <v>0</v>
      </c>
      <c r="F789" s="42">
        <f t="shared" si="852"/>
        <v>-3.3333333333333333E-2</v>
      </c>
      <c r="G789" s="42">
        <f t="shared" si="853"/>
        <v>-0.23333333333333334</v>
      </c>
      <c r="H789" s="42">
        <f t="shared" si="854"/>
        <v>-0.36666666666666664</v>
      </c>
      <c r="I789" s="42">
        <f t="shared" si="855"/>
        <v>-0.43333333333333335</v>
      </c>
      <c r="J789" s="42">
        <f t="shared" si="856"/>
        <v>-0.56666666666666665</v>
      </c>
      <c r="K789" s="42">
        <f t="shared" si="857"/>
        <v>-0.6333333333333333</v>
      </c>
      <c r="L789" s="42">
        <f t="shared" si="858"/>
        <v>-0.76666666666666672</v>
      </c>
      <c r="M789" s="42">
        <f t="shared" si="859"/>
        <v>-0.96666666666666667</v>
      </c>
      <c r="O789" s="43" t="str">
        <f t="shared" si="849"/>
        <v/>
      </c>
    </row>
    <row r="790" spans="1:15" x14ac:dyDescent="0.45">
      <c r="D790" s="27">
        <f t="shared" si="850"/>
        <v>0</v>
      </c>
      <c r="E790" s="28">
        <f t="shared" si="851"/>
        <v>0</v>
      </c>
      <c r="F790" s="42">
        <f t="shared" si="852"/>
        <v>-3.3333333333333333E-2</v>
      </c>
      <c r="G790" s="42">
        <f t="shared" si="853"/>
        <v>-0.23333333333333334</v>
      </c>
      <c r="H790" s="42">
        <f t="shared" si="854"/>
        <v>-0.36666666666666664</v>
      </c>
      <c r="I790" s="42">
        <f t="shared" si="855"/>
        <v>-0.43333333333333335</v>
      </c>
      <c r="J790" s="42">
        <f t="shared" si="856"/>
        <v>-0.56666666666666665</v>
      </c>
      <c r="K790" s="42">
        <f t="shared" si="857"/>
        <v>-0.6333333333333333</v>
      </c>
      <c r="L790" s="42">
        <f t="shared" si="858"/>
        <v>-0.76666666666666672</v>
      </c>
      <c r="M790" s="42">
        <f t="shared" si="859"/>
        <v>-0.96666666666666667</v>
      </c>
      <c r="O790" s="43" t="str">
        <f t="shared" si="849"/>
        <v/>
      </c>
    </row>
    <row r="791" spans="1:15" x14ac:dyDescent="0.45">
      <c r="D791" s="27">
        <f t="shared" si="850"/>
        <v>0</v>
      </c>
      <c r="E791" s="28">
        <f t="shared" si="851"/>
        <v>0</v>
      </c>
      <c r="F791" s="42">
        <f t="shared" si="852"/>
        <v>-3.3333333333333333E-2</v>
      </c>
      <c r="G791" s="42">
        <f t="shared" si="853"/>
        <v>-0.23333333333333334</v>
      </c>
      <c r="H791" s="42">
        <f t="shared" si="854"/>
        <v>-0.36666666666666664</v>
      </c>
      <c r="I791" s="42">
        <f t="shared" si="855"/>
        <v>-0.43333333333333335</v>
      </c>
      <c r="J791" s="42">
        <f t="shared" si="856"/>
        <v>-0.56666666666666665</v>
      </c>
      <c r="K791" s="42">
        <f t="shared" si="857"/>
        <v>-0.6333333333333333</v>
      </c>
      <c r="L791" s="42">
        <f t="shared" si="858"/>
        <v>-0.76666666666666672</v>
      </c>
      <c r="M791" s="42">
        <f t="shared" si="859"/>
        <v>-0.96666666666666667</v>
      </c>
      <c r="O791" s="43" t="str">
        <f t="shared" si="849"/>
        <v/>
      </c>
    </row>
    <row r="792" spans="1:15" x14ac:dyDescent="0.45">
      <c r="D792" s="27">
        <f t="shared" si="850"/>
        <v>0</v>
      </c>
      <c r="E792" s="28">
        <f t="shared" si="851"/>
        <v>0</v>
      </c>
      <c r="F792" s="42">
        <f t="shared" si="852"/>
        <v>-3.3333333333333333E-2</v>
      </c>
      <c r="G792" s="42">
        <f t="shared" si="853"/>
        <v>-0.23333333333333334</v>
      </c>
      <c r="H792" s="42">
        <f t="shared" si="854"/>
        <v>-0.36666666666666664</v>
      </c>
      <c r="I792" s="42">
        <f t="shared" si="855"/>
        <v>-0.43333333333333335</v>
      </c>
      <c r="J792" s="42">
        <f t="shared" si="856"/>
        <v>-0.56666666666666665</v>
      </c>
      <c r="K792" s="42">
        <f t="shared" si="857"/>
        <v>-0.6333333333333333</v>
      </c>
      <c r="L792" s="42">
        <f t="shared" si="858"/>
        <v>-0.76666666666666672</v>
      </c>
      <c r="M792" s="42">
        <f t="shared" si="859"/>
        <v>-0.96666666666666667</v>
      </c>
      <c r="O792" s="43" t="str">
        <f t="shared" si="849"/>
        <v/>
      </c>
    </row>
    <row r="793" spans="1:15" x14ac:dyDescent="0.45">
      <c r="D793" s="27">
        <f t="shared" si="850"/>
        <v>0</v>
      </c>
      <c r="E793" s="28">
        <f t="shared" si="851"/>
        <v>0</v>
      </c>
      <c r="F793" s="42">
        <f t="shared" si="852"/>
        <v>-3.3333333333333333E-2</v>
      </c>
      <c r="G793" s="42">
        <f t="shared" si="853"/>
        <v>-0.23333333333333334</v>
      </c>
      <c r="H793" s="42">
        <f t="shared" si="854"/>
        <v>-0.36666666666666664</v>
      </c>
      <c r="I793" s="42">
        <f t="shared" si="855"/>
        <v>-0.43333333333333335</v>
      </c>
      <c r="J793" s="42">
        <f t="shared" si="856"/>
        <v>-0.56666666666666665</v>
      </c>
      <c r="K793" s="42">
        <f t="shared" si="857"/>
        <v>-0.6333333333333333</v>
      </c>
      <c r="L793" s="42">
        <f t="shared" si="858"/>
        <v>-0.76666666666666672</v>
      </c>
      <c r="M793" s="42">
        <f t="shared" si="859"/>
        <v>-0.96666666666666667</v>
      </c>
      <c r="O793" s="43" t="str">
        <f t="shared" si="849"/>
        <v/>
      </c>
    </row>
    <row r="794" spans="1:15" x14ac:dyDescent="0.45">
      <c r="D794" s="27">
        <f t="shared" si="850"/>
        <v>0</v>
      </c>
      <c r="E794" s="28">
        <f t="shared" si="851"/>
        <v>0</v>
      </c>
      <c r="F794" s="42">
        <f t="shared" si="852"/>
        <v>-3.3333333333333333E-2</v>
      </c>
      <c r="G794" s="42">
        <f t="shared" si="853"/>
        <v>-0.23333333333333334</v>
      </c>
      <c r="H794" s="42">
        <f t="shared" si="854"/>
        <v>-0.36666666666666664</v>
      </c>
      <c r="I794" s="42">
        <f t="shared" si="855"/>
        <v>-0.43333333333333335</v>
      </c>
      <c r="J794" s="42">
        <f t="shared" si="856"/>
        <v>-0.56666666666666665</v>
      </c>
      <c r="K794" s="42">
        <f t="shared" si="857"/>
        <v>-0.6333333333333333</v>
      </c>
      <c r="L794" s="42">
        <f t="shared" si="858"/>
        <v>-0.76666666666666672</v>
      </c>
      <c r="M794" s="42">
        <f t="shared" si="859"/>
        <v>-0.96666666666666667</v>
      </c>
      <c r="O794" s="43" t="str">
        <f t="shared" si="849"/>
        <v/>
      </c>
    </row>
    <row r="795" spans="1:15" ht="19.2" thickBot="1" x14ac:dyDescent="0.5">
      <c r="F795" s="42"/>
      <c r="G795" s="42"/>
      <c r="H795" s="42"/>
      <c r="I795" s="42"/>
      <c r="J795" s="42"/>
      <c r="K795" s="42"/>
      <c r="L795" s="42"/>
      <c r="M795" s="42"/>
    </row>
    <row r="796" spans="1:15" ht="19.2" thickBot="1" x14ac:dyDescent="0.5">
      <c r="C796" s="44"/>
      <c r="E796" s="34">
        <f>E777</f>
        <v>0</v>
      </c>
      <c r="F796" s="45">
        <v>1</v>
      </c>
      <c r="G796" s="46">
        <v>7</v>
      </c>
      <c r="H796" s="46">
        <v>11</v>
      </c>
      <c r="I796" s="46">
        <v>13</v>
      </c>
      <c r="J796" s="46">
        <v>17</v>
      </c>
      <c r="K796" s="46">
        <v>19</v>
      </c>
      <c r="L796" s="46">
        <v>23</v>
      </c>
      <c r="M796" s="47">
        <v>29</v>
      </c>
      <c r="O796" s="27" t="s">
        <v>2</v>
      </c>
    </row>
    <row r="797" spans="1:15" x14ac:dyDescent="0.45">
      <c r="A797" s="29">
        <f>A787+1</f>
        <v>79</v>
      </c>
      <c r="D797" s="27">
        <f>C787</f>
        <v>0</v>
      </c>
      <c r="E797" s="28">
        <f>D797*$E$6</f>
        <v>0</v>
      </c>
      <c r="F797" s="42">
        <f>(E797-1)/30</f>
        <v>-3.3333333333333333E-2</v>
      </c>
      <c r="G797" s="42">
        <f>($E797-7)/30</f>
        <v>-0.23333333333333334</v>
      </c>
      <c r="H797" s="42">
        <f>($E797-11)/30</f>
        <v>-0.36666666666666664</v>
      </c>
      <c r="I797" s="42">
        <f>($E797-13)/30</f>
        <v>-0.43333333333333335</v>
      </c>
      <c r="J797" s="42">
        <f>($E797-17)/30</f>
        <v>-0.56666666666666665</v>
      </c>
      <c r="K797" s="42">
        <f>($E797-19)/30</f>
        <v>-0.6333333333333333</v>
      </c>
      <c r="L797" s="42">
        <f>($E797-23)/30</f>
        <v>-0.76666666666666672</v>
      </c>
      <c r="M797" s="42">
        <f>($E797-29)/30</f>
        <v>-0.96666666666666667</v>
      </c>
      <c r="O797" s="43" t="str">
        <f t="shared" ref="O797:O804" si="860">FactorNumber(E797)</f>
        <v/>
      </c>
    </row>
    <row r="798" spans="1:15" x14ac:dyDescent="0.45">
      <c r="D798" s="27">
        <f t="shared" ref="D798:D804" si="861">C788</f>
        <v>0</v>
      </c>
      <c r="E798" s="28">
        <f t="shared" ref="E798:E804" si="862">D798*$E$6</f>
        <v>0</v>
      </c>
      <c r="F798" s="42">
        <f t="shared" ref="F798:F804" si="863">(E798-1)/30</f>
        <v>-3.3333333333333333E-2</v>
      </c>
      <c r="G798" s="42">
        <f t="shared" ref="G798:G804" si="864">($E798-7)/30</f>
        <v>-0.23333333333333334</v>
      </c>
      <c r="H798" s="42">
        <f t="shared" ref="H798:H804" si="865">($E798-11)/30</f>
        <v>-0.36666666666666664</v>
      </c>
      <c r="I798" s="42">
        <f t="shared" ref="I798:I804" si="866">($E798-13)/30</f>
        <v>-0.43333333333333335</v>
      </c>
      <c r="J798" s="42">
        <f t="shared" ref="J798:J804" si="867">($E798-17)/30</f>
        <v>-0.56666666666666665</v>
      </c>
      <c r="K798" s="42">
        <f t="shared" ref="K798:K804" si="868">($E798-19)/30</f>
        <v>-0.6333333333333333</v>
      </c>
      <c r="L798" s="42">
        <f t="shared" ref="L798:L804" si="869">($E798-23)/30</f>
        <v>-0.76666666666666672</v>
      </c>
      <c r="M798" s="42">
        <f t="shared" ref="M798:M804" si="870">($E798-29)/30</f>
        <v>-0.96666666666666667</v>
      </c>
      <c r="O798" s="43" t="str">
        <f t="shared" si="860"/>
        <v/>
      </c>
    </row>
    <row r="799" spans="1:15" x14ac:dyDescent="0.45">
      <c r="D799" s="27">
        <f t="shared" si="861"/>
        <v>0</v>
      </c>
      <c r="E799" s="28">
        <f t="shared" si="862"/>
        <v>0</v>
      </c>
      <c r="F799" s="42">
        <f t="shared" si="863"/>
        <v>-3.3333333333333333E-2</v>
      </c>
      <c r="G799" s="42">
        <f t="shared" si="864"/>
        <v>-0.23333333333333334</v>
      </c>
      <c r="H799" s="42">
        <f t="shared" si="865"/>
        <v>-0.36666666666666664</v>
      </c>
      <c r="I799" s="42">
        <f t="shared" si="866"/>
        <v>-0.43333333333333335</v>
      </c>
      <c r="J799" s="42">
        <f t="shared" si="867"/>
        <v>-0.56666666666666665</v>
      </c>
      <c r="K799" s="42">
        <f t="shared" si="868"/>
        <v>-0.6333333333333333</v>
      </c>
      <c r="L799" s="42">
        <f t="shared" si="869"/>
        <v>-0.76666666666666672</v>
      </c>
      <c r="M799" s="42">
        <f t="shared" si="870"/>
        <v>-0.96666666666666667</v>
      </c>
      <c r="O799" s="43" t="str">
        <f t="shared" si="860"/>
        <v/>
      </c>
    </row>
    <row r="800" spans="1:15" x14ac:dyDescent="0.45">
      <c r="D800" s="27">
        <f t="shared" si="861"/>
        <v>0</v>
      </c>
      <c r="E800" s="28">
        <f t="shared" si="862"/>
        <v>0</v>
      </c>
      <c r="F800" s="42">
        <f t="shared" si="863"/>
        <v>-3.3333333333333333E-2</v>
      </c>
      <c r="G800" s="42">
        <f t="shared" si="864"/>
        <v>-0.23333333333333334</v>
      </c>
      <c r="H800" s="42">
        <f t="shared" si="865"/>
        <v>-0.36666666666666664</v>
      </c>
      <c r="I800" s="42">
        <f t="shared" si="866"/>
        <v>-0.43333333333333335</v>
      </c>
      <c r="J800" s="42">
        <f t="shared" si="867"/>
        <v>-0.56666666666666665</v>
      </c>
      <c r="K800" s="42">
        <f t="shared" si="868"/>
        <v>-0.6333333333333333</v>
      </c>
      <c r="L800" s="42">
        <f t="shared" si="869"/>
        <v>-0.76666666666666672</v>
      </c>
      <c r="M800" s="42">
        <f t="shared" si="870"/>
        <v>-0.96666666666666667</v>
      </c>
      <c r="O800" s="43" t="str">
        <f t="shared" si="860"/>
        <v/>
      </c>
    </row>
    <row r="801" spans="1:15" x14ac:dyDescent="0.45">
      <c r="D801" s="27">
        <f t="shared" si="861"/>
        <v>0</v>
      </c>
      <c r="E801" s="28">
        <f t="shared" si="862"/>
        <v>0</v>
      </c>
      <c r="F801" s="42">
        <f t="shared" si="863"/>
        <v>-3.3333333333333333E-2</v>
      </c>
      <c r="G801" s="42">
        <f t="shared" si="864"/>
        <v>-0.23333333333333334</v>
      </c>
      <c r="H801" s="42">
        <f t="shared" si="865"/>
        <v>-0.36666666666666664</v>
      </c>
      <c r="I801" s="42">
        <f t="shared" si="866"/>
        <v>-0.43333333333333335</v>
      </c>
      <c r="J801" s="42">
        <f t="shared" si="867"/>
        <v>-0.56666666666666665</v>
      </c>
      <c r="K801" s="42">
        <f t="shared" si="868"/>
        <v>-0.6333333333333333</v>
      </c>
      <c r="L801" s="42">
        <f t="shared" si="869"/>
        <v>-0.76666666666666672</v>
      </c>
      <c r="M801" s="42">
        <f t="shared" si="870"/>
        <v>-0.96666666666666667</v>
      </c>
      <c r="O801" s="43" t="str">
        <f t="shared" si="860"/>
        <v/>
      </c>
    </row>
    <row r="802" spans="1:15" x14ac:dyDescent="0.45">
      <c r="D802" s="27">
        <f t="shared" si="861"/>
        <v>0</v>
      </c>
      <c r="E802" s="28">
        <f t="shared" si="862"/>
        <v>0</v>
      </c>
      <c r="F802" s="42">
        <f t="shared" si="863"/>
        <v>-3.3333333333333333E-2</v>
      </c>
      <c r="G802" s="42">
        <f t="shared" si="864"/>
        <v>-0.23333333333333334</v>
      </c>
      <c r="H802" s="42">
        <f t="shared" si="865"/>
        <v>-0.36666666666666664</v>
      </c>
      <c r="I802" s="42">
        <f t="shared" si="866"/>
        <v>-0.43333333333333335</v>
      </c>
      <c r="J802" s="42">
        <f t="shared" si="867"/>
        <v>-0.56666666666666665</v>
      </c>
      <c r="K802" s="42">
        <f t="shared" si="868"/>
        <v>-0.6333333333333333</v>
      </c>
      <c r="L802" s="42">
        <f t="shared" si="869"/>
        <v>-0.76666666666666672</v>
      </c>
      <c r="M802" s="42">
        <f t="shared" si="870"/>
        <v>-0.96666666666666667</v>
      </c>
      <c r="O802" s="43" t="str">
        <f t="shared" si="860"/>
        <v/>
      </c>
    </row>
    <row r="803" spans="1:15" x14ac:dyDescent="0.45">
      <c r="D803" s="27">
        <f t="shared" si="861"/>
        <v>0</v>
      </c>
      <c r="E803" s="28">
        <f t="shared" si="862"/>
        <v>0</v>
      </c>
      <c r="F803" s="42">
        <f t="shared" si="863"/>
        <v>-3.3333333333333333E-2</v>
      </c>
      <c r="G803" s="42">
        <f t="shared" si="864"/>
        <v>-0.23333333333333334</v>
      </c>
      <c r="H803" s="42">
        <f t="shared" si="865"/>
        <v>-0.36666666666666664</v>
      </c>
      <c r="I803" s="42">
        <f t="shared" si="866"/>
        <v>-0.43333333333333335</v>
      </c>
      <c r="J803" s="42">
        <f t="shared" si="867"/>
        <v>-0.56666666666666665</v>
      </c>
      <c r="K803" s="42">
        <f t="shared" si="868"/>
        <v>-0.6333333333333333</v>
      </c>
      <c r="L803" s="42">
        <f t="shared" si="869"/>
        <v>-0.76666666666666672</v>
      </c>
      <c r="M803" s="42">
        <f t="shared" si="870"/>
        <v>-0.96666666666666667</v>
      </c>
      <c r="O803" s="43" t="str">
        <f t="shared" si="860"/>
        <v/>
      </c>
    </row>
    <row r="804" spans="1:15" x14ac:dyDescent="0.45">
      <c r="D804" s="27">
        <f t="shared" si="861"/>
        <v>0</v>
      </c>
      <c r="E804" s="28">
        <f t="shared" si="862"/>
        <v>0</v>
      </c>
      <c r="F804" s="42">
        <f t="shared" si="863"/>
        <v>-3.3333333333333333E-2</v>
      </c>
      <c r="G804" s="42">
        <f t="shared" si="864"/>
        <v>-0.23333333333333334</v>
      </c>
      <c r="H804" s="42">
        <f t="shared" si="865"/>
        <v>-0.36666666666666664</v>
      </c>
      <c r="I804" s="42">
        <f t="shared" si="866"/>
        <v>-0.43333333333333335</v>
      </c>
      <c r="J804" s="42">
        <f t="shared" si="867"/>
        <v>-0.56666666666666665</v>
      </c>
      <c r="K804" s="42">
        <f t="shared" si="868"/>
        <v>-0.6333333333333333</v>
      </c>
      <c r="L804" s="42">
        <f t="shared" si="869"/>
        <v>-0.76666666666666672</v>
      </c>
      <c r="M804" s="42">
        <f t="shared" si="870"/>
        <v>-0.96666666666666667</v>
      </c>
      <c r="O804" s="43" t="str">
        <f t="shared" si="860"/>
        <v/>
      </c>
    </row>
    <row r="805" spans="1:15" ht="19.2" thickBot="1" x14ac:dyDescent="0.5">
      <c r="F805" s="42"/>
      <c r="G805" s="42"/>
      <c r="H805" s="42"/>
      <c r="I805" s="42"/>
      <c r="J805" s="42"/>
      <c r="K805" s="42"/>
      <c r="L805" s="42"/>
      <c r="M805" s="42"/>
    </row>
    <row r="806" spans="1:15" ht="19.2" thickBot="1" x14ac:dyDescent="0.5">
      <c r="C806" s="44"/>
      <c r="E806" s="34">
        <f>E787</f>
        <v>0</v>
      </c>
      <c r="F806" s="45">
        <v>1</v>
      </c>
      <c r="G806" s="46">
        <v>7</v>
      </c>
      <c r="H806" s="46">
        <v>11</v>
      </c>
      <c r="I806" s="46">
        <v>13</v>
      </c>
      <c r="J806" s="46">
        <v>17</v>
      </c>
      <c r="K806" s="46">
        <v>19</v>
      </c>
      <c r="L806" s="46">
        <v>23</v>
      </c>
      <c r="M806" s="47">
        <v>29</v>
      </c>
      <c r="O806" s="27" t="s">
        <v>2</v>
      </c>
    </row>
    <row r="807" spans="1:15" x14ac:dyDescent="0.45">
      <c r="A807" s="29">
        <f>A797+1</f>
        <v>80</v>
      </c>
      <c r="D807" s="27">
        <f>C797</f>
        <v>0</v>
      </c>
      <c r="E807" s="28">
        <f>D807*$E$6</f>
        <v>0</v>
      </c>
      <c r="F807" s="42">
        <f>(E807-1)/30</f>
        <v>-3.3333333333333333E-2</v>
      </c>
      <c r="G807" s="42">
        <f>($E807-7)/30</f>
        <v>-0.23333333333333334</v>
      </c>
      <c r="H807" s="42">
        <f>($E807-11)/30</f>
        <v>-0.36666666666666664</v>
      </c>
      <c r="I807" s="42">
        <f>($E807-13)/30</f>
        <v>-0.43333333333333335</v>
      </c>
      <c r="J807" s="42">
        <f>($E807-17)/30</f>
        <v>-0.56666666666666665</v>
      </c>
      <c r="K807" s="42">
        <f>($E807-19)/30</f>
        <v>-0.6333333333333333</v>
      </c>
      <c r="L807" s="42">
        <f>($E807-23)/30</f>
        <v>-0.76666666666666672</v>
      </c>
      <c r="M807" s="42">
        <f>($E807-29)/30</f>
        <v>-0.96666666666666667</v>
      </c>
      <c r="O807" s="43" t="str">
        <f t="shared" ref="O807:O814" si="871">FactorNumber(E807)</f>
        <v/>
      </c>
    </row>
    <row r="808" spans="1:15" x14ac:dyDescent="0.45">
      <c r="D808" s="27">
        <f t="shared" ref="D808:D814" si="872">C798</f>
        <v>0</v>
      </c>
      <c r="E808" s="28">
        <f t="shared" ref="E808:E814" si="873">D808*$E$6</f>
        <v>0</v>
      </c>
      <c r="F808" s="42">
        <f t="shared" ref="F808:F814" si="874">(E808-1)/30</f>
        <v>-3.3333333333333333E-2</v>
      </c>
      <c r="G808" s="42">
        <f t="shared" ref="G808:G814" si="875">($E808-7)/30</f>
        <v>-0.23333333333333334</v>
      </c>
      <c r="H808" s="42">
        <f t="shared" ref="H808:H814" si="876">($E808-11)/30</f>
        <v>-0.36666666666666664</v>
      </c>
      <c r="I808" s="42">
        <f t="shared" ref="I808:I814" si="877">($E808-13)/30</f>
        <v>-0.43333333333333335</v>
      </c>
      <c r="J808" s="42">
        <f t="shared" ref="J808:J814" si="878">($E808-17)/30</f>
        <v>-0.56666666666666665</v>
      </c>
      <c r="K808" s="42">
        <f t="shared" ref="K808:K814" si="879">($E808-19)/30</f>
        <v>-0.6333333333333333</v>
      </c>
      <c r="L808" s="42">
        <f t="shared" ref="L808:L814" si="880">($E808-23)/30</f>
        <v>-0.76666666666666672</v>
      </c>
      <c r="M808" s="42">
        <f t="shared" ref="M808:M814" si="881">($E808-29)/30</f>
        <v>-0.96666666666666667</v>
      </c>
      <c r="O808" s="43" t="str">
        <f t="shared" si="871"/>
        <v/>
      </c>
    </row>
    <row r="809" spans="1:15" x14ac:dyDescent="0.45">
      <c r="D809" s="27">
        <f t="shared" si="872"/>
        <v>0</v>
      </c>
      <c r="E809" s="28">
        <f t="shared" si="873"/>
        <v>0</v>
      </c>
      <c r="F809" s="42">
        <f t="shared" si="874"/>
        <v>-3.3333333333333333E-2</v>
      </c>
      <c r="G809" s="42">
        <f t="shared" si="875"/>
        <v>-0.23333333333333334</v>
      </c>
      <c r="H809" s="42">
        <f t="shared" si="876"/>
        <v>-0.36666666666666664</v>
      </c>
      <c r="I809" s="42">
        <f t="shared" si="877"/>
        <v>-0.43333333333333335</v>
      </c>
      <c r="J809" s="42">
        <f t="shared" si="878"/>
        <v>-0.56666666666666665</v>
      </c>
      <c r="K809" s="42">
        <f t="shared" si="879"/>
        <v>-0.6333333333333333</v>
      </c>
      <c r="L809" s="42">
        <f t="shared" si="880"/>
        <v>-0.76666666666666672</v>
      </c>
      <c r="M809" s="42">
        <f t="shared" si="881"/>
        <v>-0.96666666666666667</v>
      </c>
      <c r="O809" s="43" t="str">
        <f t="shared" si="871"/>
        <v/>
      </c>
    </row>
    <row r="810" spans="1:15" x14ac:dyDescent="0.45">
      <c r="D810" s="27">
        <f t="shared" si="872"/>
        <v>0</v>
      </c>
      <c r="E810" s="28">
        <f t="shared" si="873"/>
        <v>0</v>
      </c>
      <c r="F810" s="42">
        <f t="shared" si="874"/>
        <v>-3.3333333333333333E-2</v>
      </c>
      <c r="G810" s="42">
        <f t="shared" si="875"/>
        <v>-0.23333333333333334</v>
      </c>
      <c r="H810" s="42">
        <f t="shared" si="876"/>
        <v>-0.36666666666666664</v>
      </c>
      <c r="I810" s="42">
        <f t="shared" si="877"/>
        <v>-0.43333333333333335</v>
      </c>
      <c r="J810" s="42">
        <f t="shared" si="878"/>
        <v>-0.56666666666666665</v>
      </c>
      <c r="K810" s="42">
        <f t="shared" si="879"/>
        <v>-0.6333333333333333</v>
      </c>
      <c r="L810" s="42">
        <f t="shared" si="880"/>
        <v>-0.76666666666666672</v>
      </c>
      <c r="M810" s="42">
        <f t="shared" si="881"/>
        <v>-0.96666666666666667</v>
      </c>
      <c r="O810" s="43" t="str">
        <f t="shared" si="871"/>
        <v/>
      </c>
    </row>
    <row r="811" spans="1:15" x14ac:dyDescent="0.45">
      <c r="D811" s="27">
        <f t="shared" si="872"/>
        <v>0</v>
      </c>
      <c r="E811" s="28">
        <f t="shared" si="873"/>
        <v>0</v>
      </c>
      <c r="F811" s="42">
        <f t="shared" si="874"/>
        <v>-3.3333333333333333E-2</v>
      </c>
      <c r="G811" s="42">
        <f t="shared" si="875"/>
        <v>-0.23333333333333334</v>
      </c>
      <c r="H811" s="42">
        <f t="shared" si="876"/>
        <v>-0.36666666666666664</v>
      </c>
      <c r="I811" s="42">
        <f t="shared" si="877"/>
        <v>-0.43333333333333335</v>
      </c>
      <c r="J811" s="42">
        <f t="shared" si="878"/>
        <v>-0.56666666666666665</v>
      </c>
      <c r="K811" s="42">
        <f t="shared" si="879"/>
        <v>-0.6333333333333333</v>
      </c>
      <c r="L811" s="42">
        <f t="shared" si="880"/>
        <v>-0.76666666666666672</v>
      </c>
      <c r="M811" s="42">
        <f t="shared" si="881"/>
        <v>-0.96666666666666667</v>
      </c>
      <c r="O811" s="43" t="str">
        <f t="shared" si="871"/>
        <v/>
      </c>
    </row>
    <row r="812" spans="1:15" x14ac:dyDescent="0.45">
      <c r="D812" s="27">
        <f t="shared" si="872"/>
        <v>0</v>
      </c>
      <c r="E812" s="28">
        <f t="shared" si="873"/>
        <v>0</v>
      </c>
      <c r="F812" s="42">
        <f t="shared" si="874"/>
        <v>-3.3333333333333333E-2</v>
      </c>
      <c r="G812" s="42">
        <f t="shared" si="875"/>
        <v>-0.23333333333333334</v>
      </c>
      <c r="H812" s="42">
        <f t="shared" si="876"/>
        <v>-0.36666666666666664</v>
      </c>
      <c r="I812" s="42">
        <f t="shared" si="877"/>
        <v>-0.43333333333333335</v>
      </c>
      <c r="J812" s="42">
        <f t="shared" si="878"/>
        <v>-0.56666666666666665</v>
      </c>
      <c r="K812" s="42">
        <f t="shared" si="879"/>
        <v>-0.6333333333333333</v>
      </c>
      <c r="L812" s="42">
        <f t="shared" si="880"/>
        <v>-0.76666666666666672</v>
      </c>
      <c r="M812" s="42">
        <f t="shared" si="881"/>
        <v>-0.96666666666666667</v>
      </c>
      <c r="O812" s="43" t="str">
        <f t="shared" si="871"/>
        <v/>
      </c>
    </row>
    <row r="813" spans="1:15" x14ac:dyDescent="0.45">
      <c r="D813" s="27">
        <f t="shared" si="872"/>
        <v>0</v>
      </c>
      <c r="E813" s="28">
        <f t="shared" si="873"/>
        <v>0</v>
      </c>
      <c r="F813" s="42">
        <f t="shared" si="874"/>
        <v>-3.3333333333333333E-2</v>
      </c>
      <c r="G813" s="42">
        <f t="shared" si="875"/>
        <v>-0.23333333333333334</v>
      </c>
      <c r="H813" s="42">
        <f t="shared" si="876"/>
        <v>-0.36666666666666664</v>
      </c>
      <c r="I813" s="42">
        <f t="shared" si="877"/>
        <v>-0.43333333333333335</v>
      </c>
      <c r="J813" s="42">
        <f t="shared" si="878"/>
        <v>-0.56666666666666665</v>
      </c>
      <c r="K813" s="42">
        <f t="shared" si="879"/>
        <v>-0.6333333333333333</v>
      </c>
      <c r="L813" s="42">
        <f t="shared" si="880"/>
        <v>-0.76666666666666672</v>
      </c>
      <c r="M813" s="42">
        <f t="shared" si="881"/>
        <v>-0.96666666666666667</v>
      </c>
      <c r="O813" s="43" t="str">
        <f t="shared" si="871"/>
        <v/>
      </c>
    </row>
    <row r="814" spans="1:15" x14ac:dyDescent="0.45">
      <c r="D814" s="27">
        <f t="shared" si="872"/>
        <v>0</v>
      </c>
      <c r="E814" s="28">
        <f t="shared" si="873"/>
        <v>0</v>
      </c>
      <c r="F814" s="42">
        <f t="shared" si="874"/>
        <v>-3.3333333333333333E-2</v>
      </c>
      <c r="G814" s="42">
        <f t="shared" si="875"/>
        <v>-0.23333333333333334</v>
      </c>
      <c r="H814" s="42">
        <f t="shared" si="876"/>
        <v>-0.36666666666666664</v>
      </c>
      <c r="I814" s="42">
        <f t="shared" si="877"/>
        <v>-0.43333333333333335</v>
      </c>
      <c r="J814" s="42">
        <f t="shared" si="878"/>
        <v>-0.56666666666666665</v>
      </c>
      <c r="K814" s="42">
        <f t="shared" si="879"/>
        <v>-0.6333333333333333</v>
      </c>
      <c r="L814" s="42">
        <f t="shared" si="880"/>
        <v>-0.76666666666666672</v>
      </c>
      <c r="M814" s="42">
        <f t="shared" si="881"/>
        <v>-0.96666666666666667</v>
      </c>
      <c r="O814" s="43" t="str">
        <f t="shared" si="871"/>
        <v/>
      </c>
    </row>
    <row r="815" spans="1:15" ht="19.2" thickBot="1" x14ac:dyDescent="0.5">
      <c r="F815" s="42"/>
      <c r="G815" s="42"/>
      <c r="H815" s="42"/>
      <c r="I815" s="42"/>
      <c r="J815" s="42"/>
      <c r="K815" s="42"/>
      <c r="L815" s="42"/>
      <c r="M815" s="42"/>
    </row>
    <row r="816" spans="1:15" ht="19.2" thickBot="1" x14ac:dyDescent="0.5">
      <c r="C816" s="44"/>
      <c r="E816" s="34">
        <f>E797</f>
        <v>0</v>
      </c>
      <c r="F816" s="45">
        <v>1</v>
      </c>
      <c r="G816" s="46">
        <v>7</v>
      </c>
      <c r="H816" s="46">
        <v>11</v>
      </c>
      <c r="I816" s="46">
        <v>13</v>
      </c>
      <c r="J816" s="46">
        <v>17</v>
      </c>
      <c r="K816" s="46">
        <v>19</v>
      </c>
      <c r="L816" s="46">
        <v>23</v>
      </c>
      <c r="M816" s="47">
        <v>29</v>
      </c>
      <c r="O816" s="27" t="s">
        <v>2</v>
      </c>
    </row>
    <row r="817" spans="1:15" x14ac:dyDescent="0.45">
      <c r="A817" s="29">
        <f>A807+1</f>
        <v>81</v>
      </c>
      <c r="D817" s="27">
        <f>C807</f>
        <v>0</v>
      </c>
      <c r="E817" s="28">
        <f>D817*$E$6</f>
        <v>0</v>
      </c>
      <c r="F817" s="42">
        <f>(E817-1)/30</f>
        <v>-3.3333333333333333E-2</v>
      </c>
      <c r="G817" s="42">
        <f>($E817-7)/30</f>
        <v>-0.23333333333333334</v>
      </c>
      <c r="H817" s="42">
        <f>($E817-11)/30</f>
        <v>-0.36666666666666664</v>
      </c>
      <c r="I817" s="42">
        <f>($E817-13)/30</f>
        <v>-0.43333333333333335</v>
      </c>
      <c r="J817" s="42">
        <f>($E817-17)/30</f>
        <v>-0.56666666666666665</v>
      </c>
      <c r="K817" s="42">
        <f>($E817-19)/30</f>
        <v>-0.6333333333333333</v>
      </c>
      <c r="L817" s="42">
        <f>($E817-23)/30</f>
        <v>-0.76666666666666672</v>
      </c>
      <c r="M817" s="42">
        <f>($E817-29)/30</f>
        <v>-0.96666666666666667</v>
      </c>
      <c r="O817" s="43" t="str">
        <f t="shared" ref="O817:O824" si="882">FactorNumber(E817)</f>
        <v/>
      </c>
    </row>
    <row r="818" spans="1:15" x14ac:dyDescent="0.45">
      <c r="D818" s="27">
        <f t="shared" ref="D818:D824" si="883">C808</f>
        <v>0</v>
      </c>
      <c r="E818" s="28">
        <f t="shared" ref="E818:E824" si="884">D818*$E$6</f>
        <v>0</v>
      </c>
      <c r="F818" s="42">
        <f t="shared" ref="F818:F824" si="885">(E818-1)/30</f>
        <v>-3.3333333333333333E-2</v>
      </c>
      <c r="G818" s="42">
        <f t="shared" ref="G818:G824" si="886">($E818-7)/30</f>
        <v>-0.23333333333333334</v>
      </c>
      <c r="H818" s="42">
        <f t="shared" ref="H818:H824" si="887">($E818-11)/30</f>
        <v>-0.36666666666666664</v>
      </c>
      <c r="I818" s="42">
        <f t="shared" ref="I818:I824" si="888">($E818-13)/30</f>
        <v>-0.43333333333333335</v>
      </c>
      <c r="J818" s="42">
        <f t="shared" ref="J818:J824" si="889">($E818-17)/30</f>
        <v>-0.56666666666666665</v>
      </c>
      <c r="K818" s="42">
        <f t="shared" ref="K818:K824" si="890">($E818-19)/30</f>
        <v>-0.6333333333333333</v>
      </c>
      <c r="L818" s="42">
        <f t="shared" ref="L818:L824" si="891">($E818-23)/30</f>
        <v>-0.76666666666666672</v>
      </c>
      <c r="M818" s="42">
        <f t="shared" ref="M818:M824" si="892">($E818-29)/30</f>
        <v>-0.96666666666666667</v>
      </c>
      <c r="O818" s="43" t="str">
        <f t="shared" si="882"/>
        <v/>
      </c>
    </row>
    <row r="819" spans="1:15" x14ac:dyDescent="0.45">
      <c r="D819" s="27">
        <f t="shared" si="883"/>
        <v>0</v>
      </c>
      <c r="E819" s="28">
        <f t="shared" si="884"/>
        <v>0</v>
      </c>
      <c r="F819" s="42">
        <f t="shared" si="885"/>
        <v>-3.3333333333333333E-2</v>
      </c>
      <c r="G819" s="42">
        <f t="shared" si="886"/>
        <v>-0.23333333333333334</v>
      </c>
      <c r="H819" s="42">
        <f t="shared" si="887"/>
        <v>-0.36666666666666664</v>
      </c>
      <c r="I819" s="42">
        <f t="shared" si="888"/>
        <v>-0.43333333333333335</v>
      </c>
      <c r="J819" s="42">
        <f t="shared" si="889"/>
        <v>-0.56666666666666665</v>
      </c>
      <c r="K819" s="42">
        <f t="shared" si="890"/>
        <v>-0.6333333333333333</v>
      </c>
      <c r="L819" s="42">
        <f t="shared" si="891"/>
        <v>-0.76666666666666672</v>
      </c>
      <c r="M819" s="42">
        <f t="shared" si="892"/>
        <v>-0.96666666666666667</v>
      </c>
      <c r="O819" s="43" t="str">
        <f t="shared" si="882"/>
        <v/>
      </c>
    </row>
    <row r="820" spans="1:15" x14ac:dyDescent="0.45">
      <c r="D820" s="27">
        <f t="shared" si="883"/>
        <v>0</v>
      </c>
      <c r="E820" s="28">
        <f t="shared" si="884"/>
        <v>0</v>
      </c>
      <c r="F820" s="42">
        <f t="shared" si="885"/>
        <v>-3.3333333333333333E-2</v>
      </c>
      <c r="G820" s="42">
        <f t="shared" si="886"/>
        <v>-0.23333333333333334</v>
      </c>
      <c r="H820" s="42">
        <f t="shared" si="887"/>
        <v>-0.36666666666666664</v>
      </c>
      <c r="I820" s="42">
        <f t="shared" si="888"/>
        <v>-0.43333333333333335</v>
      </c>
      <c r="J820" s="42">
        <f t="shared" si="889"/>
        <v>-0.56666666666666665</v>
      </c>
      <c r="K820" s="42">
        <f t="shared" si="890"/>
        <v>-0.6333333333333333</v>
      </c>
      <c r="L820" s="42">
        <f t="shared" si="891"/>
        <v>-0.76666666666666672</v>
      </c>
      <c r="M820" s="42">
        <f t="shared" si="892"/>
        <v>-0.96666666666666667</v>
      </c>
      <c r="O820" s="43" t="str">
        <f t="shared" si="882"/>
        <v/>
      </c>
    </row>
    <row r="821" spans="1:15" x14ac:dyDescent="0.45">
      <c r="D821" s="27">
        <f t="shared" si="883"/>
        <v>0</v>
      </c>
      <c r="E821" s="28">
        <f t="shared" si="884"/>
        <v>0</v>
      </c>
      <c r="F821" s="42">
        <f t="shared" si="885"/>
        <v>-3.3333333333333333E-2</v>
      </c>
      <c r="G821" s="42">
        <f t="shared" si="886"/>
        <v>-0.23333333333333334</v>
      </c>
      <c r="H821" s="42">
        <f t="shared" si="887"/>
        <v>-0.36666666666666664</v>
      </c>
      <c r="I821" s="42">
        <f t="shared" si="888"/>
        <v>-0.43333333333333335</v>
      </c>
      <c r="J821" s="42">
        <f t="shared" si="889"/>
        <v>-0.56666666666666665</v>
      </c>
      <c r="K821" s="42">
        <f t="shared" si="890"/>
        <v>-0.6333333333333333</v>
      </c>
      <c r="L821" s="42">
        <f t="shared" si="891"/>
        <v>-0.76666666666666672</v>
      </c>
      <c r="M821" s="42">
        <f t="shared" si="892"/>
        <v>-0.96666666666666667</v>
      </c>
      <c r="O821" s="43" t="str">
        <f t="shared" si="882"/>
        <v/>
      </c>
    </row>
    <row r="822" spans="1:15" x14ac:dyDescent="0.45">
      <c r="D822" s="27">
        <f t="shared" si="883"/>
        <v>0</v>
      </c>
      <c r="E822" s="28">
        <f t="shared" si="884"/>
        <v>0</v>
      </c>
      <c r="F822" s="42">
        <f t="shared" si="885"/>
        <v>-3.3333333333333333E-2</v>
      </c>
      <c r="G822" s="42">
        <f t="shared" si="886"/>
        <v>-0.23333333333333334</v>
      </c>
      <c r="H822" s="42">
        <f t="shared" si="887"/>
        <v>-0.36666666666666664</v>
      </c>
      <c r="I822" s="42">
        <f t="shared" si="888"/>
        <v>-0.43333333333333335</v>
      </c>
      <c r="J822" s="42">
        <f t="shared" si="889"/>
        <v>-0.56666666666666665</v>
      </c>
      <c r="K822" s="42">
        <f t="shared" si="890"/>
        <v>-0.6333333333333333</v>
      </c>
      <c r="L822" s="42">
        <f t="shared" si="891"/>
        <v>-0.76666666666666672</v>
      </c>
      <c r="M822" s="42">
        <f t="shared" si="892"/>
        <v>-0.96666666666666667</v>
      </c>
      <c r="O822" s="43" t="str">
        <f t="shared" si="882"/>
        <v/>
      </c>
    </row>
    <row r="823" spans="1:15" x14ac:dyDescent="0.45">
      <c r="D823" s="27">
        <f t="shared" si="883"/>
        <v>0</v>
      </c>
      <c r="E823" s="28">
        <f t="shared" si="884"/>
        <v>0</v>
      </c>
      <c r="F823" s="42">
        <f t="shared" si="885"/>
        <v>-3.3333333333333333E-2</v>
      </c>
      <c r="G823" s="42">
        <f t="shared" si="886"/>
        <v>-0.23333333333333334</v>
      </c>
      <c r="H823" s="42">
        <f t="shared" si="887"/>
        <v>-0.36666666666666664</v>
      </c>
      <c r="I823" s="42">
        <f t="shared" si="888"/>
        <v>-0.43333333333333335</v>
      </c>
      <c r="J823" s="42">
        <f t="shared" si="889"/>
        <v>-0.56666666666666665</v>
      </c>
      <c r="K823" s="42">
        <f t="shared" si="890"/>
        <v>-0.6333333333333333</v>
      </c>
      <c r="L823" s="42">
        <f t="shared" si="891"/>
        <v>-0.76666666666666672</v>
      </c>
      <c r="M823" s="42">
        <f t="shared" si="892"/>
        <v>-0.96666666666666667</v>
      </c>
      <c r="O823" s="43" t="str">
        <f t="shared" si="882"/>
        <v/>
      </c>
    </row>
    <row r="824" spans="1:15" x14ac:dyDescent="0.45">
      <c r="D824" s="27">
        <f t="shared" si="883"/>
        <v>0</v>
      </c>
      <c r="E824" s="28">
        <f t="shared" si="884"/>
        <v>0</v>
      </c>
      <c r="F824" s="42">
        <f t="shared" si="885"/>
        <v>-3.3333333333333333E-2</v>
      </c>
      <c r="G824" s="42">
        <f t="shared" si="886"/>
        <v>-0.23333333333333334</v>
      </c>
      <c r="H824" s="42">
        <f t="shared" si="887"/>
        <v>-0.36666666666666664</v>
      </c>
      <c r="I824" s="42">
        <f t="shared" si="888"/>
        <v>-0.43333333333333335</v>
      </c>
      <c r="J824" s="42">
        <f t="shared" si="889"/>
        <v>-0.56666666666666665</v>
      </c>
      <c r="K824" s="42">
        <f t="shared" si="890"/>
        <v>-0.6333333333333333</v>
      </c>
      <c r="L824" s="42">
        <f t="shared" si="891"/>
        <v>-0.76666666666666672</v>
      </c>
      <c r="M824" s="42">
        <f t="shared" si="892"/>
        <v>-0.96666666666666667</v>
      </c>
      <c r="O824" s="43" t="str">
        <f t="shared" si="882"/>
        <v/>
      </c>
    </row>
    <row r="825" spans="1:15" ht="19.2" thickBot="1" x14ac:dyDescent="0.5">
      <c r="F825" s="42"/>
      <c r="G825" s="42"/>
      <c r="H825" s="42"/>
      <c r="I825" s="42"/>
      <c r="J825" s="42"/>
      <c r="K825" s="42"/>
      <c r="L825" s="42"/>
      <c r="M825" s="42"/>
    </row>
    <row r="826" spans="1:15" ht="19.2" thickBot="1" x14ac:dyDescent="0.5">
      <c r="C826" s="44"/>
      <c r="E826" s="34">
        <f>E807</f>
        <v>0</v>
      </c>
      <c r="F826" s="45">
        <v>1</v>
      </c>
      <c r="G826" s="46">
        <v>7</v>
      </c>
      <c r="H826" s="46">
        <v>11</v>
      </c>
      <c r="I826" s="46">
        <v>13</v>
      </c>
      <c r="J826" s="46">
        <v>17</v>
      </c>
      <c r="K826" s="46">
        <v>19</v>
      </c>
      <c r="L826" s="46">
        <v>23</v>
      </c>
      <c r="M826" s="47">
        <v>29</v>
      </c>
      <c r="O826" s="27" t="s">
        <v>2</v>
      </c>
    </row>
    <row r="827" spans="1:15" x14ac:dyDescent="0.45">
      <c r="A827" s="29">
        <f>A817+1</f>
        <v>82</v>
      </c>
      <c r="D827" s="27">
        <f>C817</f>
        <v>0</v>
      </c>
      <c r="E827" s="28">
        <f>D827*$E$6</f>
        <v>0</v>
      </c>
      <c r="F827" s="42">
        <f>(E827-1)/30</f>
        <v>-3.3333333333333333E-2</v>
      </c>
      <c r="G827" s="42">
        <f>($E827-7)/30</f>
        <v>-0.23333333333333334</v>
      </c>
      <c r="H827" s="42">
        <f>($E827-11)/30</f>
        <v>-0.36666666666666664</v>
      </c>
      <c r="I827" s="42">
        <f>($E827-13)/30</f>
        <v>-0.43333333333333335</v>
      </c>
      <c r="J827" s="42">
        <f>($E827-17)/30</f>
        <v>-0.56666666666666665</v>
      </c>
      <c r="K827" s="42">
        <f>($E827-19)/30</f>
        <v>-0.6333333333333333</v>
      </c>
      <c r="L827" s="42">
        <f>($E827-23)/30</f>
        <v>-0.76666666666666672</v>
      </c>
      <c r="M827" s="42">
        <f>($E827-29)/30</f>
        <v>-0.96666666666666667</v>
      </c>
      <c r="O827" s="43" t="str">
        <f t="shared" ref="O827:O834" si="893">FactorNumber(E827)</f>
        <v/>
      </c>
    </row>
    <row r="828" spans="1:15" x14ac:dyDescent="0.45">
      <c r="D828" s="27">
        <f t="shared" ref="D828:D834" si="894">C818</f>
        <v>0</v>
      </c>
      <c r="E828" s="28">
        <f t="shared" ref="E828:E834" si="895">D828*$E$6</f>
        <v>0</v>
      </c>
      <c r="F828" s="42">
        <f t="shared" ref="F828:F834" si="896">(E828-1)/30</f>
        <v>-3.3333333333333333E-2</v>
      </c>
      <c r="G828" s="42">
        <f t="shared" ref="G828:G834" si="897">($E828-7)/30</f>
        <v>-0.23333333333333334</v>
      </c>
      <c r="H828" s="42">
        <f t="shared" ref="H828:H834" si="898">($E828-11)/30</f>
        <v>-0.36666666666666664</v>
      </c>
      <c r="I828" s="42">
        <f t="shared" ref="I828:I834" si="899">($E828-13)/30</f>
        <v>-0.43333333333333335</v>
      </c>
      <c r="J828" s="42">
        <f t="shared" ref="J828:J834" si="900">($E828-17)/30</f>
        <v>-0.56666666666666665</v>
      </c>
      <c r="K828" s="42">
        <f t="shared" ref="K828:K834" si="901">($E828-19)/30</f>
        <v>-0.6333333333333333</v>
      </c>
      <c r="L828" s="42">
        <f t="shared" ref="L828:L834" si="902">($E828-23)/30</f>
        <v>-0.76666666666666672</v>
      </c>
      <c r="M828" s="42">
        <f t="shared" ref="M828:M834" si="903">($E828-29)/30</f>
        <v>-0.96666666666666667</v>
      </c>
      <c r="O828" s="43" t="str">
        <f t="shared" si="893"/>
        <v/>
      </c>
    </row>
    <row r="829" spans="1:15" x14ac:dyDescent="0.45">
      <c r="D829" s="27">
        <f t="shared" si="894"/>
        <v>0</v>
      </c>
      <c r="E829" s="28">
        <f t="shared" si="895"/>
        <v>0</v>
      </c>
      <c r="F829" s="42">
        <f t="shared" si="896"/>
        <v>-3.3333333333333333E-2</v>
      </c>
      <c r="G829" s="42">
        <f t="shared" si="897"/>
        <v>-0.23333333333333334</v>
      </c>
      <c r="H829" s="42">
        <f t="shared" si="898"/>
        <v>-0.36666666666666664</v>
      </c>
      <c r="I829" s="42">
        <f t="shared" si="899"/>
        <v>-0.43333333333333335</v>
      </c>
      <c r="J829" s="42">
        <f t="shared" si="900"/>
        <v>-0.56666666666666665</v>
      </c>
      <c r="K829" s="42">
        <f t="shared" si="901"/>
        <v>-0.6333333333333333</v>
      </c>
      <c r="L829" s="42">
        <f t="shared" si="902"/>
        <v>-0.76666666666666672</v>
      </c>
      <c r="M829" s="42">
        <f t="shared" si="903"/>
        <v>-0.96666666666666667</v>
      </c>
      <c r="O829" s="43" t="str">
        <f t="shared" si="893"/>
        <v/>
      </c>
    </row>
    <row r="830" spans="1:15" x14ac:dyDescent="0.45">
      <c r="D830" s="27">
        <f t="shared" si="894"/>
        <v>0</v>
      </c>
      <c r="E830" s="28">
        <f t="shared" si="895"/>
        <v>0</v>
      </c>
      <c r="F830" s="42">
        <f t="shared" si="896"/>
        <v>-3.3333333333333333E-2</v>
      </c>
      <c r="G830" s="42">
        <f t="shared" si="897"/>
        <v>-0.23333333333333334</v>
      </c>
      <c r="H830" s="42">
        <f t="shared" si="898"/>
        <v>-0.36666666666666664</v>
      </c>
      <c r="I830" s="42">
        <f t="shared" si="899"/>
        <v>-0.43333333333333335</v>
      </c>
      <c r="J830" s="42">
        <f t="shared" si="900"/>
        <v>-0.56666666666666665</v>
      </c>
      <c r="K830" s="42">
        <f t="shared" si="901"/>
        <v>-0.6333333333333333</v>
      </c>
      <c r="L830" s="42">
        <f t="shared" si="902"/>
        <v>-0.76666666666666672</v>
      </c>
      <c r="M830" s="42">
        <f t="shared" si="903"/>
        <v>-0.96666666666666667</v>
      </c>
      <c r="O830" s="43" t="str">
        <f t="shared" si="893"/>
        <v/>
      </c>
    </row>
    <row r="831" spans="1:15" x14ac:dyDescent="0.45">
      <c r="D831" s="27">
        <f t="shared" si="894"/>
        <v>0</v>
      </c>
      <c r="E831" s="28">
        <f t="shared" si="895"/>
        <v>0</v>
      </c>
      <c r="F831" s="42">
        <f t="shared" si="896"/>
        <v>-3.3333333333333333E-2</v>
      </c>
      <c r="G831" s="42">
        <f t="shared" si="897"/>
        <v>-0.23333333333333334</v>
      </c>
      <c r="H831" s="42">
        <f t="shared" si="898"/>
        <v>-0.36666666666666664</v>
      </c>
      <c r="I831" s="42">
        <f t="shared" si="899"/>
        <v>-0.43333333333333335</v>
      </c>
      <c r="J831" s="42">
        <f t="shared" si="900"/>
        <v>-0.56666666666666665</v>
      </c>
      <c r="K831" s="42">
        <f t="shared" si="901"/>
        <v>-0.6333333333333333</v>
      </c>
      <c r="L831" s="42">
        <f t="shared" si="902"/>
        <v>-0.76666666666666672</v>
      </c>
      <c r="M831" s="42">
        <f t="shared" si="903"/>
        <v>-0.96666666666666667</v>
      </c>
      <c r="O831" s="43" t="str">
        <f t="shared" si="893"/>
        <v/>
      </c>
    </row>
    <row r="832" spans="1:15" x14ac:dyDescent="0.45">
      <c r="D832" s="27">
        <f t="shared" si="894"/>
        <v>0</v>
      </c>
      <c r="E832" s="28">
        <f t="shared" si="895"/>
        <v>0</v>
      </c>
      <c r="F832" s="42">
        <f t="shared" si="896"/>
        <v>-3.3333333333333333E-2</v>
      </c>
      <c r="G832" s="42">
        <f t="shared" si="897"/>
        <v>-0.23333333333333334</v>
      </c>
      <c r="H832" s="42">
        <f t="shared" si="898"/>
        <v>-0.36666666666666664</v>
      </c>
      <c r="I832" s="42">
        <f t="shared" si="899"/>
        <v>-0.43333333333333335</v>
      </c>
      <c r="J832" s="42">
        <f t="shared" si="900"/>
        <v>-0.56666666666666665</v>
      </c>
      <c r="K832" s="42">
        <f t="shared" si="901"/>
        <v>-0.6333333333333333</v>
      </c>
      <c r="L832" s="42">
        <f t="shared" si="902"/>
        <v>-0.76666666666666672</v>
      </c>
      <c r="M832" s="42">
        <f t="shared" si="903"/>
        <v>-0.96666666666666667</v>
      </c>
      <c r="O832" s="43" t="str">
        <f t="shared" si="893"/>
        <v/>
      </c>
    </row>
    <row r="833" spans="1:15" x14ac:dyDescent="0.45">
      <c r="D833" s="27">
        <f t="shared" si="894"/>
        <v>0</v>
      </c>
      <c r="E833" s="28">
        <f t="shared" si="895"/>
        <v>0</v>
      </c>
      <c r="F833" s="42">
        <f t="shared" si="896"/>
        <v>-3.3333333333333333E-2</v>
      </c>
      <c r="G833" s="42">
        <f t="shared" si="897"/>
        <v>-0.23333333333333334</v>
      </c>
      <c r="H833" s="42">
        <f t="shared" si="898"/>
        <v>-0.36666666666666664</v>
      </c>
      <c r="I833" s="42">
        <f t="shared" si="899"/>
        <v>-0.43333333333333335</v>
      </c>
      <c r="J833" s="42">
        <f t="shared" si="900"/>
        <v>-0.56666666666666665</v>
      </c>
      <c r="K833" s="42">
        <f t="shared" si="901"/>
        <v>-0.6333333333333333</v>
      </c>
      <c r="L833" s="42">
        <f t="shared" si="902"/>
        <v>-0.76666666666666672</v>
      </c>
      <c r="M833" s="42">
        <f t="shared" si="903"/>
        <v>-0.96666666666666667</v>
      </c>
      <c r="O833" s="43" t="str">
        <f t="shared" si="893"/>
        <v/>
      </c>
    </row>
    <row r="834" spans="1:15" x14ac:dyDescent="0.45">
      <c r="D834" s="27">
        <f t="shared" si="894"/>
        <v>0</v>
      </c>
      <c r="E834" s="28">
        <f t="shared" si="895"/>
        <v>0</v>
      </c>
      <c r="F834" s="42">
        <f t="shared" si="896"/>
        <v>-3.3333333333333333E-2</v>
      </c>
      <c r="G834" s="42">
        <f t="shared" si="897"/>
        <v>-0.23333333333333334</v>
      </c>
      <c r="H834" s="42">
        <f t="shared" si="898"/>
        <v>-0.36666666666666664</v>
      </c>
      <c r="I834" s="42">
        <f t="shared" si="899"/>
        <v>-0.43333333333333335</v>
      </c>
      <c r="J834" s="42">
        <f t="shared" si="900"/>
        <v>-0.56666666666666665</v>
      </c>
      <c r="K834" s="42">
        <f t="shared" si="901"/>
        <v>-0.6333333333333333</v>
      </c>
      <c r="L834" s="42">
        <f t="shared" si="902"/>
        <v>-0.76666666666666672</v>
      </c>
      <c r="M834" s="42">
        <f t="shared" si="903"/>
        <v>-0.96666666666666667</v>
      </c>
      <c r="O834" s="43" t="str">
        <f t="shared" si="893"/>
        <v/>
      </c>
    </row>
    <row r="835" spans="1:15" ht="19.2" thickBot="1" x14ac:dyDescent="0.5">
      <c r="F835" s="42"/>
      <c r="G835" s="42"/>
      <c r="H835" s="42"/>
      <c r="I835" s="42"/>
      <c r="J835" s="42"/>
      <c r="K835" s="42"/>
      <c r="L835" s="42"/>
      <c r="M835" s="42"/>
    </row>
    <row r="836" spans="1:15" ht="19.2" thickBot="1" x14ac:dyDescent="0.5">
      <c r="C836" s="44"/>
      <c r="E836" s="34">
        <f>E817</f>
        <v>0</v>
      </c>
      <c r="F836" s="45">
        <v>1</v>
      </c>
      <c r="G836" s="46">
        <v>7</v>
      </c>
      <c r="H836" s="46">
        <v>11</v>
      </c>
      <c r="I836" s="46">
        <v>13</v>
      </c>
      <c r="J836" s="46">
        <v>17</v>
      </c>
      <c r="K836" s="46">
        <v>19</v>
      </c>
      <c r="L836" s="46">
        <v>23</v>
      </c>
      <c r="M836" s="47">
        <v>29</v>
      </c>
      <c r="O836" s="27" t="s">
        <v>2</v>
      </c>
    </row>
    <row r="837" spans="1:15" x14ac:dyDescent="0.45">
      <c r="A837" s="29">
        <f>A827+1</f>
        <v>83</v>
      </c>
      <c r="D837" s="27">
        <f>C827</f>
        <v>0</v>
      </c>
      <c r="E837" s="28">
        <f>D837*$E$6</f>
        <v>0</v>
      </c>
      <c r="F837" s="42">
        <f>(E837-1)/30</f>
        <v>-3.3333333333333333E-2</v>
      </c>
      <c r="G837" s="42">
        <f>($E837-7)/30</f>
        <v>-0.23333333333333334</v>
      </c>
      <c r="H837" s="42">
        <f>($E837-11)/30</f>
        <v>-0.36666666666666664</v>
      </c>
      <c r="I837" s="42">
        <f>($E837-13)/30</f>
        <v>-0.43333333333333335</v>
      </c>
      <c r="J837" s="42">
        <f>($E837-17)/30</f>
        <v>-0.56666666666666665</v>
      </c>
      <c r="K837" s="42">
        <f>($E837-19)/30</f>
        <v>-0.6333333333333333</v>
      </c>
      <c r="L837" s="42">
        <f>($E837-23)/30</f>
        <v>-0.76666666666666672</v>
      </c>
      <c r="M837" s="42">
        <f>($E837-29)/30</f>
        <v>-0.96666666666666667</v>
      </c>
      <c r="O837" s="43" t="str">
        <f t="shared" ref="O837:O844" si="904">FactorNumber(E837)</f>
        <v/>
      </c>
    </row>
    <row r="838" spans="1:15" x14ac:dyDescent="0.45">
      <c r="D838" s="27">
        <f t="shared" ref="D838:D844" si="905">C828</f>
        <v>0</v>
      </c>
      <c r="E838" s="28">
        <f t="shared" ref="E838:E844" si="906">D838*$E$6</f>
        <v>0</v>
      </c>
      <c r="F838" s="42">
        <f t="shared" ref="F838:F844" si="907">(E838-1)/30</f>
        <v>-3.3333333333333333E-2</v>
      </c>
      <c r="G838" s="42">
        <f t="shared" ref="G838:G844" si="908">($E838-7)/30</f>
        <v>-0.23333333333333334</v>
      </c>
      <c r="H838" s="42">
        <f t="shared" ref="H838:H844" si="909">($E838-11)/30</f>
        <v>-0.36666666666666664</v>
      </c>
      <c r="I838" s="42">
        <f t="shared" ref="I838:I844" si="910">($E838-13)/30</f>
        <v>-0.43333333333333335</v>
      </c>
      <c r="J838" s="42">
        <f t="shared" ref="J838:J844" si="911">($E838-17)/30</f>
        <v>-0.56666666666666665</v>
      </c>
      <c r="K838" s="42">
        <f t="shared" ref="K838:K844" si="912">($E838-19)/30</f>
        <v>-0.6333333333333333</v>
      </c>
      <c r="L838" s="42">
        <f t="shared" ref="L838:L844" si="913">($E838-23)/30</f>
        <v>-0.76666666666666672</v>
      </c>
      <c r="M838" s="42">
        <f t="shared" ref="M838:M844" si="914">($E838-29)/30</f>
        <v>-0.96666666666666667</v>
      </c>
      <c r="O838" s="43" t="str">
        <f t="shared" si="904"/>
        <v/>
      </c>
    </row>
    <row r="839" spans="1:15" x14ac:dyDescent="0.45">
      <c r="D839" s="27">
        <f t="shared" si="905"/>
        <v>0</v>
      </c>
      <c r="E839" s="28">
        <f t="shared" si="906"/>
        <v>0</v>
      </c>
      <c r="F839" s="42">
        <f t="shared" si="907"/>
        <v>-3.3333333333333333E-2</v>
      </c>
      <c r="G839" s="42">
        <f t="shared" si="908"/>
        <v>-0.23333333333333334</v>
      </c>
      <c r="H839" s="42">
        <f t="shared" si="909"/>
        <v>-0.36666666666666664</v>
      </c>
      <c r="I839" s="42">
        <f t="shared" si="910"/>
        <v>-0.43333333333333335</v>
      </c>
      <c r="J839" s="42">
        <f t="shared" si="911"/>
        <v>-0.56666666666666665</v>
      </c>
      <c r="K839" s="42">
        <f t="shared" si="912"/>
        <v>-0.6333333333333333</v>
      </c>
      <c r="L839" s="42">
        <f t="shared" si="913"/>
        <v>-0.76666666666666672</v>
      </c>
      <c r="M839" s="42">
        <f t="shared" si="914"/>
        <v>-0.96666666666666667</v>
      </c>
      <c r="O839" s="43" t="str">
        <f t="shared" si="904"/>
        <v/>
      </c>
    </row>
    <row r="840" spans="1:15" x14ac:dyDescent="0.45">
      <c r="D840" s="27">
        <f t="shared" si="905"/>
        <v>0</v>
      </c>
      <c r="E840" s="28">
        <f t="shared" si="906"/>
        <v>0</v>
      </c>
      <c r="F840" s="42">
        <f t="shared" si="907"/>
        <v>-3.3333333333333333E-2</v>
      </c>
      <c r="G840" s="42">
        <f t="shared" si="908"/>
        <v>-0.23333333333333334</v>
      </c>
      <c r="H840" s="42">
        <f t="shared" si="909"/>
        <v>-0.36666666666666664</v>
      </c>
      <c r="I840" s="42">
        <f t="shared" si="910"/>
        <v>-0.43333333333333335</v>
      </c>
      <c r="J840" s="42">
        <f t="shared" si="911"/>
        <v>-0.56666666666666665</v>
      </c>
      <c r="K840" s="42">
        <f t="shared" si="912"/>
        <v>-0.6333333333333333</v>
      </c>
      <c r="L840" s="42">
        <f t="shared" si="913"/>
        <v>-0.76666666666666672</v>
      </c>
      <c r="M840" s="42">
        <f t="shared" si="914"/>
        <v>-0.96666666666666667</v>
      </c>
      <c r="O840" s="43" t="str">
        <f t="shared" si="904"/>
        <v/>
      </c>
    </row>
    <row r="841" spans="1:15" x14ac:dyDescent="0.45">
      <c r="D841" s="27">
        <f t="shared" si="905"/>
        <v>0</v>
      </c>
      <c r="E841" s="28">
        <f t="shared" si="906"/>
        <v>0</v>
      </c>
      <c r="F841" s="42">
        <f t="shared" si="907"/>
        <v>-3.3333333333333333E-2</v>
      </c>
      <c r="G841" s="42">
        <f t="shared" si="908"/>
        <v>-0.23333333333333334</v>
      </c>
      <c r="H841" s="42">
        <f t="shared" si="909"/>
        <v>-0.36666666666666664</v>
      </c>
      <c r="I841" s="42">
        <f t="shared" si="910"/>
        <v>-0.43333333333333335</v>
      </c>
      <c r="J841" s="42">
        <f t="shared" si="911"/>
        <v>-0.56666666666666665</v>
      </c>
      <c r="K841" s="42">
        <f t="shared" si="912"/>
        <v>-0.6333333333333333</v>
      </c>
      <c r="L841" s="42">
        <f t="shared" si="913"/>
        <v>-0.76666666666666672</v>
      </c>
      <c r="M841" s="42">
        <f t="shared" si="914"/>
        <v>-0.96666666666666667</v>
      </c>
      <c r="O841" s="43" t="str">
        <f t="shared" si="904"/>
        <v/>
      </c>
    </row>
    <row r="842" spans="1:15" x14ac:dyDescent="0.45">
      <c r="D842" s="27">
        <f t="shared" si="905"/>
        <v>0</v>
      </c>
      <c r="E842" s="28">
        <f t="shared" si="906"/>
        <v>0</v>
      </c>
      <c r="F842" s="42">
        <f t="shared" si="907"/>
        <v>-3.3333333333333333E-2</v>
      </c>
      <c r="G842" s="42">
        <f t="shared" si="908"/>
        <v>-0.23333333333333334</v>
      </c>
      <c r="H842" s="42">
        <f t="shared" si="909"/>
        <v>-0.36666666666666664</v>
      </c>
      <c r="I842" s="42">
        <f t="shared" si="910"/>
        <v>-0.43333333333333335</v>
      </c>
      <c r="J842" s="42">
        <f t="shared" si="911"/>
        <v>-0.56666666666666665</v>
      </c>
      <c r="K842" s="42">
        <f t="shared" si="912"/>
        <v>-0.6333333333333333</v>
      </c>
      <c r="L842" s="42">
        <f t="shared" si="913"/>
        <v>-0.76666666666666672</v>
      </c>
      <c r="M842" s="42">
        <f t="shared" si="914"/>
        <v>-0.96666666666666667</v>
      </c>
      <c r="O842" s="43" t="str">
        <f t="shared" si="904"/>
        <v/>
      </c>
    </row>
    <row r="843" spans="1:15" x14ac:dyDescent="0.45">
      <c r="D843" s="27">
        <f t="shared" si="905"/>
        <v>0</v>
      </c>
      <c r="E843" s="28">
        <f t="shared" si="906"/>
        <v>0</v>
      </c>
      <c r="F843" s="42">
        <f t="shared" si="907"/>
        <v>-3.3333333333333333E-2</v>
      </c>
      <c r="G843" s="42">
        <f t="shared" si="908"/>
        <v>-0.23333333333333334</v>
      </c>
      <c r="H843" s="42">
        <f t="shared" si="909"/>
        <v>-0.36666666666666664</v>
      </c>
      <c r="I843" s="42">
        <f t="shared" si="910"/>
        <v>-0.43333333333333335</v>
      </c>
      <c r="J843" s="42">
        <f t="shared" si="911"/>
        <v>-0.56666666666666665</v>
      </c>
      <c r="K843" s="42">
        <f t="shared" si="912"/>
        <v>-0.6333333333333333</v>
      </c>
      <c r="L843" s="42">
        <f t="shared" si="913"/>
        <v>-0.76666666666666672</v>
      </c>
      <c r="M843" s="42">
        <f t="shared" si="914"/>
        <v>-0.96666666666666667</v>
      </c>
      <c r="O843" s="43" t="str">
        <f t="shared" si="904"/>
        <v/>
      </c>
    </row>
    <row r="844" spans="1:15" x14ac:dyDescent="0.45">
      <c r="D844" s="27">
        <f t="shared" si="905"/>
        <v>0</v>
      </c>
      <c r="E844" s="28">
        <f t="shared" si="906"/>
        <v>0</v>
      </c>
      <c r="F844" s="42">
        <f t="shared" si="907"/>
        <v>-3.3333333333333333E-2</v>
      </c>
      <c r="G844" s="42">
        <f t="shared" si="908"/>
        <v>-0.23333333333333334</v>
      </c>
      <c r="H844" s="42">
        <f t="shared" si="909"/>
        <v>-0.36666666666666664</v>
      </c>
      <c r="I844" s="42">
        <f t="shared" si="910"/>
        <v>-0.43333333333333335</v>
      </c>
      <c r="J844" s="42">
        <f t="shared" si="911"/>
        <v>-0.56666666666666665</v>
      </c>
      <c r="K844" s="42">
        <f t="shared" si="912"/>
        <v>-0.6333333333333333</v>
      </c>
      <c r="L844" s="42">
        <f t="shared" si="913"/>
        <v>-0.76666666666666672</v>
      </c>
      <c r="M844" s="42">
        <f t="shared" si="914"/>
        <v>-0.96666666666666667</v>
      </c>
      <c r="O844" s="43" t="str">
        <f t="shared" si="904"/>
        <v/>
      </c>
    </row>
    <row r="845" spans="1:15" ht="19.2" thickBot="1" x14ac:dyDescent="0.5">
      <c r="F845" s="42"/>
      <c r="G845" s="42"/>
      <c r="H845" s="42"/>
      <c r="I845" s="42"/>
      <c r="J845" s="42"/>
      <c r="K845" s="42"/>
      <c r="L845" s="42"/>
      <c r="M845" s="42"/>
    </row>
    <row r="846" spans="1:15" ht="19.2" thickBot="1" x14ac:dyDescent="0.5">
      <c r="C846" s="44"/>
      <c r="E846" s="34">
        <f>E827</f>
        <v>0</v>
      </c>
      <c r="F846" s="45">
        <v>1</v>
      </c>
      <c r="G846" s="46">
        <v>7</v>
      </c>
      <c r="H846" s="46">
        <v>11</v>
      </c>
      <c r="I846" s="46">
        <v>13</v>
      </c>
      <c r="J846" s="46">
        <v>17</v>
      </c>
      <c r="K846" s="46">
        <v>19</v>
      </c>
      <c r="L846" s="46">
        <v>23</v>
      </c>
      <c r="M846" s="47">
        <v>29</v>
      </c>
      <c r="O846" s="27" t="s">
        <v>2</v>
      </c>
    </row>
    <row r="847" spans="1:15" x14ac:dyDescent="0.45">
      <c r="A847" s="29">
        <f>A837+1</f>
        <v>84</v>
      </c>
      <c r="D847" s="27">
        <f>C837</f>
        <v>0</v>
      </c>
      <c r="E847" s="28">
        <f>D847*$E$6</f>
        <v>0</v>
      </c>
      <c r="F847" s="42">
        <f>(E847-1)/30</f>
        <v>-3.3333333333333333E-2</v>
      </c>
      <c r="G847" s="42">
        <f>($E847-7)/30</f>
        <v>-0.23333333333333334</v>
      </c>
      <c r="H847" s="42">
        <f>($E847-11)/30</f>
        <v>-0.36666666666666664</v>
      </c>
      <c r="I847" s="42">
        <f>($E847-13)/30</f>
        <v>-0.43333333333333335</v>
      </c>
      <c r="J847" s="42">
        <f>($E847-17)/30</f>
        <v>-0.56666666666666665</v>
      </c>
      <c r="K847" s="42">
        <f>($E847-19)/30</f>
        <v>-0.6333333333333333</v>
      </c>
      <c r="L847" s="42">
        <f>($E847-23)/30</f>
        <v>-0.76666666666666672</v>
      </c>
      <c r="M847" s="42">
        <f>($E847-29)/30</f>
        <v>-0.96666666666666667</v>
      </c>
      <c r="O847" s="43" t="str">
        <f t="shared" ref="O847:O854" si="915">FactorNumber(E847)</f>
        <v/>
      </c>
    </row>
    <row r="848" spans="1:15" x14ac:dyDescent="0.45">
      <c r="D848" s="27">
        <f t="shared" ref="D848:D854" si="916">C838</f>
        <v>0</v>
      </c>
      <c r="E848" s="28">
        <f t="shared" ref="E848:E854" si="917">D848*$E$6</f>
        <v>0</v>
      </c>
      <c r="F848" s="42">
        <f t="shared" ref="F848:F854" si="918">(E848-1)/30</f>
        <v>-3.3333333333333333E-2</v>
      </c>
      <c r="G848" s="42">
        <f t="shared" ref="G848:G854" si="919">($E848-7)/30</f>
        <v>-0.23333333333333334</v>
      </c>
      <c r="H848" s="42">
        <f t="shared" ref="H848:H854" si="920">($E848-11)/30</f>
        <v>-0.36666666666666664</v>
      </c>
      <c r="I848" s="42">
        <f t="shared" ref="I848:I854" si="921">($E848-13)/30</f>
        <v>-0.43333333333333335</v>
      </c>
      <c r="J848" s="42">
        <f t="shared" ref="J848:J854" si="922">($E848-17)/30</f>
        <v>-0.56666666666666665</v>
      </c>
      <c r="K848" s="42">
        <f t="shared" ref="K848:K854" si="923">($E848-19)/30</f>
        <v>-0.6333333333333333</v>
      </c>
      <c r="L848" s="42">
        <f t="shared" ref="L848:L854" si="924">($E848-23)/30</f>
        <v>-0.76666666666666672</v>
      </c>
      <c r="M848" s="42">
        <f t="shared" ref="M848:M854" si="925">($E848-29)/30</f>
        <v>-0.96666666666666667</v>
      </c>
      <c r="O848" s="43" t="str">
        <f t="shared" si="915"/>
        <v/>
      </c>
    </row>
    <row r="849" spans="1:15" x14ac:dyDescent="0.45">
      <c r="D849" s="27">
        <f t="shared" si="916"/>
        <v>0</v>
      </c>
      <c r="E849" s="28">
        <f t="shared" si="917"/>
        <v>0</v>
      </c>
      <c r="F849" s="42">
        <f t="shared" si="918"/>
        <v>-3.3333333333333333E-2</v>
      </c>
      <c r="G849" s="42">
        <f t="shared" si="919"/>
        <v>-0.23333333333333334</v>
      </c>
      <c r="H849" s="42">
        <f t="shared" si="920"/>
        <v>-0.36666666666666664</v>
      </c>
      <c r="I849" s="42">
        <f t="shared" si="921"/>
        <v>-0.43333333333333335</v>
      </c>
      <c r="J849" s="42">
        <f t="shared" si="922"/>
        <v>-0.56666666666666665</v>
      </c>
      <c r="K849" s="42">
        <f t="shared" si="923"/>
        <v>-0.6333333333333333</v>
      </c>
      <c r="L849" s="42">
        <f t="shared" si="924"/>
        <v>-0.76666666666666672</v>
      </c>
      <c r="M849" s="42">
        <f t="shared" si="925"/>
        <v>-0.96666666666666667</v>
      </c>
      <c r="O849" s="43" t="str">
        <f t="shared" si="915"/>
        <v/>
      </c>
    </row>
    <row r="850" spans="1:15" x14ac:dyDescent="0.45">
      <c r="D850" s="27">
        <f t="shared" si="916"/>
        <v>0</v>
      </c>
      <c r="E850" s="28">
        <f t="shared" si="917"/>
        <v>0</v>
      </c>
      <c r="F850" s="42">
        <f t="shared" si="918"/>
        <v>-3.3333333333333333E-2</v>
      </c>
      <c r="G850" s="42">
        <f t="shared" si="919"/>
        <v>-0.23333333333333334</v>
      </c>
      <c r="H850" s="42">
        <f t="shared" si="920"/>
        <v>-0.36666666666666664</v>
      </c>
      <c r="I850" s="42">
        <f t="shared" si="921"/>
        <v>-0.43333333333333335</v>
      </c>
      <c r="J850" s="42">
        <f t="shared" si="922"/>
        <v>-0.56666666666666665</v>
      </c>
      <c r="K850" s="42">
        <f t="shared" si="923"/>
        <v>-0.6333333333333333</v>
      </c>
      <c r="L850" s="42">
        <f t="shared" si="924"/>
        <v>-0.76666666666666672</v>
      </c>
      <c r="M850" s="42">
        <f t="shared" si="925"/>
        <v>-0.96666666666666667</v>
      </c>
      <c r="O850" s="43" t="str">
        <f t="shared" si="915"/>
        <v/>
      </c>
    </row>
    <row r="851" spans="1:15" x14ac:dyDescent="0.45">
      <c r="D851" s="27">
        <f t="shared" si="916"/>
        <v>0</v>
      </c>
      <c r="E851" s="28">
        <f t="shared" si="917"/>
        <v>0</v>
      </c>
      <c r="F851" s="42">
        <f t="shared" si="918"/>
        <v>-3.3333333333333333E-2</v>
      </c>
      <c r="G851" s="42">
        <f t="shared" si="919"/>
        <v>-0.23333333333333334</v>
      </c>
      <c r="H851" s="42">
        <f t="shared" si="920"/>
        <v>-0.36666666666666664</v>
      </c>
      <c r="I851" s="42">
        <f t="shared" si="921"/>
        <v>-0.43333333333333335</v>
      </c>
      <c r="J851" s="42">
        <f t="shared" si="922"/>
        <v>-0.56666666666666665</v>
      </c>
      <c r="K851" s="42">
        <f t="shared" si="923"/>
        <v>-0.6333333333333333</v>
      </c>
      <c r="L851" s="42">
        <f t="shared" si="924"/>
        <v>-0.76666666666666672</v>
      </c>
      <c r="M851" s="42">
        <f t="shared" si="925"/>
        <v>-0.96666666666666667</v>
      </c>
      <c r="O851" s="43" t="str">
        <f t="shared" si="915"/>
        <v/>
      </c>
    </row>
    <row r="852" spans="1:15" x14ac:dyDescent="0.45">
      <c r="D852" s="27">
        <f t="shared" si="916"/>
        <v>0</v>
      </c>
      <c r="E852" s="28">
        <f t="shared" si="917"/>
        <v>0</v>
      </c>
      <c r="F852" s="42">
        <f t="shared" si="918"/>
        <v>-3.3333333333333333E-2</v>
      </c>
      <c r="G852" s="42">
        <f t="shared" si="919"/>
        <v>-0.23333333333333334</v>
      </c>
      <c r="H852" s="42">
        <f t="shared" si="920"/>
        <v>-0.36666666666666664</v>
      </c>
      <c r="I852" s="42">
        <f t="shared" si="921"/>
        <v>-0.43333333333333335</v>
      </c>
      <c r="J852" s="42">
        <f t="shared" si="922"/>
        <v>-0.56666666666666665</v>
      </c>
      <c r="K852" s="42">
        <f t="shared" si="923"/>
        <v>-0.6333333333333333</v>
      </c>
      <c r="L852" s="42">
        <f t="shared" si="924"/>
        <v>-0.76666666666666672</v>
      </c>
      <c r="M852" s="42">
        <f t="shared" si="925"/>
        <v>-0.96666666666666667</v>
      </c>
      <c r="O852" s="43" t="str">
        <f t="shared" si="915"/>
        <v/>
      </c>
    </row>
    <row r="853" spans="1:15" x14ac:dyDescent="0.45">
      <c r="D853" s="27">
        <f t="shared" si="916"/>
        <v>0</v>
      </c>
      <c r="E853" s="28">
        <f t="shared" si="917"/>
        <v>0</v>
      </c>
      <c r="F853" s="42">
        <f t="shared" si="918"/>
        <v>-3.3333333333333333E-2</v>
      </c>
      <c r="G853" s="42">
        <f t="shared" si="919"/>
        <v>-0.23333333333333334</v>
      </c>
      <c r="H853" s="42">
        <f t="shared" si="920"/>
        <v>-0.36666666666666664</v>
      </c>
      <c r="I853" s="42">
        <f t="shared" si="921"/>
        <v>-0.43333333333333335</v>
      </c>
      <c r="J853" s="42">
        <f t="shared" si="922"/>
        <v>-0.56666666666666665</v>
      </c>
      <c r="K853" s="42">
        <f t="shared" si="923"/>
        <v>-0.6333333333333333</v>
      </c>
      <c r="L853" s="42">
        <f t="shared" si="924"/>
        <v>-0.76666666666666672</v>
      </c>
      <c r="M853" s="42">
        <f t="shared" si="925"/>
        <v>-0.96666666666666667</v>
      </c>
      <c r="O853" s="43" t="str">
        <f t="shared" si="915"/>
        <v/>
      </c>
    </row>
    <row r="854" spans="1:15" x14ac:dyDescent="0.45">
      <c r="D854" s="27">
        <f t="shared" si="916"/>
        <v>0</v>
      </c>
      <c r="E854" s="28">
        <f t="shared" si="917"/>
        <v>0</v>
      </c>
      <c r="F854" s="42">
        <f t="shared" si="918"/>
        <v>-3.3333333333333333E-2</v>
      </c>
      <c r="G854" s="42">
        <f t="shared" si="919"/>
        <v>-0.23333333333333334</v>
      </c>
      <c r="H854" s="42">
        <f t="shared" si="920"/>
        <v>-0.36666666666666664</v>
      </c>
      <c r="I854" s="42">
        <f t="shared" si="921"/>
        <v>-0.43333333333333335</v>
      </c>
      <c r="J854" s="42">
        <f t="shared" si="922"/>
        <v>-0.56666666666666665</v>
      </c>
      <c r="K854" s="42">
        <f t="shared" si="923"/>
        <v>-0.6333333333333333</v>
      </c>
      <c r="L854" s="42">
        <f t="shared" si="924"/>
        <v>-0.76666666666666672</v>
      </c>
      <c r="M854" s="42">
        <f t="shared" si="925"/>
        <v>-0.96666666666666667</v>
      </c>
      <c r="O854" s="43" t="str">
        <f t="shared" si="915"/>
        <v/>
      </c>
    </row>
    <row r="855" spans="1:15" ht="19.2" thickBot="1" x14ac:dyDescent="0.5">
      <c r="F855" s="42"/>
      <c r="G855" s="42"/>
      <c r="H855" s="42"/>
      <c r="I855" s="42"/>
      <c r="J855" s="42"/>
      <c r="K855" s="42"/>
      <c r="L855" s="42"/>
      <c r="M855" s="42"/>
    </row>
    <row r="856" spans="1:15" ht="19.2" thickBot="1" x14ac:dyDescent="0.5">
      <c r="C856" s="44"/>
      <c r="E856" s="34">
        <f>E837</f>
        <v>0</v>
      </c>
      <c r="F856" s="45">
        <v>1</v>
      </c>
      <c r="G856" s="46">
        <v>7</v>
      </c>
      <c r="H856" s="46">
        <v>11</v>
      </c>
      <c r="I856" s="46">
        <v>13</v>
      </c>
      <c r="J856" s="46">
        <v>17</v>
      </c>
      <c r="K856" s="46">
        <v>19</v>
      </c>
      <c r="L856" s="46">
        <v>23</v>
      </c>
      <c r="M856" s="47">
        <v>29</v>
      </c>
      <c r="O856" s="27" t="s">
        <v>2</v>
      </c>
    </row>
    <row r="857" spans="1:15" x14ac:dyDescent="0.45">
      <c r="A857" s="29">
        <f>A847+1</f>
        <v>85</v>
      </c>
      <c r="D857" s="27">
        <f>C847</f>
        <v>0</v>
      </c>
      <c r="E857" s="28">
        <f>D857*$E$6</f>
        <v>0</v>
      </c>
      <c r="F857" s="42">
        <f>(E857-1)/30</f>
        <v>-3.3333333333333333E-2</v>
      </c>
      <c r="G857" s="42">
        <f>($E857-7)/30</f>
        <v>-0.23333333333333334</v>
      </c>
      <c r="H857" s="42">
        <f>($E857-11)/30</f>
        <v>-0.36666666666666664</v>
      </c>
      <c r="I857" s="42">
        <f>($E857-13)/30</f>
        <v>-0.43333333333333335</v>
      </c>
      <c r="J857" s="42">
        <f>($E857-17)/30</f>
        <v>-0.56666666666666665</v>
      </c>
      <c r="K857" s="42">
        <f>($E857-19)/30</f>
        <v>-0.6333333333333333</v>
      </c>
      <c r="L857" s="42">
        <f>($E857-23)/30</f>
        <v>-0.76666666666666672</v>
      </c>
      <c r="M857" s="42">
        <f>($E857-29)/30</f>
        <v>-0.96666666666666667</v>
      </c>
      <c r="O857" s="43" t="str">
        <f t="shared" ref="O857:O864" si="926">FactorNumber(E857)</f>
        <v/>
      </c>
    </row>
    <row r="858" spans="1:15" x14ac:dyDescent="0.45">
      <c r="D858" s="27">
        <f t="shared" ref="D858:D864" si="927">C848</f>
        <v>0</v>
      </c>
      <c r="E858" s="28">
        <f t="shared" ref="E858:E864" si="928">D858*$E$6</f>
        <v>0</v>
      </c>
      <c r="F858" s="42">
        <f t="shared" ref="F858:F864" si="929">(E858-1)/30</f>
        <v>-3.3333333333333333E-2</v>
      </c>
      <c r="G858" s="42">
        <f t="shared" ref="G858:G864" si="930">($E858-7)/30</f>
        <v>-0.23333333333333334</v>
      </c>
      <c r="H858" s="42">
        <f t="shared" ref="H858:H864" si="931">($E858-11)/30</f>
        <v>-0.36666666666666664</v>
      </c>
      <c r="I858" s="42">
        <f t="shared" ref="I858:I864" si="932">($E858-13)/30</f>
        <v>-0.43333333333333335</v>
      </c>
      <c r="J858" s="42">
        <f t="shared" ref="J858:J864" si="933">($E858-17)/30</f>
        <v>-0.56666666666666665</v>
      </c>
      <c r="K858" s="42">
        <f t="shared" ref="K858:K864" si="934">($E858-19)/30</f>
        <v>-0.6333333333333333</v>
      </c>
      <c r="L858" s="42">
        <f t="shared" ref="L858:L864" si="935">($E858-23)/30</f>
        <v>-0.76666666666666672</v>
      </c>
      <c r="M858" s="42">
        <f t="shared" ref="M858:M864" si="936">($E858-29)/30</f>
        <v>-0.96666666666666667</v>
      </c>
      <c r="O858" s="43" t="str">
        <f t="shared" si="926"/>
        <v/>
      </c>
    </row>
    <row r="859" spans="1:15" x14ac:dyDescent="0.45">
      <c r="D859" s="27">
        <f t="shared" si="927"/>
        <v>0</v>
      </c>
      <c r="E859" s="28">
        <f t="shared" si="928"/>
        <v>0</v>
      </c>
      <c r="F859" s="42">
        <f t="shared" si="929"/>
        <v>-3.3333333333333333E-2</v>
      </c>
      <c r="G859" s="42">
        <f t="shared" si="930"/>
        <v>-0.23333333333333334</v>
      </c>
      <c r="H859" s="42">
        <f t="shared" si="931"/>
        <v>-0.36666666666666664</v>
      </c>
      <c r="I859" s="42">
        <f t="shared" si="932"/>
        <v>-0.43333333333333335</v>
      </c>
      <c r="J859" s="42">
        <f t="shared" si="933"/>
        <v>-0.56666666666666665</v>
      </c>
      <c r="K859" s="42">
        <f t="shared" si="934"/>
        <v>-0.6333333333333333</v>
      </c>
      <c r="L859" s="42">
        <f t="shared" si="935"/>
        <v>-0.76666666666666672</v>
      </c>
      <c r="M859" s="42">
        <f t="shared" si="936"/>
        <v>-0.96666666666666667</v>
      </c>
      <c r="O859" s="43" t="str">
        <f t="shared" si="926"/>
        <v/>
      </c>
    </row>
    <row r="860" spans="1:15" x14ac:dyDescent="0.45">
      <c r="D860" s="27">
        <f t="shared" si="927"/>
        <v>0</v>
      </c>
      <c r="E860" s="28">
        <f t="shared" si="928"/>
        <v>0</v>
      </c>
      <c r="F860" s="42">
        <f t="shared" si="929"/>
        <v>-3.3333333333333333E-2</v>
      </c>
      <c r="G860" s="42">
        <f t="shared" si="930"/>
        <v>-0.23333333333333334</v>
      </c>
      <c r="H860" s="42">
        <f t="shared" si="931"/>
        <v>-0.36666666666666664</v>
      </c>
      <c r="I860" s="42">
        <f t="shared" si="932"/>
        <v>-0.43333333333333335</v>
      </c>
      <c r="J860" s="42">
        <f t="shared" si="933"/>
        <v>-0.56666666666666665</v>
      </c>
      <c r="K860" s="42">
        <f t="shared" si="934"/>
        <v>-0.6333333333333333</v>
      </c>
      <c r="L860" s="42">
        <f t="shared" si="935"/>
        <v>-0.76666666666666672</v>
      </c>
      <c r="M860" s="42">
        <f t="shared" si="936"/>
        <v>-0.96666666666666667</v>
      </c>
      <c r="O860" s="43" t="str">
        <f t="shared" si="926"/>
        <v/>
      </c>
    </row>
    <row r="861" spans="1:15" x14ac:dyDescent="0.45">
      <c r="D861" s="27">
        <f t="shared" si="927"/>
        <v>0</v>
      </c>
      <c r="E861" s="28">
        <f t="shared" si="928"/>
        <v>0</v>
      </c>
      <c r="F861" s="42">
        <f t="shared" si="929"/>
        <v>-3.3333333333333333E-2</v>
      </c>
      <c r="G861" s="42">
        <f t="shared" si="930"/>
        <v>-0.23333333333333334</v>
      </c>
      <c r="H861" s="42">
        <f t="shared" si="931"/>
        <v>-0.36666666666666664</v>
      </c>
      <c r="I861" s="42">
        <f t="shared" si="932"/>
        <v>-0.43333333333333335</v>
      </c>
      <c r="J861" s="42">
        <f t="shared" si="933"/>
        <v>-0.56666666666666665</v>
      </c>
      <c r="K861" s="42">
        <f t="shared" si="934"/>
        <v>-0.6333333333333333</v>
      </c>
      <c r="L861" s="42">
        <f t="shared" si="935"/>
        <v>-0.76666666666666672</v>
      </c>
      <c r="M861" s="42">
        <f t="shared" si="936"/>
        <v>-0.96666666666666667</v>
      </c>
      <c r="O861" s="43" t="str">
        <f t="shared" si="926"/>
        <v/>
      </c>
    </row>
    <row r="862" spans="1:15" x14ac:dyDescent="0.45">
      <c r="D862" s="27">
        <f t="shared" si="927"/>
        <v>0</v>
      </c>
      <c r="E862" s="28">
        <f t="shared" si="928"/>
        <v>0</v>
      </c>
      <c r="F862" s="42">
        <f t="shared" si="929"/>
        <v>-3.3333333333333333E-2</v>
      </c>
      <c r="G862" s="42">
        <f t="shared" si="930"/>
        <v>-0.23333333333333334</v>
      </c>
      <c r="H862" s="42">
        <f t="shared" si="931"/>
        <v>-0.36666666666666664</v>
      </c>
      <c r="I862" s="42">
        <f t="shared" si="932"/>
        <v>-0.43333333333333335</v>
      </c>
      <c r="J862" s="42">
        <f t="shared" si="933"/>
        <v>-0.56666666666666665</v>
      </c>
      <c r="K862" s="42">
        <f t="shared" si="934"/>
        <v>-0.6333333333333333</v>
      </c>
      <c r="L862" s="42">
        <f t="shared" si="935"/>
        <v>-0.76666666666666672</v>
      </c>
      <c r="M862" s="42">
        <f t="shared" si="936"/>
        <v>-0.96666666666666667</v>
      </c>
      <c r="O862" s="43" t="str">
        <f t="shared" si="926"/>
        <v/>
      </c>
    </row>
    <row r="863" spans="1:15" x14ac:dyDescent="0.45">
      <c r="D863" s="27">
        <f t="shared" si="927"/>
        <v>0</v>
      </c>
      <c r="E863" s="28">
        <f t="shared" si="928"/>
        <v>0</v>
      </c>
      <c r="F863" s="42">
        <f t="shared" si="929"/>
        <v>-3.3333333333333333E-2</v>
      </c>
      <c r="G863" s="42">
        <f t="shared" si="930"/>
        <v>-0.23333333333333334</v>
      </c>
      <c r="H863" s="42">
        <f t="shared" si="931"/>
        <v>-0.36666666666666664</v>
      </c>
      <c r="I863" s="42">
        <f t="shared" si="932"/>
        <v>-0.43333333333333335</v>
      </c>
      <c r="J863" s="42">
        <f t="shared" si="933"/>
        <v>-0.56666666666666665</v>
      </c>
      <c r="K863" s="42">
        <f t="shared" si="934"/>
        <v>-0.6333333333333333</v>
      </c>
      <c r="L863" s="42">
        <f t="shared" si="935"/>
        <v>-0.76666666666666672</v>
      </c>
      <c r="M863" s="42">
        <f t="shared" si="936"/>
        <v>-0.96666666666666667</v>
      </c>
      <c r="O863" s="43" t="str">
        <f t="shared" si="926"/>
        <v/>
      </c>
    </row>
    <row r="864" spans="1:15" x14ac:dyDescent="0.45">
      <c r="D864" s="27">
        <f t="shared" si="927"/>
        <v>0</v>
      </c>
      <c r="E864" s="28">
        <f t="shared" si="928"/>
        <v>0</v>
      </c>
      <c r="F864" s="42">
        <f t="shared" si="929"/>
        <v>-3.3333333333333333E-2</v>
      </c>
      <c r="G864" s="42">
        <f t="shared" si="930"/>
        <v>-0.23333333333333334</v>
      </c>
      <c r="H864" s="42">
        <f t="shared" si="931"/>
        <v>-0.36666666666666664</v>
      </c>
      <c r="I864" s="42">
        <f t="shared" si="932"/>
        <v>-0.43333333333333335</v>
      </c>
      <c r="J864" s="42">
        <f t="shared" si="933"/>
        <v>-0.56666666666666665</v>
      </c>
      <c r="K864" s="42">
        <f t="shared" si="934"/>
        <v>-0.6333333333333333</v>
      </c>
      <c r="L864" s="42">
        <f t="shared" si="935"/>
        <v>-0.76666666666666672</v>
      </c>
      <c r="M864" s="42">
        <f t="shared" si="936"/>
        <v>-0.96666666666666667</v>
      </c>
      <c r="O864" s="43" t="str">
        <f t="shared" si="926"/>
        <v/>
      </c>
    </row>
    <row r="865" spans="1:15" ht="19.2" thickBot="1" x14ac:dyDescent="0.5">
      <c r="F865" s="42"/>
      <c r="G865" s="42"/>
      <c r="H865" s="42"/>
      <c r="I865" s="42"/>
      <c r="J865" s="42"/>
      <c r="K865" s="42"/>
      <c r="L865" s="42"/>
      <c r="M865" s="42"/>
    </row>
    <row r="866" spans="1:15" ht="19.2" thickBot="1" x14ac:dyDescent="0.5">
      <c r="C866" s="44"/>
      <c r="E866" s="34">
        <f>E847</f>
        <v>0</v>
      </c>
      <c r="F866" s="45">
        <v>1</v>
      </c>
      <c r="G866" s="46">
        <v>7</v>
      </c>
      <c r="H866" s="46">
        <v>11</v>
      </c>
      <c r="I866" s="46">
        <v>13</v>
      </c>
      <c r="J866" s="46">
        <v>17</v>
      </c>
      <c r="K866" s="46">
        <v>19</v>
      </c>
      <c r="L866" s="46">
        <v>23</v>
      </c>
      <c r="M866" s="47">
        <v>29</v>
      </c>
      <c r="O866" s="27" t="s">
        <v>2</v>
      </c>
    </row>
    <row r="867" spans="1:15" x14ac:dyDescent="0.45">
      <c r="A867" s="29">
        <f>A857+1</f>
        <v>86</v>
      </c>
      <c r="D867" s="27">
        <f>C857</f>
        <v>0</v>
      </c>
      <c r="E867" s="28">
        <f>D867*$E$6</f>
        <v>0</v>
      </c>
      <c r="F867" s="42">
        <f>(E867-1)/30</f>
        <v>-3.3333333333333333E-2</v>
      </c>
      <c r="G867" s="42">
        <f>($E867-7)/30</f>
        <v>-0.23333333333333334</v>
      </c>
      <c r="H867" s="42">
        <f>($E867-11)/30</f>
        <v>-0.36666666666666664</v>
      </c>
      <c r="I867" s="42">
        <f>($E867-13)/30</f>
        <v>-0.43333333333333335</v>
      </c>
      <c r="J867" s="42">
        <f>($E867-17)/30</f>
        <v>-0.56666666666666665</v>
      </c>
      <c r="K867" s="42">
        <f>($E867-19)/30</f>
        <v>-0.6333333333333333</v>
      </c>
      <c r="L867" s="42">
        <f>($E867-23)/30</f>
        <v>-0.76666666666666672</v>
      </c>
      <c r="M867" s="42">
        <f>($E867-29)/30</f>
        <v>-0.96666666666666667</v>
      </c>
      <c r="O867" s="43" t="str">
        <f t="shared" ref="O867:O874" si="937">FactorNumber(E867)</f>
        <v/>
      </c>
    </row>
    <row r="868" spans="1:15" x14ac:dyDescent="0.45">
      <c r="D868" s="27">
        <f t="shared" ref="D868:D874" si="938">C858</f>
        <v>0</v>
      </c>
      <c r="E868" s="28">
        <f t="shared" ref="E868:E874" si="939">D868*$E$6</f>
        <v>0</v>
      </c>
      <c r="F868" s="42">
        <f t="shared" ref="F868:F874" si="940">(E868-1)/30</f>
        <v>-3.3333333333333333E-2</v>
      </c>
      <c r="G868" s="42">
        <f t="shared" ref="G868:G874" si="941">($E868-7)/30</f>
        <v>-0.23333333333333334</v>
      </c>
      <c r="H868" s="42">
        <f t="shared" ref="H868:H874" si="942">($E868-11)/30</f>
        <v>-0.36666666666666664</v>
      </c>
      <c r="I868" s="42">
        <f t="shared" ref="I868:I874" si="943">($E868-13)/30</f>
        <v>-0.43333333333333335</v>
      </c>
      <c r="J868" s="42">
        <f t="shared" ref="J868:J874" si="944">($E868-17)/30</f>
        <v>-0.56666666666666665</v>
      </c>
      <c r="K868" s="42">
        <f t="shared" ref="K868:K874" si="945">($E868-19)/30</f>
        <v>-0.6333333333333333</v>
      </c>
      <c r="L868" s="42">
        <f t="shared" ref="L868:L874" si="946">($E868-23)/30</f>
        <v>-0.76666666666666672</v>
      </c>
      <c r="M868" s="42">
        <f t="shared" ref="M868:M874" si="947">($E868-29)/30</f>
        <v>-0.96666666666666667</v>
      </c>
      <c r="O868" s="43" t="str">
        <f t="shared" si="937"/>
        <v/>
      </c>
    </row>
    <row r="869" spans="1:15" x14ac:dyDescent="0.45">
      <c r="D869" s="27">
        <f t="shared" si="938"/>
        <v>0</v>
      </c>
      <c r="E869" s="28">
        <f t="shared" si="939"/>
        <v>0</v>
      </c>
      <c r="F869" s="42">
        <f t="shared" si="940"/>
        <v>-3.3333333333333333E-2</v>
      </c>
      <c r="G869" s="42">
        <f t="shared" si="941"/>
        <v>-0.23333333333333334</v>
      </c>
      <c r="H869" s="42">
        <f t="shared" si="942"/>
        <v>-0.36666666666666664</v>
      </c>
      <c r="I869" s="42">
        <f t="shared" si="943"/>
        <v>-0.43333333333333335</v>
      </c>
      <c r="J869" s="42">
        <f t="shared" si="944"/>
        <v>-0.56666666666666665</v>
      </c>
      <c r="K869" s="42">
        <f t="shared" si="945"/>
        <v>-0.6333333333333333</v>
      </c>
      <c r="L869" s="42">
        <f t="shared" si="946"/>
        <v>-0.76666666666666672</v>
      </c>
      <c r="M869" s="42">
        <f t="shared" si="947"/>
        <v>-0.96666666666666667</v>
      </c>
      <c r="O869" s="43" t="str">
        <f t="shared" si="937"/>
        <v/>
      </c>
    </row>
    <row r="870" spans="1:15" x14ac:dyDescent="0.45">
      <c r="D870" s="27">
        <f t="shared" si="938"/>
        <v>0</v>
      </c>
      <c r="E870" s="28">
        <f t="shared" si="939"/>
        <v>0</v>
      </c>
      <c r="F870" s="42">
        <f t="shared" si="940"/>
        <v>-3.3333333333333333E-2</v>
      </c>
      <c r="G870" s="42">
        <f t="shared" si="941"/>
        <v>-0.23333333333333334</v>
      </c>
      <c r="H870" s="42">
        <f t="shared" si="942"/>
        <v>-0.36666666666666664</v>
      </c>
      <c r="I870" s="42">
        <f t="shared" si="943"/>
        <v>-0.43333333333333335</v>
      </c>
      <c r="J870" s="42">
        <f t="shared" si="944"/>
        <v>-0.56666666666666665</v>
      </c>
      <c r="K870" s="42">
        <f t="shared" si="945"/>
        <v>-0.6333333333333333</v>
      </c>
      <c r="L870" s="42">
        <f t="shared" si="946"/>
        <v>-0.76666666666666672</v>
      </c>
      <c r="M870" s="42">
        <f t="shared" si="947"/>
        <v>-0.96666666666666667</v>
      </c>
      <c r="O870" s="43" t="str">
        <f t="shared" si="937"/>
        <v/>
      </c>
    </row>
    <row r="871" spans="1:15" x14ac:dyDescent="0.45">
      <c r="D871" s="27">
        <f t="shared" si="938"/>
        <v>0</v>
      </c>
      <c r="E871" s="28">
        <f t="shared" si="939"/>
        <v>0</v>
      </c>
      <c r="F871" s="42">
        <f t="shared" si="940"/>
        <v>-3.3333333333333333E-2</v>
      </c>
      <c r="G871" s="42">
        <f t="shared" si="941"/>
        <v>-0.23333333333333334</v>
      </c>
      <c r="H871" s="42">
        <f t="shared" si="942"/>
        <v>-0.36666666666666664</v>
      </c>
      <c r="I871" s="42">
        <f t="shared" si="943"/>
        <v>-0.43333333333333335</v>
      </c>
      <c r="J871" s="42">
        <f t="shared" si="944"/>
        <v>-0.56666666666666665</v>
      </c>
      <c r="K871" s="42">
        <f t="shared" si="945"/>
        <v>-0.6333333333333333</v>
      </c>
      <c r="L871" s="42">
        <f t="shared" si="946"/>
        <v>-0.76666666666666672</v>
      </c>
      <c r="M871" s="42">
        <f t="shared" si="947"/>
        <v>-0.96666666666666667</v>
      </c>
      <c r="O871" s="43" t="str">
        <f t="shared" si="937"/>
        <v/>
      </c>
    </row>
    <row r="872" spans="1:15" x14ac:dyDescent="0.45">
      <c r="D872" s="27">
        <f t="shared" si="938"/>
        <v>0</v>
      </c>
      <c r="E872" s="28">
        <f t="shared" si="939"/>
        <v>0</v>
      </c>
      <c r="F872" s="42">
        <f t="shared" si="940"/>
        <v>-3.3333333333333333E-2</v>
      </c>
      <c r="G872" s="42">
        <f t="shared" si="941"/>
        <v>-0.23333333333333334</v>
      </c>
      <c r="H872" s="42">
        <f t="shared" si="942"/>
        <v>-0.36666666666666664</v>
      </c>
      <c r="I872" s="42">
        <f t="shared" si="943"/>
        <v>-0.43333333333333335</v>
      </c>
      <c r="J872" s="42">
        <f t="shared" si="944"/>
        <v>-0.56666666666666665</v>
      </c>
      <c r="K872" s="42">
        <f t="shared" si="945"/>
        <v>-0.6333333333333333</v>
      </c>
      <c r="L872" s="42">
        <f t="shared" si="946"/>
        <v>-0.76666666666666672</v>
      </c>
      <c r="M872" s="42">
        <f t="shared" si="947"/>
        <v>-0.96666666666666667</v>
      </c>
      <c r="O872" s="43" t="str">
        <f t="shared" si="937"/>
        <v/>
      </c>
    </row>
    <row r="873" spans="1:15" x14ac:dyDescent="0.45">
      <c r="D873" s="27">
        <f t="shared" si="938"/>
        <v>0</v>
      </c>
      <c r="E873" s="28">
        <f t="shared" si="939"/>
        <v>0</v>
      </c>
      <c r="F873" s="42">
        <f t="shared" si="940"/>
        <v>-3.3333333333333333E-2</v>
      </c>
      <c r="G873" s="42">
        <f t="shared" si="941"/>
        <v>-0.23333333333333334</v>
      </c>
      <c r="H873" s="42">
        <f t="shared" si="942"/>
        <v>-0.36666666666666664</v>
      </c>
      <c r="I873" s="42">
        <f t="shared" si="943"/>
        <v>-0.43333333333333335</v>
      </c>
      <c r="J873" s="42">
        <f t="shared" si="944"/>
        <v>-0.56666666666666665</v>
      </c>
      <c r="K873" s="42">
        <f t="shared" si="945"/>
        <v>-0.6333333333333333</v>
      </c>
      <c r="L873" s="42">
        <f t="shared" si="946"/>
        <v>-0.76666666666666672</v>
      </c>
      <c r="M873" s="42">
        <f t="shared" si="947"/>
        <v>-0.96666666666666667</v>
      </c>
      <c r="O873" s="43" t="str">
        <f t="shared" si="937"/>
        <v/>
      </c>
    </row>
    <row r="874" spans="1:15" x14ac:dyDescent="0.45">
      <c r="D874" s="27">
        <f t="shared" si="938"/>
        <v>0</v>
      </c>
      <c r="E874" s="28">
        <f t="shared" si="939"/>
        <v>0</v>
      </c>
      <c r="F874" s="42">
        <f t="shared" si="940"/>
        <v>-3.3333333333333333E-2</v>
      </c>
      <c r="G874" s="42">
        <f t="shared" si="941"/>
        <v>-0.23333333333333334</v>
      </c>
      <c r="H874" s="42">
        <f t="shared" si="942"/>
        <v>-0.36666666666666664</v>
      </c>
      <c r="I874" s="42">
        <f t="shared" si="943"/>
        <v>-0.43333333333333335</v>
      </c>
      <c r="J874" s="42">
        <f t="shared" si="944"/>
        <v>-0.56666666666666665</v>
      </c>
      <c r="K874" s="42">
        <f t="shared" si="945"/>
        <v>-0.6333333333333333</v>
      </c>
      <c r="L874" s="42">
        <f t="shared" si="946"/>
        <v>-0.76666666666666672</v>
      </c>
      <c r="M874" s="42">
        <f t="shared" si="947"/>
        <v>-0.96666666666666667</v>
      </c>
      <c r="O874" s="43" t="str">
        <f t="shared" si="937"/>
        <v/>
      </c>
    </row>
    <row r="875" spans="1:15" ht="19.2" thickBot="1" x14ac:dyDescent="0.5">
      <c r="F875" s="42"/>
      <c r="G875" s="42"/>
      <c r="H875" s="42"/>
      <c r="I875" s="42"/>
      <c r="J875" s="42"/>
      <c r="K875" s="42"/>
      <c r="L875" s="42"/>
      <c r="M875" s="42"/>
    </row>
    <row r="876" spans="1:15" ht="19.2" thickBot="1" x14ac:dyDescent="0.5">
      <c r="C876" s="44"/>
      <c r="E876" s="34">
        <f>E857</f>
        <v>0</v>
      </c>
      <c r="F876" s="45">
        <v>1</v>
      </c>
      <c r="G876" s="46">
        <v>7</v>
      </c>
      <c r="H876" s="46">
        <v>11</v>
      </c>
      <c r="I876" s="46">
        <v>13</v>
      </c>
      <c r="J876" s="46">
        <v>17</v>
      </c>
      <c r="K876" s="46">
        <v>19</v>
      </c>
      <c r="L876" s="46">
        <v>23</v>
      </c>
      <c r="M876" s="47">
        <v>29</v>
      </c>
      <c r="O876" s="27" t="s">
        <v>2</v>
      </c>
    </row>
    <row r="877" spans="1:15" x14ac:dyDescent="0.45">
      <c r="A877" s="29">
        <f>A867+1</f>
        <v>87</v>
      </c>
      <c r="D877" s="27">
        <f>C867</f>
        <v>0</v>
      </c>
      <c r="E877" s="28">
        <f>D877*$E$6</f>
        <v>0</v>
      </c>
      <c r="F877" s="42">
        <f>(E877-1)/30</f>
        <v>-3.3333333333333333E-2</v>
      </c>
      <c r="G877" s="42">
        <f>($E877-7)/30</f>
        <v>-0.23333333333333334</v>
      </c>
      <c r="H877" s="42">
        <f>($E877-11)/30</f>
        <v>-0.36666666666666664</v>
      </c>
      <c r="I877" s="42">
        <f>($E877-13)/30</f>
        <v>-0.43333333333333335</v>
      </c>
      <c r="J877" s="42">
        <f>($E877-17)/30</f>
        <v>-0.56666666666666665</v>
      </c>
      <c r="K877" s="42">
        <f>($E877-19)/30</f>
        <v>-0.6333333333333333</v>
      </c>
      <c r="L877" s="42">
        <f>($E877-23)/30</f>
        <v>-0.76666666666666672</v>
      </c>
      <c r="M877" s="42">
        <f>($E877-29)/30</f>
        <v>-0.96666666666666667</v>
      </c>
      <c r="O877" s="43" t="str">
        <f t="shared" ref="O877:O884" si="948">FactorNumber(E877)</f>
        <v/>
      </c>
    </row>
    <row r="878" spans="1:15" x14ac:dyDescent="0.45">
      <c r="D878" s="27">
        <f t="shared" ref="D878:D884" si="949">C868</f>
        <v>0</v>
      </c>
      <c r="E878" s="28">
        <f t="shared" ref="E878:E884" si="950">D878*$E$6</f>
        <v>0</v>
      </c>
      <c r="F878" s="42">
        <f t="shared" ref="F878:F884" si="951">(E878-1)/30</f>
        <v>-3.3333333333333333E-2</v>
      </c>
      <c r="G878" s="42">
        <f t="shared" ref="G878:G884" si="952">($E878-7)/30</f>
        <v>-0.23333333333333334</v>
      </c>
      <c r="H878" s="42">
        <f t="shared" ref="H878:H884" si="953">($E878-11)/30</f>
        <v>-0.36666666666666664</v>
      </c>
      <c r="I878" s="42">
        <f t="shared" ref="I878:I884" si="954">($E878-13)/30</f>
        <v>-0.43333333333333335</v>
      </c>
      <c r="J878" s="42">
        <f t="shared" ref="J878:J884" si="955">($E878-17)/30</f>
        <v>-0.56666666666666665</v>
      </c>
      <c r="K878" s="42">
        <f t="shared" ref="K878:K884" si="956">($E878-19)/30</f>
        <v>-0.6333333333333333</v>
      </c>
      <c r="L878" s="42">
        <f t="shared" ref="L878:L884" si="957">($E878-23)/30</f>
        <v>-0.76666666666666672</v>
      </c>
      <c r="M878" s="42">
        <f t="shared" ref="M878:M884" si="958">($E878-29)/30</f>
        <v>-0.96666666666666667</v>
      </c>
      <c r="O878" s="43" t="str">
        <f t="shared" si="948"/>
        <v/>
      </c>
    </row>
    <row r="879" spans="1:15" x14ac:dyDescent="0.45">
      <c r="D879" s="27">
        <f t="shared" si="949"/>
        <v>0</v>
      </c>
      <c r="E879" s="28">
        <f t="shared" si="950"/>
        <v>0</v>
      </c>
      <c r="F879" s="42">
        <f t="shared" si="951"/>
        <v>-3.3333333333333333E-2</v>
      </c>
      <c r="G879" s="42">
        <f t="shared" si="952"/>
        <v>-0.23333333333333334</v>
      </c>
      <c r="H879" s="42">
        <f t="shared" si="953"/>
        <v>-0.36666666666666664</v>
      </c>
      <c r="I879" s="42">
        <f t="shared" si="954"/>
        <v>-0.43333333333333335</v>
      </c>
      <c r="J879" s="42">
        <f t="shared" si="955"/>
        <v>-0.56666666666666665</v>
      </c>
      <c r="K879" s="42">
        <f t="shared" si="956"/>
        <v>-0.6333333333333333</v>
      </c>
      <c r="L879" s="42">
        <f t="shared" si="957"/>
        <v>-0.76666666666666672</v>
      </c>
      <c r="M879" s="42">
        <f t="shared" si="958"/>
        <v>-0.96666666666666667</v>
      </c>
      <c r="O879" s="43" t="str">
        <f t="shared" si="948"/>
        <v/>
      </c>
    </row>
    <row r="880" spans="1:15" x14ac:dyDescent="0.45">
      <c r="D880" s="27">
        <f t="shared" si="949"/>
        <v>0</v>
      </c>
      <c r="E880" s="28">
        <f t="shared" si="950"/>
        <v>0</v>
      </c>
      <c r="F880" s="42">
        <f t="shared" si="951"/>
        <v>-3.3333333333333333E-2</v>
      </c>
      <c r="G880" s="42">
        <f t="shared" si="952"/>
        <v>-0.23333333333333334</v>
      </c>
      <c r="H880" s="42">
        <f t="shared" si="953"/>
        <v>-0.36666666666666664</v>
      </c>
      <c r="I880" s="42">
        <f t="shared" si="954"/>
        <v>-0.43333333333333335</v>
      </c>
      <c r="J880" s="42">
        <f t="shared" si="955"/>
        <v>-0.56666666666666665</v>
      </c>
      <c r="K880" s="42">
        <f t="shared" si="956"/>
        <v>-0.6333333333333333</v>
      </c>
      <c r="L880" s="42">
        <f t="shared" si="957"/>
        <v>-0.76666666666666672</v>
      </c>
      <c r="M880" s="42">
        <f t="shared" si="958"/>
        <v>-0.96666666666666667</v>
      </c>
      <c r="O880" s="43" t="str">
        <f t="shared" si="948"/>
        <v/>
      </c>
    </row>
    <row r="881" spans="1:15" x14ac:dyDescent="0.45">
      <c r="D881" s="27">
        <f t="shared" si="949"/>
        <v>0</v>
      </c>
      <c r="E881" s="28">
        <f t="shared" si="950"/>
        <v>0</v>
      </c>
      <c r="F881" s="42">
        <f t="shared" si="951"/>
        <v>-3.3333333333333333E-2</v>
      </c>
      <c r="G881" s="42">
        <f t="shared" si="952"/>
        <v>-0.23333333333333334</v>
      </c>
      <c r="H881" s="42">
        <f t="shared" si="953"/>
        <v>-0.36666666666666664</v>
      </c>
      <c r="I881" s="42">
        <f t="shared" si="954"/>
        <v>-0.43333333333333335</v>
      </c>
      <c r="J881" s="42">
        <f t="shared" si="955"/>
        <v>-0.56666666666666665</v>
      </c>
      <c r="K881" s="42">
        <f t="shared" si="956"/>
        <v>-0.6333333333333333</v>
      </c>
      <c r="L881" s="42">
        <f t="shared" si="957"/>
        <v>-0.76666666666666672</v>
      </c>
      <c r="M881" s="42">
        <f t="shared" si="958"/>
        <v>-0.96666666666666667</v>
      </c>
      <c r="O881" s="43" t="str">
        <f t="shared" si="948"/>
        <v/>
      </c>
    </row>
    <row r="882" spans="1:15" x14ac:dyDescent="0.45">
      <c r="D882" s="27">
        <f t="shared" si="949"/>
        <v>0</v>
      </c>
      <c r="E882" s="28">
        <f t="shared" si="950"/>
        <v>0</v>
      </c>
      <c r="F882" s="42">
        <f t="shared" si="951"/>
        <v>-3.3333333333333333E-2</v>
      </c>
      <c r="G882" s="42">
        <f t="shared" si="952"/>
        <v>-0.23333333333333334</v>
      </c>
      <c r="H882" s="42">
        <f t="shared" si="953"/>
        <v>-0.36666666666666664</v>
      </c>
      <c r="I882" s="42">
        <f t="shared" si="954"/>
        <v>-0.43333333333333335</v>
      </c>
      <c r="J882" s="42">
        <f t="shared" si="955"/>
        <v>-0.56666666666666665</v>
      </c>
      <c r="K882" s="42">
        <f t="shared" si="956"/>
        <v>-0.6333333333333333</v>
      </c>
      <c r="L882" s="42">
        <f t="shared" si="957"/>
        <v>-0.76666666666666672</v>
      </c>
      <c r="M882" s="42">
        <f t="shared" si="958"/>
        <v>-0.96666666666666667</v>
      </c>
      <c r="O882" s="43" t="str">
        <f t="shared" si="948"/>
        <v/>
      </c>
    </row>
    <row r="883" spans="1:15" x14ac:dyDescent="0.45">
      <c r="D883" s="27">
        <f t="shared" si="949"/>
        <v>0</v>
      </c>
      <c r="E883" s="28">
        <f t="shared" si="950"/>
        <v>0</v>
      </c>
      <c r="F883" s="42">
        <f t="shared" si="951"/>
        <v>-3.3333333333333333E-2</v>
      </c>
      <c r="G883" s="42">
        <f t="shared" si="952"/>
        <v>-0.23333333333333334</v>
      </c>
      <c r="H883" s="42">
        <f t="shared" si="953"/>
        <v>-0.36666666666666664</v>
      </c>
      <c r="I883" s="42">
        <f t="shared" si="954"/>
        <v>-0.43333333333333335</v>
      </c>
      <c r="J883" s="42">
        <f t="shared" si="955"/>
        <v>-0.56666666666666665</v>
      </c>
      <c r="K883" s="42">
        <f t="shared" si="956"/>
        <v>-0.6333333333333333</v>
      </c>
      <c r="L883" s="42">
        <f t="shared" si="957"/>
        <v>-0.76666666666666672</v>
      </c>
      <c r="M883" s="42">
        <f t="shared" si="958"/>
        <v>-0.96666666666666667</v>
      </c>
      <c r="O883" s="43" t="str">
        <f t="shared" si="948"/>
        <v/>
      </c>
    </row>
    <row r="884" spans="1:15" x14ac:dyDescent="0.45">
      <c r="D884" s="27">
        <f t="shared" si="949"/>
        <v>0</v>
      </c>
      <c r="E884" s="28">
        <f t="shared" si="950"/>
        <v>0</v>
      </c>
      <c r="F884" s="42">
        <f t="shared" si="951"/>
        <v>-3.3333333333333333E-2</v>
      </c>
      <c r="G884" s="42">
        <f t="shared" si="952"/>
        <v>-0.23333333333333334</v>
      </c>
      <c r="H884" s="42">
        <f t="shared" si="953"/>
        <v>-0.36666666666666664</v>
      </c>
      <c r="I884" s="42">
        <f t="shared" si="954"/>
        <v>-0.43333333333333335</v>
      </c>
      <c r="J884" s="42">
        <f t="shared" si="955"/>
        <v>-0.56666666666666665</v>
      </c>
      <c r="K884" s="42">
        <f t="shared" si="956"/>
        <v>-0.6333333333333333</v>
      </c>
      <c r="L884" s="42">
        <f t="shared" si="957"/>
        <v>-0.76666666666666672</v>
      </c>
      <c r="M884" s="42">
        <f t="shared" si="958"/>
        <v>-0.96666666666666667</v>
      </c>
      <c r="O884" s="43" t="str">
        <f t="shared" si="948"/>
        <v/>
      </c>
    </row>
    <row r="885" spans="1:15" ht="19.2" thickBot="1" x14ac:dyDescent="0.5">
      <c r="F885" s="42"/>
      <c r="G885" s="42"/>
      <c r="H885" s="42"/>
      <c r="I885" s="42"/>
      <c r="J885" s="42"/>
      <c r="K885" s="42"/>
      <c r="L885" s="42"/>
      <c r="M885" s="42"/>
    </row>
    <row r="886" spans="1:15" ht="19.2" thickBot="1" x14ac:dyDescent="0.5">
      <c r="C886" s="44"/>
      <c r="E886" s="34">
        <f>E867</f>
        <v>0</v>
      </c>
      <c r="F886" s="45">
        <v>1</v>
      </c>
      <c r="G886" s="46">
        <v>7</v>
      </c>
      <c r="H886" s="46">
        <v>11</v>
      </c>
      <c r="I886" s="46">
        <v>13</v>
      </c>
      <c r="J886" s="46">
        <v>17</v>
      </c>
      <c r="K886" s="46">
        <v>19</v>
      </c>
      <c r="L886" s="46">
        <v>23</v>
      </c>
      <c r="M886" s="47">
        <v>29</v>
      </c>
      <c r="O886" s="27" t="s">
        <v>2</v>
      </c>
    </row>
    <row r="887" spans="1:15" x14ac:dyDescent="0.45">
      <c r="A887" s="29">
        <f>A877+1</f>
        <v>88</v>
      </c>
      <c r="D887" s="27">
        <f>C877</f>
        <v>0</v>
      </c>
      <c r="E887" s="28">
        <f>D887*$E$6</f>
        <v>0</v>
      </c>
      <c r="F887" s="42">
        <f>(E887-1)/30</f>
        <v>-3.3333333333333333E-2</v>
      </c>
      <c r="G887" s="42">
        <f>($E887-7)/30</f>
        <v>-0.23333333333333334</v>
      </c>
      <c r="H887" s="42">
        <f>($E887-11)/30</f>
        <v>-0.36666666666666664</v>
      </c>
      <c r="I887" s="42">
        <f>($E887-13)/30</f>
        <v>-0.43333333333333335</v>
      </c>
      <c r="J887" s="42">
        <f>($E887-17)/30</f>
        <v>-0.56666666666666665</v>
      </c>
      <c r="K887" s="42">
        <f>($E887-19)/30</f>
        <v>-0.6333333333333333</v>
      </c>
      <c r="L887" s="42">
        <f>($E887-23)/30</f>
        <v>-0.76666666666666672</v>
      </c>
      <c r="M887" s="42">
        <f>($E887-29)/30</f>
        <v>-0.96666666666666667</v>
      </c>
      <c r="O887" s="43" t="str">
        <f t="shared" ref="O887:O894" si="959">FactorNumber(E887)</f>
        <v/>
      </c>
    </row>
    <row r="888" spans="1:15" x14ac:dyDescent="0.45">
      <c r="D888" s="27">
        <f t="shared" ref="D888:D894" si="960">C878</f>
        <v>0</v>
      </c>
      <c r="E888" s="28">
        <f t="shared" ref="E888:E894" si="961">D888*$E$6</f>
        <v>0</v>
      </c>
      <c r="F888" s="42">
        <f t="shared" ref="F888:F894" si="962">(E888-1)/30</f>
        <v>-3.3333333333333333E-2</v>
      </c>
      <c r="G888" s="42">
        <f t="shared" ref="G888:G894" si="963">($E888-7)/30</f>
        <v>-0.23333333333333334</v>
      </c>
      <c r="H888" s="42">
        <f t="shared" ref="H888:H894" si="964">($E888-11)/30</f>
        <v>-0.36666666666666664</v>
      </c>
      <c r="I888" s="42">
        <f t="shared" ref="I888:I894" si="965">($E888-13)/30</f>
        <v>-0.43333333333333335</v>
      </c>
      <c r="J888" s="42">
        <f t="shared" ref="J888:J894" si="966">($E888-17)/30</f>
        <v>-0.56666666666666665</v>
      </c>
      <c r="K888" s="42">
        <f t="shared" ref="K888:K894" si="967">($E888-19)/30</f>
        <v>-0.6333333333333333</v>
      </c>
      <c r="L888" s="42">
        <f t="shared" ref="L888:L894" si="968">($E888-23)/30</f>
        <v>-0.76666666666666672</v>
      </c>
      <c r="M888" s="42">
        <f t="shared" ref="M888:M894" si="969">($E888-29)/30</f>
        <v>-0.96666666666666667</v>
      </c>
      <c r="O888" s="43" t="str">
        <f t="shared" si="959"/>
        <v/>
      </c>
    </row>
    <row r="889" spans="1:15" x14ac:dyDescent="0.45">
      <c r="D889" s="27">
        <f t="shared" si="960"/>
        <v>0</v>
      </c>
      <c r="E889" s="28">
        <f t="shared" si="961"/>
        <v>0</v>
      </c>
      <c r="F889" s="42">
        <f t="shared" si="962"/>
        <v>-3.3333333333333333E-2</v>
      </c>
      <c r="G889" s="42">
        <f t="shared" si="963"/>
        <v>-0.23333333333333334</v>
      </c>
      <c r="H889" s="42">
        <f t="shared" si="964"/>
        <v>-0.36666666666666664</v>
      </c>
      <c r="I889" s="42">
        <f t="shared" si="965"/>
        <v>-0.43333333333333335</v>
      </c>
      <c r="J889" s="42">
        <f t="shared" si="966"/>
        <v>-0.56666666666666665</v>
      </c>
      <c r="K889" s="42">
        <f t="shared" si="967"/>
        <v>-0.6333333333333333</v>
      </c>
      <c r="L889" s="42">
        <f t="shared" si="968"/>
        <v>-0.76666666666666672</v>
      </c>
      <c r="M889" s="42">
        <f t="shared" si="969"/>
        <v>-0.96666666666666667</v>
      </c>
      <c r="O889" s="43" t="str">
        <f t="shared" si="959"/>
        <v/>
      </c>
    </row>
    <row r="890" spans="1:15" x14ac:dyDescent="0.45">
      <c r="D890" s="27">
        <f t="shared" si="960"/>
        <v>0</v>
      </c>
      <c r="E890" s="28">
        <f t="shared" si="961"/>
        <v>0</v>
      </c>
      <c r="F890" s="42">
        <f t="shared" si="962"/>
        <v>-3.3333333333333333E-2</v>
      </c>
      <c r="G890" s="42">
        <f t="shared" si="963"/>
        <v>-0.23333333333333334</v>
      </c>
      <c r="H890" s="42">
        <f t="shared" si="964"/>
        <v>-0.36666666666666664</v>
      </c>
      <c r="I890" s="42">
        <f t="shared" si="965"/>
        <v>-0.43333333333333335</v>
      </c>
      <c r="J890" s="42">
        <f t="shared" si="966"/>
        <v>-0.56666666666666665</v>
      </c>
      <c r="K890" s="42">
        <f t="shared" si="967"/>
        <v>-0.6333333333333333</v>
      </c>
      <c r="L890" s="42">
        <f t="shared" si="968"/>
        <v>-0.76666666666666672</v>
      </c>
      <c r="M890" s="42">
        <f t="shared" si="969"/>
        <v>-0.96666666666666667</v>
      </c>
      <c r="O890" s="43" t="str">
        <f t="shared" si="959"/>
        <v/>
      </c>
    </row>
    <row r="891" spans="1:15" x14ac:dyDescent="0.45">
      <c r="D891" s="27">
        <f t="shared" si="960"/>
        <v>0</v>
      </c>
      <c r="E891" s="28">
        <f t="shared" si="961"/>
        <v>0</v>
      </c>
      <c r="F891" s="42">
        <f t="shared" si="962"/>
        <v>-3.3333333333333333E-2</v>
      </c>
      <c r="G891" s="42">
        <f t="shared" si="963"/>
        <v>-0.23333333333333334</v>
      </c>
      <c r="H891" s="42">
        <f t="shared" si="964"/>
        <v>-0.36666666666666664</v>
      </c>
      <c r="I891" s="42">
        <f t="shared" si="965"/>
        <v>-0.43333333333333335</v>
      </c>
      <c r="J891" s="42">
        <f t="shared" si="966"/>
        <v>-0.56666666666666665</v>
      </c>
      <c r="K891" s="42">
        <f t="shared" si="967"/>
        <v>-0.6333333333333333</v>
      </c>
      <c r="L891" s="42">
        <f t="shared" si="968"/>
        <v>-0.76666666666666672</v>
      </c>
      <c r="M891" s="42">
        <f t="shared" si="969"/>
        <v>-0.96666666666666667</v>
      </c>
      <c r="O891" s="43" t="str">
        <f t="shared" si="959"/>
        <v/>
      </c>
    </row>
    <row r="892" spans="1:15" x14ac:dyDescent="0.45">
      <c r="D892" s="27">
        <f t="shared" si="960"/>
        <v>0</v>
      </c>
      <c r="E892" s="28">
        <f t="shared" si="961"/>
        <v>0</v>
      </c>
      <c r="F892" s="42">
        <f t="shared" si="962"/>
        <v>-3.3333333333333333E-2</v>
      </c>
      <c r="G892" s="42">
        <f t="shared" si="963"/>
        <v>-0.23333333333333334</v>
      </c>
      <c r="H892" s="42">
        <f t="shared" si="964"/>
        <v>-0.36666666666666664</v>
      </c>
      <c r="I892" s="42">
        <f t="shared" si="965"/>
        <v>-0.43333333333333335</v>
      </c>
      <c r="J892" s="42">
        <f t="shared" si="966"/>
        <v>-0.56666666666666665</v>
      </c>
      <c r="K892" s="42">
        <f t="shared" si="967"/>
        <v>-0.6333333333333333</v>
      </c>
      <c r="L892" s="42">
        <f t="shared" si="968"/>
        <v>-0.76666666666666672</v>
      </c>
      <c r="M892" s="42">
        <f t="shared" si="969"/>
        <v>-0.96666666666666667</v>
      </c>
      <c r="O892" s="43" t="str">
        <f t="shared" si="959"/>
        <v/>
      </c>
    </row>
    <row r="893" spans="1:15" x14ac:dyDescent="0.45">
      <c r="D893" s="27">
        <f t="shared" si="960"/>
        <v>0</v>
      </c>
      <c r="E893" s="28">
        <f t="shared" si="961"/>
        <v>0</v>
      </c>
      <c r="F893" s="42">
        <f t="shared" si="962"/>
        <v>-3.3333333333333333E-2</v>
      </c>
      <c r="G893" s="42">
        <f t="shared" si="963"/>
        <v>-0.23333333333333334</v>
      </c>
      <c r="H893" s="42">
        <f t="shared" si="964"/>
        <v>-0.36666666666666664</v>
      </c>
      <c r="I893" s="42">
        <f t="shared" si="965"/>
        <v>-0.43333333333333335</v>
      </c>
      <c r="J893" s="42">
        <f t="shared" si="966"/>
        <v>-0.56666666666666665</v>
      </c>
      <c r="K893" s="42">
        <f t="shared" si="967"/>
        <v>-0.6333333333333333</v>
      </c>
      <c r="L893" s="42">
        <f t="shared" si="968"/>
        <v>-0.76666666666666672</v>
      </c>
      <c r="M893" s="42">
        <f t="shared" si="969"/>
        <v>-0.96666666666666667</v>
      </c>
      <c r="O893" s="43" t="str">
        <f t="shared" si="959"/>
        <v/>
      </c>
    </row>
    <row r="894" spans="1:15" x14ac:dyDescent="0.45">
      <c r="D894" s="27">
        <f t="shared" si="960"/>
        <v>0</v>
      </c>
      <c r="E894" s="28">
        <f t="shared" si="961"/>
        <v>0</v>
      </c>
      <c r="F894" s="42">
        <f t="shared" si="962"/>
        <v>-3.3333333333333333E-2</v>
      </c>
      <c r="G894" s="42">
        <f t="shared" si="963"/>
        <v>-0.23333333333333334</v>
      </c>
      <c r="H894" s="42">
        <f t="shared" si="964"/>
        <v>-0.36666666666666664</v>
      </c>
      <c r="I894" s="42">
        <f t="shared" si="965"/>
        <v>-0.43333333333333335</v>
      </c>
      <c r="J894" s="42">
        <f t="shared" si="966"/>
        <v>-0.56666666666666665</v>
      </c>
      <c r="K894" s="42">
        <f t="shared" si="967"/>
        <v>-0.6333333333333333</v>
      </c>
      <c r="L894" s="42">
        <f t="shared" si="968"/>
        <v>-0.76666666666666672</v>
      </c>
      <c r="M894" s="42">
        <f t="shared" si="969"/>
        <v>-0.96666666666666667</v>
      </c>
      <c r="O894" s="43" t="str">
        <f t="shared" si="959"/>
        <v/>
      </c>
    </row>
    <row r="895" spans="1:15" ht="19.2" thickBot="1" x14ac:dyDescent="0.5">
      <c r="F895" s="42"/>
      <c r="G895" s="42"/>
      <c r="H895" s="42"/>
      <c r="I895" s="42"/>
      <c r="J895" s="42"/>
      <c r="K895" s="42"/>
      <c r="L895" s="42"/>
      <c r="M895" s="42"/>
    </row>
    <row r="896" spans="1:15" ht="19.2" thickBot="1" x14ac:dyDescent="0.5">
      <c r="C896" s="44"/>
      <c r="E896" s="34">
        <f>E877</f>
        <v>0</v>
      </c>
      <c r="F896" s="45">
        <v>1</v>
      </c>
      <c r="G896" s="46">
        <v>7</v>
      </c>
      <c r="H896" s="46">
        <v>11</v>
      </c>
      <c r="I896" s="46">
        <v>13</v>
      </c>
      <c r="J896" s="46">
        <v>17</v>
      </c>
      <c r="K896" s="46">
        <v>19</v>
      </c>
      <c r="L896" s="46">
        <v>23</v>
      </c>
      <c r="M896" s="47">
        <v>29</v>
      </c>
      <c r="O896" s="27" t="s">
        <v>2</v>
      </c>
    </row>
    <row r="897" spans="1:15" x14ac:dyDescent="0.45">
      <c r="A897" s="29">
        <f>A887+1</f>
        <v>89</v>
      </c>
      <c r="D897" s="27">
        <f>C887</f>
        <v>0</v>
      </c>
      <c r="E897" s="28">
        <f>D897*$E$6</f>
        <v>0</v>
      </c>
      <c r="F897" s="42">
        <f>(E897-1)/30</f>
        <v>-3.3333333333333333E-2</v>
      </c>
      <c r="G897" s="42">
        <f>($E897-7)/30</f>
        <v>-0.23333333333333334</v>
      </c>
      <c r="H897" s="42">
        <f>($E897-11)/30</f>
        <v>-0.36666666666666664</v>
      </c>
      <c r="I897" s="42">
        <f>($E897-13)/30</f>
        <v>-0.43333333333333335</v>
      </c>
      <c r="J897" s="42">
        <f>($E897-17)/30</f>
        <v>-0.56666666666666665</v>
      </c>
      <c r="K897" s="42">
        <f>($E897-19)/30</f>
        <v>-0.6333333333333333</v>
      </c>
      <c r="L897" s="42">
        <f>($E897-23)/30</f>
        <v>-0.76666666666666672</v>
      </c>
      <c r="M897" s="42">
        <f>($E897-29)/30</f>
        <v>-0.96666666666666667</v>
      </c>
      <c r="O897" s="43" t="str">
        <f t="shared" ref="O897:O904" si="970">FactorNumber(E897)</f>
        <v/>
      </c>
    </row>
    <row r="898" spans="1:15" x14ac:dyDescent="0.45">
      <c r="D898" s="27">
        <f t="shared" ref="D898:D904" si="971">C888</f>
        <v>0</v>
      </c>
      <c r="E898" s="28">
        <f t="shared" ref="E898:E904" si="972">D898*$E$6</f>
        <v>0</v>
      </c>
      <c r="F898" s="42">
        <f t="shared" ref="F898:F904" si="973">(E898-1)/30</f>
        <v>-3.3333333333333333E-2</v>
      </c>
      <c r="G898" s="42">
        <f t="shared" ref="G898:G904" si="974">($E898-7)/30</f>
        <v>-0.23333333333333334</v>
      </c>
      <c r="H898" s="42">
        <f t="shared" ref="H898:H904" si="975">($E898-11)/30</f>
        <v>-0.36666666666666664</v>
      </c>
      <c r="I898" s="42">
        <f t="shared" ref="I898:I904" si="976">($E898-13)/30</f>
        <v>-0.43333333333333335</v>
      </c>
      <c r="J898" s="42">
        <f t="shared" ref="J898:J904" si="977">($E898-17)/30</f>
        <v>-0.56666666666666665</v>
      </c>
      <c r="K898" s="42">
        <f t="shared" ref="K898:K904" si="978">($E898-19)/30</f>
        <v>-0.6333333333333333</v>
      </c>
      <c r="L898" s="42">
        <f t="shared" ref="L898:L904" si="979">($E898-23)/30</f>
        <v>-0.76666666666666672</v>
      </c>
      <c r="M898" s="42">
        <f t="shared" ref="M898:M904" si="980">($E898-29)/30</f>
        <v>-0.96666666666666667</v>
      </c>
      <c r="O898" s="43" t="str">
        <f t="shared" si="970"/>
        <v/>
      </c>
    </row>
    <row r="899" spans="1:15" x14ac:dyDescent="0.45">
      <c r="D899" s="27">
        <f t="shared" si="971"/>
        <v>0</v>
      </c>
      <c r="E899" s="28">
        <f t="shared" si="972"/>
        <v>0</v>
      </c>
      <c r="F899" s="42">
        <f t="shared" si="973"/>
        <v>-3.3333333333333333E-2</v>
      </c>
      <c r="G899" s="42">
        <f t="shared" si="974"/>
        <v>-0.23333333333333334</v>
      </c>
      <c r="H899" s="42">
        <f t="shared" si="975"/>
        <v>-0.36666666666666664</v>
      </c>
      <c r="I899" s="42">
        <f t="shared" si="976"/>
        <v>-0.43333333333333335</v>
      </c>
      <c r="J899" s="42">
        <f t="shared" si="977"/>
        <v>-0.56666666666666665</v>
      </c>
      <c r="K899" s="42">
        <f t="shared" si="978"/>
        <v>-0.6333333333333333</v>
      </c>
      <c r="L899" s="42">
        <f t="shared" si="979"/>
        <v>-0.76666666666666672</v>
      </c>
      <c r="M899" s="42">
        <f t="shared" si="980"/>
        <v>-0.96666666666666667</v>
      </c>
      <c r="O899" s="43" t="str">
        <f t="shared" si="970"/>
        <v/>
      </c>
    </row>
    <row r="900" spans="1:15" x14ac:dyDescent="0.45">
      <c r="D900" s="27">
        <f t="shared" si="971"/>
        <v>0</v>
      </c>
      <c r="E900" s="28">
        <f t="shared" si="972"/>
        <v>0</v>
      </c>
      <c r="F900" s="42">
        <f t="shared" si="973"/>
        <v>-3.3333333333333333E-2</v>
      </c>
      <c r="G900" s="42">
        <f t="shared" si="974"/>
        <v>-0.23333333333333334</v>
      </c>
      <c r="H900" s="42">
        <f t="shared" si="975"/>
        <v>-0.36666666666666664</v>
      </c>
      <c r="I900" s="42">
        <f t="shared" si="976"/>
        <v>-0.43333333333333335</v>
      </c>
      <c r="J900" s="42">
        <f t="shared" si="977"/>
        <v>-0.56666666666666665</v>
      </c>
      <c r="K900" s="42">
        <f t="shared" si="978"/>
        <v>-0.6333333333333333</v>
      </c>
      <c r="L900" s="42">
        <f t="shared" si="979"/>
        <v>-0.76666666666666672</v>
      </c>
      <c r="M900" s="42">
        <f t="shared" si="980"/>
        <v>-0.96666666666666667</v>
      </c>
      <c r="O900" s="43" t="str">
        <f t="shared" si="970"/>
        <v/>
      </c>
    </row>
    <row r="901" spans="1:15" x14ac:dyDescent="0.45">
      <c r="D901" s="27">
        <f t="shared" si="971"/>
        <v>0</v>
      </c>
      <c r="E901" s="28">
        <f t="shared" si="972"/>
        <v>0</v>
      </c>
      <c r="F901" s="42">
        <f t="shared" si="973"/>
        <v>-3.3333333333333333E-2</v>
      </c>
      <c r="G901" s="42">
        <f t="shared" si="974"/>
        <v>-0.23333333333333334</v>
      </c>
      <c r="H901" s="42">
        <f t="shared" si="975"/>
        <v>-0.36666666666666664</v>
      </c>
      <c r="I901" s="42">
        <f t="shared" si="976"/>
        <v>-0.43333333333333335</v>
      </c>
      <c r="J901" s="42">
        <f t="shared" si="977"/>
        <v>-0.56666666666666665</v>
      </c>
      <c r="K901" s="42">
        <f t="shared" si="978"/>
        <v>-0.6333333333333333</v>
      </c>
      <c r="L901" s="42">
        <f t="shared" si="979"/>
        <v>-0.76666666666666672</v>
      </c>
      <c r="M901" s="42">
        <f t="shared" si="980"/>
        <v>-0.96666666666666667</v>
      </c>
      <c r="O901" s="43" t="str">
        <f t="shared" si="970"/>
        <v/>
      </c>
    </row>
    <row r="902" spans="1:15" x14ac:dyDescent="0.45">
      <c r="D902" s="27">
        <f t="shared" si="971"/>
        <v>0</v>
      </c>
      <c r="E902" s="28">
        <f t="shared" si="972"/>
        <v>0</v>
      </c>
      <c r="F902" s="42">
        <f t="shared" si="973"/>
        <v>-3.3333333333333333E-2</v>
      </c>
      <c r="G902" s="42">
        <f t="shared" si="974"/>
        <v>-0.23333333333333334</v>
      </c>
      <c r="H902" s="42">
        <f t="shared" si="975"/>
        <v>-0.36666666666666664</v>
      </c>
      <c r="I902" s="42">
        <f t="shared" si="976"/>
        <v>-0.43333333333333335</v>
      </c>
      <c r="J902" s="42">
        <f t="shared" si="977"/>
        <v>-0.56666666666666665</v>
      </c>
      <c r="K902" s="42">
        <f t="shared" si="978"/>
        <v>-0.6333333333333333</v>
      </c>
      <c r="L902" s="42">
        <f t="shared" si="979"/>
        <v>-0.76666666666666672</v>
      </c>
      <c r="M902" s="42">
        <f t="shared" si="980"/>
        <v>-0.96666666666666667</v>
      </c>
      <c r="O902" s="43" t="str">
        <f t="shared" si="970"/>
        <v/>
      </c>
    </row>
    <row r="903" spans="1:15" x14ac:dyDescent="0.45">
      <c r="D903" s="27">
        <f t="shared" si="971"/>
        <v>0</v>
      </c>
      <c r="E903" s="28">
        <f t="shared" si="972"/>
        <v>0</v>
      </c>
      <c r="F903" s="42">
        <f t="shared" si="973"/>
        <v>-3.3333333333333333E-2</v>
      </c>
      <c r="G903" s="42">
        <f t="shared" si="974"/>
        <v>-0.23333333333333334</v>
      </c>
      <c r="H903" s="42">
        <f t="shared" si="975"/>
        <v>-0.36666666666666664</v>
      </c>
      <c r="I903" s="42">
        <f t="shared" si="976"/>
        <v>-0.43333333333333335</v>
      </c>
      <c r="J903" s="42">
        <f t="shared" si="977"/>
        <v>-0.56666666666666665</v>
      </c>
      <c r="K903" s="42">
        <f t="shared" si="978"/>
        <v>-0.6333333333333333</v>
      </c>
      <c r="L903" s="42">
        <f t="shared" si="979"/>
        <v>-0.76666666666666672</v>
      </c>
      <c r="M903" s="42">
        <f t="shared" si="980"/>
        <v>-0.96666666666666667</v>
      </c>
      <c r="O903" s="43" t="str">
        <f t="shared" si="970"/>
        <v/>
      </c>
    </row>
    <row r="904" spans="1:15" x14ac:dyDescent="0.45">
      <c r="D904" s="27">
        <f t="shared" si="971"/>
        <v>0</v>
      </c>
      <c r="E904" s="28">
        <f t="shared" si="972"/>
        <v>0</v>
      </c>
      <c r="F904" s="42">
        <f t="shared" si="973"/>
        <v>-3.3333333333333333E-2</v>
      </c>
      <c r="G904" s="42">
        <f t="shared" si="974"/>
        <v>-0.23333333333333334</v>
      </c>
      <c r="H904" s="42">
        <f t="shared" si="975"/>
        <v>-0.36666666666666664</v>
      </c>
      <c r="I904" s="42">
        <f t="shared" si="976"/>
        <v>-0.43333333333333335</v>
      </c>
      <c r="J904" s="42">
        <f t="shared" si="977"/>
        <v>-0.56666666666666665</v>
      </c>
      <c r="K904" s="42">
        <f t="shared" si="978"/>
        <v>-0.6333333333333333</v>
      </c>
      <c r="L904" s="42">
        <f t="shared" si="979"/>
        <v>-0.76666666666666672</v>
      </c>
      <c r="M904" s="42">
        <f t="shared" si="980"/>
        <v>-0.96666666666666667</v>
      </c>
      <c r="O904" s="43" t="str">
        <f t="shared" si="970"/>
        <v/>
      </c>
    </row>
    <row r="905" spans="1:15" ht="19.2" thickBot="1" x14ac:dyDescent="0.5">
      <c r="F905" s="42"/>
      <c r="G905" s="42"/>
      <c r="H905" s="42"/>
      <c r="I905" s="42"/>
      <c r="J905" s="42"/>
      <c r="K905" s="42"/>
      <c r="L905" s="42"/>
      <c r="M905" s="42"/>
    </row>
    <row r="906" spans="1:15" ht="19.2" thickBot="1" x14ac:dyDescent="0.5">
      <c r="C906" s="44"/>
      <c r="E906" s="34">
        <f>E887</f>
        <v>0</v>
      </c>
      <c r="F906" s="45">
        <v>1</v>
      </c>
      <c r="G906" s="46">
        <v>7</v>
      </c>
      <c r="H906" s="46">
        <v>11</v>
      </c>
      <c r="I906" s="46">
        <v>13</v>
      </c>
      <c r="J906" s="46">
        <v>17</v>
      </c>
      <c r="K906" s="46">
        <v>19</v>
      </c>
      <c r="L906" s="46">
        <v>23</v>
      </c>
      <c r="M906" s="47">
        <v>29</v>
      </c>
      <c r="O906" s="27" t="s">
        <v>2</v>
      </c>
    </row>
    <row r="907" spans="1:15" x14ac:dyDescent="0.45">
      <c r="A907" s="29">
        <f>A897+1</f>
        <v>90</v>
      </c>
      <c r="D907" s="27">
        <f>C897</f>
        <v>0</v>
      </c>
      <c r="E907" s="28">
        <f>D907*$E$6</f>
        <v>0</v>
      </c>
      <c r="F907" s="42">
        <f>(E907-1)/30</f>
        <v>-3.3333333333333333E-2</v>
      </c>
      <c r="G907" s="42">
        <f>($E907-7)/30</f>
        <v>-0.23333333333333334</v>
      </c>
      <c r="H907" s="42">
        <f>($E907-11)/30</f>
        <v>-0.36666666666666664</v>
      </c>
      <c r="I907" s="42">
        <f>($E907-13)/30</f>
        <v>-0.43333333333333335</v>
      </c>
      <c r="J907" s="42">
        <f>($E907-17)/30</f>
        <v>-0.56666666666666665</v>
      </c>
      <c r="K907" s="42">
        <f>($E907-19)/30</f>
        <v>-0.6333333333333333</v>
      </c>
      <c r="L907" s="42">
        <f>($E907-23)/30</f>
        <v>-0.76666666666666672</v>
      </c>
      <c r="M907" s="42">
        <f>($E907-29)/30</f>
        <v>-0.96666666666666667</v>
      </c>
      <c r="O907" s="43" t="str">
        <f t="shared" ref="O907:O914" si="981">FactorNumber(E907)</f>
        <v/>
      </c>
    </row>
    <row r="908" spans="1:15" x14ac:dyDescent="0.45">
      <c r="D908" s="27">
        <f t="shared" ref="D908:D914" si="982">C898</f>
        <v>0</v>
      </c>
      <c r="E908" s="28">
        <f t="shared" ref="E908:E914" si="983">D908*$E$6</f>
        <v>0</v>
      </c>
      <c r="F908" s="42">
        <f t="shared" ref="F908:F914" si="984">(E908-1)/30</f>
        <v>-3.3333333333333333E-2</v>
      </c>
      <c r="G908" s="42">
        <f t="shared" ref="G908:G914" si="985">($E908-7)/30</f>
        <v>-0.23333333333333334</v>
      </c>
      <c r="H908" s="42">
        <f t="shared" ref="H908:H914" si="986">($E908-11)/30</f>
        <v>-0.36666666666666664</v>
      </c>
      <c r="I908" s="42">
        <f t="shared" ref="I908:I914" si="987">($E908-13)/30</f>
        <v>-0.43333333333333335</v>
      </c>
      <c r="J908" s="42">
        <f t="shared" ref="J908:J914" si="988">($E908-17)/30</f>
        <v>-0.56666666666666665</v>
      </c>
      <c r="K908" s="42">
        <f t="shared" ref="K908:K914" si="989">($E908-19)/30</f>
        <v>-0.6333333333333333</v>
      </c>
      <c r="L908" s="42">
        <f t="shared" ref="L908:L914" si="990">($E908-23)/30</f>
        <v>-0.76666666666666672</v>
      </c>
      <c r="M908" s="42">
        <f t="shared" ref="M908:M914" si="991">($E908-29)/30</f>
        <v>-0.96666666666666667</v>
      </c>
      <c r="O908" s="43" t="str">
        <f t="shared" si="981"/>
        <v/>
      </c>
    </row>
    <row r="909" spans="1:15" x14ac:dyDescent="0.45">
      <c r="D909" s="27">
        <f t="shared" si="982"/>
        <v>0</v>
      </c>
      <c r="E909" s="28">
        <f t="shared" si="983"/>
        <v>0</v>
      </c>
      <c r="F909" s="42">
        <f t="shared" si="984"/>
        <v>-3.3333333333333333E-2</v>
      </c>
      <c r="G909" s="42">
        <f t="shared" si="985"/>
        <v>-0.23333333333333334</v>
      </c>
      <c r="H909" s="42">
        <f t="shared" si="986"/>
        <v>-0.36666666666666664</v>
      </c>
      <c r="I909" s="42">
        <f t="shared" si="987"/>
        <v>-0.43333333333333335</v>
      </c>
      <c r="J909" s="42">
        <f t="shared" si="988"/>
        <v>-0.56666666666666665</v>
      </c>
      <c r="K909" s="42">
        <f t="shared" si="989"/>
        <v>-0.6333333333333333</v>
      </c>
      <c r="L909" s="42">
        <f t="shared" si="990"/>
        <v>-0.76666666666666672</v>
      </c>
      <c r="M909" s="42">
        <f t="shared" si="991"/>
        <v>-0.96666666666666667</v>
      </c>
      <c r="O909" s="43" t="str">
        <f t="shared" si="981"/>
        <v/>
      </c>
    </row>
    <row r="910" spans="1:15" x14ac:dyDescent="0.45">
      <c r="D910" s="27">
        <f t="shared" si="982"/>
        <v>0</v>
      </c>
      <c r="E910" s="28">
        <f t="shared" si="983"/>
        <v>0</v>
      </c>
      <c r="F910" s="42">
        <f t="shared" si="984"/>
        <v>-3.3333333333333333E-2</v>
      </c>
      <c r="G910" s="42">
        <f t="shared" si="985"/>
        <v>-0.23333333333333334</v>
      </c>
      <c r="H910" s="42">
        <f t="shared" si="986"/>
        <v>-0.36666666666666664</v>
      </c>
      <c r="I910" s="42">
        <f t="shared" si="987"/>
        <v>-0.43333333333333335</v>
      </c>
      <c r="J910" s="42">
        <f t="shared" si="988"/>
        <v>-0.56666666666666665</v>
      </c>
      <c r="K910" s="42">
        <f t="shared" si="989"/>
        <v>-0.6333333333333333</v>
      </c>
      <c r="L910" s="42">
        <f t="shared" si="990"/>
        <v>-0.76666666666666672</v>
      </c>
      <c r="M910" s="42">
        <f t="shared" si="991"/>
        <v>-0.96666666666666667</v>
      </c>
      <c r="O910" s="43" t="str">
        <f t="shared" si="981"/>
        <v/>
      </c>
    </row>
    <row r="911" spans="1:15" x14ac:dyDescent="0.45">
      <c r="D911" s="27">
        <f t="shared" si="982"/>
        <v>0</v>
      </c>
      <c r="E911" s="28">
        <f t="shared" si="983"/>
        <v>0</v>
      </c>
      <c r="F911" s="42">
        <f t="shared" si="984"/>
        <v>-3.3333333333333333E-2</v>
      </c>
      <c r="G911" s="42">
        <f t="shared" si="985"/>
        <v>-0.23333333333333334</v>
      </c>
      <c r="H911" s="42">
        <f t="shared" si="986"/>
        <v>-0.36666666666666664</v>
      </c>
      <c r="I911" s="42">
        <f t="shared" si="987"/>
        <v>-0.43333333333333335</v>
      </c>
      <c r="J911" s="42">
        <f t="shared" si="988"/>
        <v>-0.56666666666666665</v>
      </c>
      <c r="K911" s="42">
        <f t="shared" si="989"/>
        <v>-0.6333333333333333</v>
      </c>
      <c r="L911" s="42">
        <f t="shared" si="990"/>
        <v>-0.76666666666666672</v>
      </c>
      <c r="M911" s="42">
        <f t="shared" si="991"/>
        <v>-0.96666666666666667</v>
      </c>
      <c r="O911" s="43" t="str">
        <f t="shared" si="981"/>
        <v/>
      </c>
    </row>
    <row r="912" spans="1:15" x14ac:dyDescent="0.45">
      <c r="D912" s="27">
        <f t="shared" si="982"/>
        <v>0</v>
      </c>
      <c r="E912" s="28">
        <f t="shared" si="983"/>
        <v>0</v>
      </c>
      <c r="F912" s="42">
        <f t="shared" si="984"/>
        <v>-3.3333333333333333E-2</v>
      </c>
      <c r="G912" s="42">
        <f t="shared" si="985"/>
        <v>-0.23333333333333334</v>
      </c>
      <c r="H912" s="42">
        <f t="shared" si="986"/>
        <v>-0.36666666666666664</v>
      </c>
      <c r="I912" s="42">
        <f t="shared" si="987"/>
        <v>-0.43333333333333335</v>
      </c>
      <c r="J912" s="42">
        <f t="shared" si="988"/>
        <v>-0.56666666666666665</v>
      </c>
      <c r="K912" s="42">
        <f t="shared" si="989"/>
        <v>-0.6333333333333333</v>
      </c>
      <c r="L912" s="42">
        <f t="shared" si="990"/>
        <v>-0.76666666666666672</v>
      </c>
      <c r="M912" s="42">
        <f t="shared" si="991"/>
        <v>-0.96666666666666667</v>
      </c>
      <c r="O912" s="43" t="str">
        <f t="shared" si="981"/>
        <v/>
      </c>
    </row>
    <row r="913" spans="1:15" x14ac:dyDescent="0.45">
      <c r="D913" s="27">
        <f t="shared" si="982"/>
        <v>0</v>
      </c>
      <c r="E913" s="28">
        <f t="shared" si="983"/>
        <v>0</v>
      </c>
      <c r="F913" s="42">
        <f t="shared" si="984"/>
        <v>-3.3333333333333333E-2</v>
      </c>
      <c r="G913" s="42">
        <f t="shared" si="985"/>
        <v>-0.23333333333333334</v>
      </c>
      <c r="H913" s="42">
        <f t="shared" si="986"/>
        <v>-0.36666666666666664</v>
      </c>
      <c r="I913" s="42">
        <f t="shared" si="987"/>
        <v>-0.43333333333333335</v>
      </c>
      <c r="J913" s="42">
        <f t="shared" si="988"/>
        <v>-0.56666666666666665</v>
      </c>
      <c r="K913" s="42">
        <f t="shared" si="989"/>
        <v>-0.6333333333333333</v>
      </c>
      <c r="L913" s="42">
        <f t="shared" si="990"/>
        <v>-0.76666666666666672</v>
      </c>
      <c r="M913" s="42">
        <f t="shared" si="991"/>
        <v>-0.96666666666666667</v>
      </c>
      <c r="O913" s="43" t="str">
        <f t="shared" si="981"/>
        <v/>
      </c>
    </row>
    <row r="914" spans="1:15" x14ac:dyDescent="0.45">
      <c r="D914" s="27">
        <f t="shared" si="982"/>
        <v>0</v>
      </c>
      <c r="E914" s="28">
        <f t="shared" si="983"/>
        <v>0</v>
      </c>
      <c r="F914" s="42">
        <f t="shared" si="984"/>
        <v>-3.3333333333333333E-2</v>
      </c>
      <c r="G914" s="42">
        <f t="shared" si="985"/>
        <v>-0.23333333333333334</v>
      </c>
      <c r="H914" s="42">
        <f t="shared" si="986"/>
        <v>-0.36666666666666664</v>
      </c>
      <c r="I914" s="42">
        <f t="shared" si="987"/>
        <v>-0.43333333333333335</v>
      </c>
      <c r="J914" s="42">
        <f t="shared" si="988"/>
        <v>-0.56666666666666665</v>
      </c>
      <c r="K914" s="42">
        <f t="shared" si="989"/>
        <v>-0.6333333333333333</v>
      </c>
      <c r="L914" s="42">
        <f t="shared" si="990"/>
        <v>-0.76666666666666672</v>
      </c>
      <c r="M914" s="42">
        <f t="shared" si="991"/>
        <v>-0.96666666666666667</v>
      </c>
      <c r="O914" s="43" t="str">
        <f t="shared" si="981"/>
        <v/>
      </c>
    </row>
    <row r="915" spans="1:15" ht="19.2" thickBot="1" x14ac:dyDescent="0.5">
      <c r="F915" s="42"/>
      <c r="G915" s="42"/>
      <c r="H915" s="42"/>
      <c r="I915" s="42"/>
      <c r="J915" s="42"/>
      <c r="K915" s="42"/>
      <c r="L915" s="42"/>
      <c r="M915" s="42"/>
    </row>
    <row r="916" spans="1:15" ht="19.2" thickBot="1" x14ac:dyDescent="0.5">
      <c r="C916" s="44"/>
      <c r="E916" s="34">
        <f>E897</f>
        <v>0</v>
      </c>
      <c r="F916" s="45">
        <v>1</v>
      </c>
      <c r="G916" s="46">
        <v>7</v>
      </c>
      <c r="H916" s="46">
        <v>11</v>
      </c>
      <c r="I916" s="46">
        <v>13</v>
      </c>
      <c r="J916" s="46">
        <v>17</v>
      </c>
      <c r="K916" s="46">
        <v>19</v>
      </c>
      <c r="L916" s="46">
        <v>23</v>
      </c>
      <c r="M916" s="47">
        <v>29</v>
      </c>
      <c r="O916" s="27" t="s">
        <v>2</v>
      </c>
    </row>
    <row r="917" spans="1:15" x14ac:dyDescent="0.45">
      <c r="A917" s="29">
        <f>A907+1</f>
        <v>91</v>
      </c>
      <c r="D917" s="27">
        <f>C907</f>
        <v>0</v>
      </c>
      <c r="E917" s="28">
        <f>D917*$E$6</f>
        <v>0</v>
      </c>
      <c r="F917" s="42">
        <f>(E917-1)/30</f>
        <v>-3.3333333333333333E-2</v>
      </c>
      <c r="G917" s="42">
        <f>($E917-7)/30</f>
        <v>-0.23333333333333334</v>
      </c>
      <c r="H917" s="42">
        <f>($E917-11)/30</f>
        <v>-0.36666666666666664</v>
      </c>
      <c r="I917" s="42">
        <f>($E917-13)/30</f>
        <v>-0.43333333333333335</v>
      </c>
      <c r="J917" s="42">
        <f>($E917-17)/30</f>
        <v>-0.56666666666666665</v>
      </c>
      <c r="K917" s="42">
        <f>($E917-19)/30</f>
        <v>-0.6333333333333333</v>
      </c>
      <c r="L917" s="42">
        <f>($E917-23)/30</f>
        <v>-0.76666666666666672</v>
      </c>
      <c r="M917" s="42">
        <f>($E917-29)/30</f>
        <v>-0.96666666666666667</v>
      </c>
      <c r="O917" s="43" t="str">
        <f t="shared" ref="O917:O924" si="992">FactorNumber(E917)</f>
        <v/>
      </c>
    </row>
    <row r="918" spans="1:15" x14ac:dyDescent="0.45">
      <c r="D918" s="27">
        <f t="shared" ref="D918:D924" si="993">C908</f>
        <v>0</v>
      </c>
      <c r="E918" s="28">
        <f t="shared" ref="E918:E924" si="994">D918*$E$6</f>
        <v>0</v>
      </c>
      <c r="F918" s="42">
        <f t="shared" ref="F918:F924" si="995">(E918-1)/30</f>
        <v>-3.3333333333333333E-2</v>
      </c>
      <c r="G918" s="42">
        <f t="shared" ref="G918:G924" si="996">($E918-7)/30</f>
        <v>-0.23333333333333334</v>
      </c>
      <c r="H918" s="42">
        <f t="shared" ref="H918:H924" si="997">($E918-11)/30</f>
        <v>-0.36666666666666664</v>
      </c>
      <c r="I918" s="42">
        <f t="shared" ref="I918:I924" si="998">($E918-13)/30</f>
        <v>-0.43333333333333335</v>
      </c>
      <c r="J918" s="42">
        <f t="shared" ref="J918:J924" si="999">($E918-17)/30</f>
        <v>-0.56666666666666665</v>
      </c>
      <c r="K918" s="42">
        <f t="shared" ref="K918:K924" si="1000">($E918-19)/30</f>
        <v>-0.6333333333333333</v>
      </c>
      <c r="L918" s="42">
        <f t="shared" ref="L918:L924" si="1001">($E918-23)/30</f>
        <v>-0.76666666666666672</v>
      </c>
      <c r="M918" s="42">
        <f t="shared" ref="M918:M924" si="1002">($E918-29)/30</f>
        <v>-0.96666666666666667</v>
      </c>
      <c r="O918" s="43" t="str">
        <f t="shared" si="992"/>
        <v/>
      </c>
    </row>
    <row r="919" spans="1:15" x14ac:dyDescent="0.45">
      <c r="D919" s="27">
        <f t="shared" si="993"/>
        <v>0</v>
      </c>
      <c r="E919" s="28">
        <f t="shared" si="994"/>
        <v>0</v>
      </c>
      <c r="F919" s="42">
        <f t="shared" si="995"/>
        <v>-3.3333333333333333E-2</v>
      </c>
      <c r="G919" s="42">
        <f t="shared" si="996"/>
        <v>-0.23333333333333334</v>
      </c>
      <c r="H919" s="42">
        <f t="shared" si="997"/>
        <v>-0.36666666666666664</v>
      </c>
      <c r="I919" s="42">
        <f t="shared" si="998"/>
        <v>-0.43333333333333335</v>
      </c>
      <c r="J919" s="42">
        <f t="shared" si="999"/>
        <v>-0.56666666666666665</v>
      </c>
      <c r="K919" s="42">
        <f t="shared" si="1000"/>
        <v>-0.6333333333333333</v>
      </c>
      <c r="L919" s="42">
        <f t="shared" si="1001"/>
        <v>-0.76666666666666672</v>
      </c>
      <c r="M919" s="42">
        <f t="shared" si="1002"/>
        <v>-0.96666666666666667</v>
      </c>
      <c r="O919" s="43" t="str">
        <f t="shared" si="992"/>
        <v/>
      </c>
    </row>
    <row r="920" spans="1:15" x14ac:dyDescent="0.45">
      <c r="D920" s="27">
        <f t="shared" si="993"/>
        <v>0</v>
      </c>
      <c r="E920" s="28">
        <f t="shared" si="994"/>
        <v>0</v>
      </c>
      <c r="F920" s="42">
        <f t="shared" si="995"/>
        <v>-3.3333333333333333E-2</v>
      </c>
      <c r="G920" s="42">
        <f t="shared" si="996"/>
        <v>-0.23333333333333334</v>
      </c>
      <c r="H920" s="42">
        <f t="shared" si="997"/>
        <v>-0.36666666666666664</v>
      </c>
      <c r="I920" s="42">
        <f t="shared" si="998"/>
        <v>-0.43333333333333335</v>
      </c>
      <c r="J920" s="42">
        <f t="shared" si="999"/>
        <v>-0.56666666666666665</v>
      </c>
      <c r="K920" s="42">
        <f t="shared" si="1000"/>
        <v>-0.6333333333333333</v>
      </c>
      <c r="L920" s="42">
        <f t="shared" si="1001"/>
        <v>-0.76666666666666672</v>
      </c>
      <c r="M920" s="42">
        <f t="shared" si="1002"/>
        <v>-0.96666666666666667</v>
      </c>
      <c r="O920" s="43" t="str">
        <f t="shared" si="992"/>
        <v/>
      </c>
    </row>
    <row r="921" spans="1:15" x14ac:dyDescent="0.45">
      <c r="D921" s="27">
        <f t="shared" si="993"/>
        <v>0</v>
      </c>
      <c r="E921" s="28">
        <f t="shared" si="994"/>
        <v>0</v>
      </c>
      <c r="F921" s="42">
        <f t="shared" si="995"/>
        <v>-3.3333333333333333E-2</v>
      </c>
      <c r="G921" s="42">
        <f t="shared" si="996"/>
        <v>-0.23333333333333334</v>
      </c>
      <c r="H921" s="42">
        <f t="shared" si="997"/>
        <v>-0.36666666666666664</v>
      </c>
      <c r="I921" s="42">
        <f t="shared" si="998"/>
        <v>-0.43333333333333335</v>
      </c>
      <c r="J921" s="42">
        <f t="shared" si="999"/>
        <v>-0.56666666666666665</v>
      </c>
      <c r="K921" s="42">
        <f t="shared" si="1000"/>
        <v>-0.6333333333333333</v>
      </c>
      <c r="L921" s="42">
        <f t="shared" si="1001"/>
        <v>-0.76666666666666672</v>
      </c>
      <c r="M921" s="42">
        <f t="shared" si="1002"/>
        <v>-0.96666666666666667</v>
      </c>
      <c r="O921" s="43" t="str">
        <f t="shared" si="992"/>
        <v/>
      </c>
    </row>
    <row r="922" spans="1:15" x14ac:dyDescent="0.45">
      <c r="D922" s="27">
        <f t="shared" si="993"/>
        <v>0</v>
      </c>
      <c r="E922" s="28">
        <f t="shared" si="994"/>
        <v>0</v>
      </c>
      <c r="F922" s="42">
        <f t="shared" si="995"/>
        <v>-3.3333333333333333E-2</v>
      </c>
      <c r="G922" s="42">
        <f t="shared" si="996"/>
        <v>-0.23333333333333334</v>
      </c>
      <c r="H922" s="42">
        <f t="shared" si="997"/>
        <v>-0.36666666666666664</v>
      </c>
      <c r="I922" s="42">
        <f t="shared" si="998"/>
        <v>-0.43333333333333335</v>
      </c>
      <c r="J922" s="42">
        <f t="shared" si="999"/>
        <v>-0.56666666666666665</v>
      </c>
      <c r="K922" s="42">
        <f t="shared" si="1000"/>
        <v>-0.6333333333333333</v>
      </c>
      <c r="L922" s="42">
        <f t="shared" si="1001"/>
        <v>-0.76666666666666672</v>
      </c>
      <c r="M922" s="42">
        <f t="shared" si="1002"/>
        <v>-0.96666666666666667</v>
      </c>
      <c r="O922" s="43" t="str">
        <f t="shared" si="992"/>
        <v/>
      </c>
    </row>
    <row r="923" spans="1:15" x14ac:dyDescent="0.45">
      <c r="D923" s="27">
        <f t="shared" si="993"/>
        <v>0</v>
      </c>
      <c r="E923" s="28">
        <f t="shared" si="994"/>
        <v>0</v>
      </c>
      <c r="F923" s="42">
        <f t="shared" si="995"/>
        <v>-3.3333333333333333E-2</v>
      </c>
      <c r="G923" s="42">
        <f t="shared" si="996"/>
        <v>-0.23333333333333334</v>
      </c>
      <c r="H923" s="42">
        <f t="shared" si="997"/>
        <v>-0.36666666666666664</v>
      </c>
      <c r="I923" s="42">
        <f t="shared" si="998"/>
        <v>-0.43333333333333335</v>
      </c>
      <c r="J923" s="42">
        <f t="shared" si="999"/>
        <v>-0.56666666666666665</v>
      </c>
      <c r="K923" s="42">
        <f t="shared" si="1000"/>
        <v>-0.6333333333333333</v>
      </c>
      <c r="L923" s="42">
        <f t="shared" si="1001"/>
        <v>-0.76666666666666672</v>
      </c>
      <c r="M923" s="42">
        <f t="shared" si="1002"/>
        <v>-0.96666666666666667</v>
      </c>
      <c r="O923" s="43" t="str">
        <f t="shared" si="992"/>
        <v/>
      </c>
    </row>
    <row r="924" spans="1:15" x14ac:dyDescent="0.45">
      <c r="D924" s="27">
        <f t="shared" si="993"/>
        <v>0</v>
      </c>
      <c r="E924" s="28">
        <f t="shared" si="994"/>
        <v>0</v>
      </c>
      <c r="F924" s="42">
        <f t="shared" si="995"/>
        <v>-3.3333333333333333E-2</v>
      </c>
      <c r="G924" s="42">
        <f t="shared" si="996"/>
        <v>-0.23333333333333334</v>
      </c>
      <c r="H924" s="42">
        <f t="shared" si="997"/>
        <v>-0.36666666666666664</v>
      </c>
      <c r="I924" s="42">
        <f t="shared" si="998"/>
        <v>-0.43333333333333335</v>
      </c>
      <c r="J924" s="42">
        <f t="shared" si="999"/>
        <v>-0.56666666666666665</v>
      </c>
      <c r="K924" s="42">
        <f t="shared" si="1000"/>
        <v>-0.6333333333333333</v>
      </c>
      <c r="L924" s="42">
        <f t="shared" si="1001"/>
        <v>-0.76666666666666672</v>
      </c>
      <c r="M924" s="42">
        <f t="shared" si="1002"/>
        <v>-0.96666666666666667</v>
      </c>
      <c r="O924" s="43" t="str">
        <f t="shared" si="992"/>
        <v/>
      </c>
    </row>
    <row r="925" spans="1:15" ht="19.2" thickBot="1" x14ac:dyDescent="0.5">
      <c r="F925" s="42"/>
      <c r="G925" s="42"/>
      <c r="H925" s="42"/>
      <c r="I925" s="42"/>
      <c r="J925" s="42"/>
      <c r="K925" s="42"/>
      <c r="L925" s="42"/>
      <c r="M925" s="42"/>
    </row>
    <row r="926" spans="1:15" ht="19.2" thickBot="1" x14ac:dyDescent="0.5">
      <c r="C926" s="44"/>
      <c r="E926" s="34">
        <f>E907</f>
        <v>0</v>
      </c>
      <c r="F926" s="45">
        <v>1</v>
      </c>
      <c r="G926" s="46">
        <v>7</v>
      </c>
      <c r="H926" s="46">
        <v>11</v>
      </c>
      <c r="I926" s="46">
        <v>13</v>
      </c>
      <c r="J926" s="46">
        <v>17</v>
      </c>
      <c r="K926" s="46">
        <v>19</v>
      </c>
      <c r="L926" s="46">
        <v>23</v>
      </c>
      <c r="M926" s="47">
        <v>29</v>
      </c>
      <c r="O926" s="27" t="s">
        <v>2</v>
      </c>
    </row>
    <row r="927" spans="1:15" x14ac:dyDescent="0.45">
      <c r="A927" s="29">
        <f>A917+1</f>
        <v>92</v>
      </c>
      <c r="D927" s="27">
        <f>C917</f>
        <v>0</v>
      </c>
      <c r="E927" s="28">
        <f>D927*$E$6</f>
        <v>0</v>
      </c>
      <c r="F927" s="42">
        <f>(E927-1)/30</f>
        <v>-3.3333333333333333E-2</v>
      </c>
      <c r="G927" s="42">
        <f>($E927-7)/30</f>
        <v>-0.23333333333333334</v>
      </c>
      <c r="H927" s="42">
        <f>($E927-11)/30</f>
        <v>-0.36666666666666664</v>
      </c>
      <c r="I927" s="42">
        <f>($E927-13)/30</f>
        <v>-0.43333333333333335</v>
      </c>
      <c r="J927" s="42">
        <f>($E927-17)/30</f>
        <v>-0.56666666666666665</v>
      </c>
      <c r="K927" s="42">
        <f>($E927-19)/30</f>
        <v>-0.6333333333333333</v>
      </c>
      <c r="L927" s="42">
        <f>($E927-23)/30</f>
        <v>-0.76666666666666672</v>
      </c>
      <c r="M927" s="42">
        <f>($E927-29)/30</f>
        <v>-0.96666666666666667</v>
      </c>
      <c r="O927" s="43" t="str">
        <f t="shared" ref="O927:O934" si="1003">FactorNumber(E927)</f>
        <v/>
      </c>
    </row>
    <row r="928" spans="1:15" x14ac:dyDescent="0.45">
      <c r="D928" s="27">
        <f t="shared" ref="D928:D934" si="1004">C918</f>
        <v>0</v>
      </c>
      <c r="E928" s="28">
        <f t="shared" ref="E928:E934" si="1005">D928*$E$6</f>
        <v>0</v>
      </c>
      <c r="F928" s="42">
        <f t="shared" ref="F928:F934" si="1006">(E928-1)/30</f>
        <v>-3.3333333333333333E-2</v>
      </c>
      <c r="G928" s="42">
        <f t="shared" ref="G928:G934" si="1007">($E928-7)/30</f>
        <v>-0.23333333333333334</v>
      </c>
      <c r="H928" s="42">
        <f t="shared" ref="H928:H934" si="1008">($E928-11)/30</f>
        <v>-0.36666666666666664</v>
      </c>
      <c r="I928" s="42">
        <f t="shared" ref="I928:I934" si="1009">($E928-13)/30</f>
        <v>-0.43333333333333335</v>
      </c>
      <c r="J928" s="42">
        <f t="shared" ref="J928:J934" si="1010">($E928-17)/30</f>
        <v>-0.56666666666666665</v>
      </c>
      <c r="K928" s="42">
        <f t="shared" ref="K928:K934" si="1011">($E928-19)/30</f>
        <v>-0.6333333333333333</v>
      </c>
      <c r="L928" s="42">
        <f t="shared" ref="L928:L934" si="1012">($E928-23)/30</f>
        <v>-0.76666666666666672</v>
      </c>
      <c r="M928" s="42">
        <f t="shared" ref="M928:M934" si="1013">($E928-29)/30</f>
        <v>-0.96666666666666667</v>
      </c>
      <c r="O928" s="43" t="str">
        <f t="shared" si="1003"/>
        <v/>
      </c>
    </row>
    <row r="929" spans="1:15" x14ac:dyDescent="0.45">
      <c r="D929" s="27">
        <f t="shared" si="1004"/>
        <v>0</v>
      </c>
      <c r="E929" s="28">
        <f t="shared" si="1005"/>
        <v>0</v>
      </c>
      <c r="F929" s="42">
        <f t="shared" si="1006"/>
        <v>-3.3333333333333333E-2</v>
      </c>
      <c r="G929" s="42">
        <f t="shared" si="1007"/>
        <v>-0.23333333333333334</v>
      </c>
      <c r="H929" s="42">
        <f t="shared" si="1008"/>
        <v>-0.36666666666666664</v>
      </c>
      <c r="I929" s="42">
        <f t="shared" si="1009"/>
        <v>-0.43333333333333335</v>
      </c>
      <c r="J929" s="42">
        <f t="shared" si="1010"/>
        <v>-0.56666666666666665</v>
      </c>
      <c r="K929" s="42">
        <f t="shared" si="1011"/>
        <v>-0.6333333333333333</v>
      </c>
      <c r="L929" s="42">
        <f t="shared" si="1012"/>
        <v>-0.76666666666666672</v>
      </c>
      <c r="M929" s="42">
        <f t="shared" si="1013"/>
        <v>-0.96666666666666667</v>
      </c>
      <c r="O929" s="43" t="str">
        <f t="shared" si="1003"/>
        <v/>
      </c>
    </row>
    <row r="930" spans="1:15" x14ac:dyDescent="0.45">
      <c r="D930" s="27">
        <f t="shared" si="1004"/>
        <v>0</v>
      </c>
      <c r="E930" s="28">
        <f t="shared" si="1005"/>
        <v>0</v>
      </c>
      <c r="F930" s="42">
        <f t="shared" si="1006"/>
        <v>-3.3333333333333333E-2</v>
      </c>
      <c r="G930" s="42">
        <f t="shared" si="1007"/>
        <v>-0.23333333333333334</v>
      </c>
      <c r="H930" s="42">
        <f t="shared" si="1008"/>
        <v>-0.36666666666666664</v>
      </c>
      <c r="I930" s="42">
        <f t="shared" si="1009"/>
        <v>-0.43333333333333335</v>
      </c>
      <c r="J930" s="42">
        <f t="shared" si="1010"/>
        <v>-0.56666666666666665</v>
      </c>
      <c r="K930" s="42">
        <f t="shared" si="1011"/>
        <v>-0.6333333333333333</v>
      </c>
      <c r="L930" s="42">
        <f t="shared" si="1012"/>
        <v>-0.76666666666666672</v>
      </c>
      <c r="M930" s="42">
        <f t="shared" si="1013"/>
        <v>-0.96666666666666667</v>
      </c>
      <c r="O930" s="43" t="str">
        <f t="shared" si="1003"/>
        <v/>
      </c>
    </row>
    <row r="931" spans="1:15" x14ac:dyDescent="0.45">
      <c r="D931" s="27">
        <f t="shared" si="1004"/>
        <v>0</v>
      </c>
      <c r="E931" s="28">
        <f t="shared" si="1005"/>
        <v>0</v>
      </c>
      <c r="F931" s="42">
        <f t="shared" si="1006"/>
        <v>-3.3333333333333333E-2</v>
      </c>
      <c r="G931" s="42">
        <f t="shared" si="1007"/>
        <v>-0.23333333333333334</v>
      </c>
      <c r="H931" s="42">
        <f t="shared" si="1008"/>
        <v>-0.36666666666666664</v>
      </c>
      <c r="I931" s="42">
        <f t="shared" si="1009"/>
        <v>-0.43333333333333335</v>
      </c>
      <c r="J931" s="42">
        <f t="shared" si="1010"/>
        <v>-0.56666666666666665</v>
      </c>
      <c r="K931" s="42">
        <f t="shared" si="1011"/>
        <v>-0.6333333333333333</v>
      </c>
      <c r="L931" s="42">
        <f t="shared" si="1012"/>
        <v>-0.76666666666666672</v>
      </c>
      <c r="M931" s="42">
        <f t="shared" si="1013"/>
        <v>-0.96666666666666667</v>
      </c>
      <c r="O931" s="43" t="str">
        <f t="shared" si="1003"/>
        <v/>
      </c>
    </row>
    <row r="932" spans="1:15" x14ac:dyDescent="0.45">
      <c r="D932" s="27">
        <f t="shared" si="1004"/>
        <v>0</v>
      </c>
      <c r="E932" s="28">
        <f t="shared" si="1005"/>
        <v>0</v>
      </c>
      <c r="F932" s="42">
        <f t="shared" si="1006"/>
        <v>-3.3333333333333333E-2</v>
      </c>
      <c r="G932" s="42">
        <f t="shared" si="1007"/>
        <v>-0.23333333333333334</v>
      </c>
      <c r="H932" s="42">
        <f t="shared" si="1008"/>
        <v>-0.36666666666666664</v>
      </c>
      <c r="I932" s="42">
        <f t="shared" si="1009"/>
        <v>-0.43333333333333335</v>
      </c>
      <c r="J932" s="42">
        <f t="shared" si="1010"/>
        <v>-0.56666666666666665</v>
      </c>
      <c r="K932" s="42">
        <f t="shared" si="1011"/>
        <v>-0.6333333333333333</v>
      </c>
      <c r="L932" s="42">
        <f t="shared" si="1012"/>
        <v>-0.76666666666666672</v>
      </c>
      <c r="M932" s="42">
        <f t="shared" si="1013"/>
        <v>-0.96666666666666667</v>
      </c>
      <c r="O932" s="43" t="str">
        <f t="shared" si="1003"/>
        <v/>
      </c>
    </row>
    <row r="933" spans="1:15" x14ac:dyDescent="0.45">
      <c r="D933" s="27">
        <f t="shared" si="1004"/>
        <v>0</v>
      </c>
      <c r="E933" s="28">
        <f t="shared" si="1005"/>
        <v>0</v>
      </c>
      <c r="F933" s="42">
        <f t="shared" si="1006"/>
        <v>-3.3333333333333333E-2</v>
      </c>
      <c r="G933" s="42">
        <f t="shared" si="1007"/>
        <v>-0.23333333333333334</v>
      </c>
      <c r="H933" s="42">
        <f t="shared" si="1008"/>
        <v>-0.36666666666666664</v>
      </c>
      <c r="I933" s="42">
        <f t="shared" si="1009"/>
        <v>-0.43333333333333335</v>
      </c>
      <c r="J933" s="42">
        <f t="shared" si="1010"/>
        <v>-0.56666666666666665</v>
      </c>
      <c r="K933" s="42">
        <f t="shared" si="1011"/>
        <v>-0.6333333333333333</v>
      </c>
      <c r="L933" s="42">
        <f t="shared" si="1012"/>
        <v>-0.76666666666666672</v>
      </c>
      <c r="M933" s="42">
        <f t="shared" si="1013"/>
        <v>-0.96666666666666667</v>
      </c>
      <c r="O933" s="43" t="str">
        <f t="shared" si="1003"/>
        <v/>
      </c>
    </row>
    <row r="934" spans="1:15" x14ac:dyDescent="0.45">
      <c r="D934" s="27">
        <f t="shared" si="1004"/>
        <v>0</v>
      </c>
      <c r="E934" s="28">
        <f t="shared" si="1005"/>
        <v>0</v>
      </c>
      <c r="F934" s="42">
        <f t="shared" si="1006"/>
        <v>-3.3333333333333333E-2</v>
      </c>
      <c r="G934" s="42">
        <f t="shared" si="1007"/>
        <v>-0.23333333333333334</v>
      </c>
      <c r="H934" s="42">
        <f t="shared" si="1008"/>
        <v>-0.36666666666666664</v>
      </c>
      <c r="I934" s="42">
        <f t="shared" si="1009"/>
        <v>-0.43333333333333335</v>
      </c>
      <c r="J934" s="42">
        <f t="shared" si="1010"/>
        <v>-0.56666666666666665</v>
      </c>
      <c r="K934" s="42">
        <f t="shared" si="1011"/>
        <v>-0.6333333333333333</v>
      </c>
      <c r="L934" s="42">
        <f t="shared" si="1012"/>
        <v>-0.76666666666666672</v>
      </c>
      <c r="M934" s="42">
        <f t="shared" si="1013"/>
        <v>-0.96666666666666667</v>
      </c>
      <c r="O934" s="43" t="str">
        <f t="shared" si="1003"/>
        <v/>
      </c>
    </row>
    <row r="935" spans="1:15" ht="19.2" thickBot="1" x14ac:dyDescent="0.5">
      <c r="F935" s="42"/>
      <c r="G935" s="42"/>
      <c r="H935" s="42"/>
      <c r="I935" s="42"/>
      <c r="J935" s="42"/>
      <c r="K935" s="42"/>
      <c r="L935" s="42"/>
      <c r="M935" s="42"/>
    </row>
    <row r="936" spans="1:15" ht="19.2" thickBot="1" x14ac:dyDescent="0.5">
      <c r="C936" s="44"/>
      <c r="E936" s="34">
        <f>E917</f>
        <v>0</v>
      </c>
      <c r="F936" s="45">
        <v>1</v>
      </c>
      <c r="G936" s="46">
        <v>7</v>
      </c>
      <c r="H936" s="46">
        <v>11</v>
      </c>
      <c r="I936" s="46">
        <v>13</v>
      </c>
      <c r="J936" s="46">
        <v>17</v>
      </c>
      <c r="K936" s="46">
        <v>19</v>
      </c>
      <c r="L936" s="46">
        <v>23</v>
      </c>
      <c r="M936" s="47">
        <v>29</v>
      </c>
      <c r="O936" s="27" t="s">
        <v>2</v>
      </c>
    </row>
    <row r="937" spans="1:15" x14ac:dyDescent="0.45">
      <c r="A937" s="29">
        <f>A927+1</f>
        <v>93</v>
      </c>
      <c r="D937" s="27">
        <f>C927</f>
        <v>0</v>
      </c>
      <c r="E937" s="28">
        <f>D937*$E$6</f>
        <v>0</v>
      </c>
      <c r="F937" s="42">
        <f>(E937-1)/30</f>
        <v>-3.3333333333333333E-2</v>
      </c>
      <c r="G937" s="42">
        <f>($E937-7)/30</f>
        <v>-0.23333333333333334</v>
      </c>
      <c r="H937" s="42">
        <f>($E937-11)/30</f>
        <v>-0.36666666666666664</v>
      </c>
      <c r="I937" s="42">
        <f>($E937-13)/30</f>
        <v>-0.43333333333333335</v>
      </c>
      <c r="J937" s="42">
        <f>($E937-17)/30</f>
        <v>-0.56666666666666665</v>
      </c>
      <c r="K937" s="42">
        <f>($E937-19)/30</f>
        <v>-0.6333333333333333</v>
      </c>
      <c r="L937" s="42">
        <f>($E937-23)/30</f>
        <v>-0.76666666666666672</v>
      </c>
      <c r="M937" s="42">
        <f>($E937-29)/30</f>
        <v>-0.96666666666666667</v>
      </c>
      <c r="O937" s="43" t="str">
        <f t="shared" ref="O937:O944" si="1014">FactorNumber(E937)</f>
        <v/>
      </c>
    </row>
    <row r="938" spans="1:15" x14ac:dyDescent="0.45">
      <c r="D938" s="27">
        <f t="shared" ref="D938:D944" si="1015">C928</f>
        <v>0</v>
      </c>
      <c r="E938" s="28">
        <f t="shared" ref="E938:E944" si="1016">D938*$E$6</f>
        <v>0</v>
      </c>
      <c r="F938" s="42">
        <f t="shared" ref="F938:F944" si="1017">(E938-1)/30</f>
        <v>-3.3333333333333333E-2</v>
      </c>
      <c r="G938" s="42">
        <f t="shared" ref="G938:G944" si="1018">($E938-7)/30</f>
        <v>-0.23333333333333334</v>
      </c>
      <c r="H938" s="42">
        <f t="shared" ref="H938:H944" si="1019">($E938-11)/30</f>
        <v>-0.36666666666666664</v>
      </c>
      <c r="I938" s="42">
        <f t="shared" ref="I938:I944" si="1020">($E938-13)/30</f>
        <v>-0.43333333333333335</v>
      </c>
      <c r="J938" s="42">
        <f t="shared" ref="J938:J944" si="1021">($E938-17)/30</f>
        <v>-0.56666666666666665</v>
      </c>
      <c r="K938" s="42">
        <f t="shared" ref="K938:K944" si="1022">($E938-19)/30</f>
        <v>-0.6333333333333333</v>
      </c>
      <c r="L938" s="42">
        <f t="shared" ref="L938:L944" si="1023">($E938-23)/30</f>
        <v>-0.76666666666666672</v>
      </c>
      <c r="M938" s="42">
        <f t="shared" ref="M938:M944" si="1024">($E938-29)/30</f>
        <v>-0.96666666666666667</v>
      </c>
      <c r="O938" s="43" t="str">
        <f t="shared" si="1014"/>
        <v/>
      </c>
    </row>
    <row r="939" spans="1:15" x14ac:dyDescent="0.45">
      <c r="D939" s="27">
        <f t="shared" si="1015"/>
        <v>0</v>
      </c>
      <c r="E939" s="28">
        <f t="shared" si="1016"/>
        <v>0</v>
      </c>
      <c r="F939" s="42">
        <f t="shared" si="1017"/>
        <v>-3.3333333333333333E-2</v>
      </c>
      <c r="G939" s="42">
        <f t="shared" si="1018"/>
        <v>-0.23333333333333334</v>
      </c>
      <c r="H939" s="42">
        <f t="shared" si="1019"/>
        <v>-0.36666666666666664</v>
      </c>
      <c r="I939" s="42">
        <f t="shared" si="1020"/>
        <v>-0.43333333333333335</v>
      </c>
      <c r="J939" s="42">
        <f t="shared" si="1021"/>
        <v>-0.56666666666666665</v>
      </c>
      <c r="K939" s="42">
        <f t="shared" si="1022"/>
        <v>-0.6333333333333333</v>
      </c>
      <c r="L939" s="42">
        <f t="shared" si="1023"/>
        <v>-0.76666666666666672</v>
      </c>
      <c r="M939" s="42">
        <f t="shared" si="1024"/>
        <v>-0.96666666666666667</v>
      </c>
      <c r="O939" s="43" t="str">
        <f t="shared" si="1014"/>
        <v/>
      </c>
    </row>
    <row r="940" spans="1:15" x14ac:dyDescent="0.45">
      <c r="D940" s="27">
        <f t="shared" si="1015"/>
        <v>0</v>
      </c>
      <c r="E940" s="28">
        <f t="shared" si="1016"/>
        <v>0</v>
      </c>
      <c r="F940" s="42">
        <f t="shared" si="1017"/>
        <v>-3.3333333333333333E-2</v>
      </c>
      <c r="G940" s="42">
        <f t="shared" si="1018"/>
        <v>-0.23333333333333334</v>
      </c>
      <c r="H940" s="42">
        <f t="shared" si="1019"/>
        <v>-0.36666666666666664</v>
      </c>
      <c r="I940" s="42">
        <f t="shared" si="1020"/>
        <v>-0.43333333333333335</v>
      </c>
      <c r="J940" s="42">
        <f t="shared" si="1021"/>
        <v>-0.56666666666666665</v>
      </c>
      <c r="K940" s="42">
        <f t="shared" si="1022"/>
        <v>-0.6333333333333333</v>
      </c>
      <c r="L940" s="42">
        <f t="shared" si="1023"/>
        <v>-0.76666666666666672</v>
      </c>
      <c r="M940" s="42">
        <f t="shared" si="1024"/>
        <v>-0.96666666666666667</v>
      </c>
      <c r="O940" s="43" t="str">
        <f t="shared" si="1014"/>
        <v/>
      </c>
    </row>
    <row r="941" spans="1:15" x14ac:dyDescent="0.45">
      <c r="D941" s="27">
        <f t="shared" si="1015"/>
        <v>0</v>
      </c>
      <c r="E941" s="28">
        <f t="shared" si="1016"/>
        <v>0</v>
      </c>
      <c r="F941" s="42">
        <f t="shared" si="1017"/>
        <v>-3.3333333333333333E-2</v>
      </c>
      <c r="G941" s="42">
        <f t="shared" si="1018"/>
        <v>-0.23333333333333334</v>
      </c>
      <c r="H941" s="42">
        <f t="shared" si="1019"/>
        <v>-0.36666666666666664</v>
      </c>
      <c r="I941" s="42">
        <f t="shared" si="1020"/>
        <v>-0.43333333333333335</v>
      </c>
      <c r="J941" s="42">
        <f t="shared" si="1021"/>
        <v>-0.56666666666666665</v>
      </c>
      <c r="K941" s="42">
        <f t="shared" si="1022"/>
        <v>-0.6333333333333333</v>
      </c>
      <c r="L941" s="42">
        <f t="shared" si="1023"/>
        <v>-0.76666666666666672</v>
      </c>
      <c r="M941" s="42">
        <f t="shared" si="1024"/>
        <v>-0.96666666666666667</v>
      </c>
      <c r="O941" s="43" t="str">
        <f t="shared" si="1014"/>
        <v/>
      </c>
    </row>
    <row r="942" spans="1:15" x14ac:dyDescent="0.45">
      <c r="D942" s="27">
        <f t="shared" si="1015"/>
        <v>0</v>
      </c>
      <c r="E942" s="28">
        <f t="shared" si="1016"/>
        <v>0</v>
      </c>
      <c r="F942" s="42">
        <f t="shared" si="1017"/>
        <v>-3.3333333333333333E-2</v>
      </c>
      <c r="G942" s="42">
        <f t="shared" si="1018"/>
        <v>-0.23333333333333334</v>
      </c>
      <c r="H942" s="42">
        <f t="shared" si="1019"/>
        <v>-0.36666666666666664</v>
      </c>
      <c r="I942" s="42">
        <f t="shared" si="1020"/>
        <v>-0.43333333333333335</v>
      </c>
      <c r="J942" s="42">
        <f t="shared" si="1021"/>
        <v>-0.56666666666666665</v>
      </c>
      <c r="K942" s="42">
        <f t="shared" si="1022"/>
        <v>-0.6333333333333333</v>
      </c>
      <c r="L942" s="42">
        <f t="shared" si="1023"/>
        <v>-0.76666666666666672</v>
      </c>
      <c r="M942" s="42">
        <f t="shared" si="1024"/>
        <v>-0.96666666666666667</v>
      </c>
      <c r="O942" s="43" t="str">
        <f t="shared" si="1014"/>
        <v/>
      </c>
    </row>
    <row r="943" spans="1:15" x14ac:dyDescent="0.45">
      <c r="D943" s="27">
        <f t="shared" si="1015"/>
        <v>0</v>
      </c>
      <c r="E943" s="28">
        <f t="shared" si="1016"/>
        <v>0</v>
      </c>
      <c r="F943" s="42">
        <f t="shared" si="1017"/>
        <v>-3.3333333333333333E-2</v>
      </c>
      <c r="G943" s="42">
        <f t="shared" si="1018"/>
        <v>-0.23333333333333334</v>
      </c>
      <c r="H943" s="42">
        <f t="shared" si="1019"/>
        <v>-0.36666666666666664</v>
      </c>
      <c r="I943" s="42">
        <f t="shared" si="1020"/>
        <v>-0.43333333333333335</v>
      </c>
      <c r="J943" s="42">
        <f t="shared" si="1021"/>
        <v>-0.56666666666666665</v>
      </c>
      <c r="K943" s="42">
        <f t="shared" si="1022"/>
        <v>-0.6333333333333333</v>
      </c>
      <c r="L943" s="42">
        <f t="shared" si="1023"/>
        <v>-0.76666666666666672</v>
      </c>
      <c r="M943" s="42">
        <f t="shared" si="1024"/>
        <v>-0.96666666666666667</v>
      </c>
      <c r="O943" s="43" t="str">
        <f t="shared" si="1014"/>
        <v/>
      </c>
    </row>
    <row r="944" spans="1:15" x14ac:dyDescent="0.45">
      <c r="D944" s="27">
        <f t="shared" si="1015"/>
        <v>0</v>
      </c>
      <c r="E944" s="28">
        <f t="shared" si="1016"/>
        <v>0</v>
      </c>
      <c r="F944" s="42">
        <f t="shared" si="1017"/>
        <v>-3.3333333333333333E-2</v>
      </c>
      <c r="G944" s="42">
        <f t="shared" si="1018"/>
        <v>-0.23333333333333334</v>
      </c>
      <c r="H944" s="42">
        <f t="shared" si="1019"/>
        <v>-0.36666666666666664</v>
      </c>
      <c r="I944" s="42">
        <f t="shared" si="1020"/>
        <v>-0.43333333333333335</v>
      </c>
      <c r="J944" s="42">
        <f t="shared" si="1021"/>
        <v>-0.56666666666666665</v>
      </c>
      <c r="K944" s="42">
        <f t="shared" si="1022"/>
        <v>-0.6333333333333333</v>
      </c>
      <c r="L944" s="42">
        <f t="shared" si="1023"/>
        <v>-0.76666666666666672</v>
      </c>
      <c r="M944" s="42">
        <f t="shared" si="1024"/>
        <v>-0.96666666666666667</v>
      </c>
      <c r="O944" s="43" t="str">
        <f t="shared" si="1014"/>
        <v/>
      </c>
    </row>
    <row r="945" spans="1:15" ht="19.2" thickBot="1" x14ac:dyDescent="0.5">
      <c r="F945" s="42"/>
      <c r="G945" s="42"/>
      <c r="H945" s="42"/>
      <c r="I945" s="42"/>
      <c r="J945" s="42"/>
      <c r="K945" s="42"/>
      <c r="L945" s="42"/>
      <c r="M945" s="42"/>
    </row>
    <row r="946" spans="1:15" ht="19.2" thickBot="1" x14ac:dyDescent="0.5">
      <c r="C946" s="44"/>
      <c r="E946" s="34">
        <f>E927</f>
        <v>0</v>
      </c>
      <c r="F946" s="45">
        <v>1</v>
      </c>
      <c r="G946" s="46">
        <v>7</v>
      </c>
      <c r="H946" s="46">
        <v>11</v>
      </c>
      <c r="I946" s="46">
        <v>13</v>
      </c>
      <c r="J946" s="46">
        <v>17</v>
      </c>
      <c r="K946" s="46">
        <v>19</v>
      </c>
      <c r="L946" s="46">
        <v>23</v>
      </c>
      <c r="M946" s="47">
        <v>29</v>
      </c>
      <c r="O946" s="27" t="s">
        <v>2</v>
      </c>
    </row>
    <row r="947" spans="1:15" x14ac:dyDescent="0.45">
      <c r="A947" s="29">
        <f>A937+1</f>
        <v>94</v>
      </c>
      <c r="D947" s="27">
        <f>C937</f>
        <v>0</v>
      </c>
      <c r="E947" s="28">
        <f>D947*$E$6</f>
        <v>0</v>
      </c>
      <c r="F947" s="42">
        <f>(E947-1)/30</f>
        <v>-3.3333333333333333E-2</v>
      </c>
      <c r="G947" s="42">
        <f>($E947-7)/30</f>
        <v>-0.23333333333333334</v>
      </c>
      <c r="H947" s="42">
        <f>($E947-11)/30</f>
        <v>-0.36666666666666664</v>
      </c>
      <c r="I947" s="42">
        <f>($E947-13)/30</f>
        <v>-0.43333333333333335</v>
      </c>
      <c r="J947" s="42">
        <f>($E947-17)/30</f>
        <v>-0.56666666666666665</v>
      </c>
      <c r="K947" s="42">
        <f>($E947-19)/30</f>
        <v>-0.6333333333333333</v>
      </c>
      <c r="L947" s="42">
        <f>($E947-23)/30</f>
        <v>-0.76666666666666672</v>
      </c>
      <c r="M947" s="42">
        <f>($E947-29)/30</f>
        <v>-0.96666666666666667</v>
      </c>
      <c r="O947" s="43" t="str">
        <f t="shared" ref="O947:O954" si="1025">FactorNumber(E947)</f>
        <v/>
      </c>
    </row>
    <row r="948" spans="1:15" x14ac:dyDescent="0.45">
      <c r="D948" s="27">
        <f t="shared" ref="D948:D954" si="1026">C938</f>
        <v>0</v>
      </c>
      <c r="E948" s="28">
        <f t="shared" ref="E948:E954" si="1027">D948*$E$6</f>
        <v>0</v>
      </c>
      <c r="F948" s="42">
        <f t="shared" ref="F948:F954" si="1028">(E948-1)/30</f>
        <v>-3.3333333333333333E-2</v>
      </c>
      <c r="G948" s="42">
        <f t="shared" ref="G948:G954" si="1029">($E948-7)/30</f>
        <v>-0.23333333333333334</v>
      </c>
      <c r="H948" s="42">
        <f t="shared" ref="H948:H954" si="1030">($E948-11)/30</f>
        <v>-0.36666666666666664</v>
      </c>
      <c r="I948" s="42">
        <f t="shared" ref="I948:I954" si="1031">($E948-13)/30</f>
        <v>-0.43333333333333335</v>
      </c>
      <c r="J948" s="42">
        <f t="shared" ref="J948:J954" si="1032">($E948-17)/30</f>
        <v>-0.56666666666666665</v>
      </c>
      <c r="K948" s="42">
        <f t="shared" ref="K948:K954" si="1033">($E948-19)/30</f>
        <v>-0.6333333333333333</v>
      </c>
      <c r="L948" s="42">
        <f t="shared" ref="L948:L954" si="1034">($E948-23)/30</f>
        <v>-0.76666666666666672</v>
      </c>
      <c r="M948" s="42">
        <f t="shared" ref="M948:M954" si="1035">($E948-29)/30</f>
        <v>-0.96666666666666667</v>
      </c>
      <c r="O948" s="43" t="str">
        <f t="shared" si="1025"/>
        <v/>
      </c>
    </row>
    <row r="949" spans="1:15" x14ac:dyDescent="0.45">
      <c r="D949" s="27">
        <f t="shared" si="1026"/>
        <v>0</v>
      </c>
      <c r="E949" s="28">
        <f t="shared" si="1027"/>
        <v>0</v>
      </c>
      <c r="F949" s="42">
        <f t="shared" si="1028"/>
        <v>-3.3333333333333333E-2</v>
      </c>
      <c r="G949" s="42">
        <f t="shared" si="1029"/>
        <v>-0.23333333333333334</v>
      </c>
      <c r="H949" s="42">
        <f t="shared" si="1030"/>
        <v>-0.36666666666666664</v>
      </c>
      <c r="I949" s="42">
        <f t="shared" si="1031"/>
        <v>-0.43333333333333335</v>
      </c>
      <c r="J949" s="42">
        <f t="shared" si="1032"/>
        <v>-0.56666666666666665</v>
      </c>
      <c r="K949" s="42">
        <f t="shared" si="1033"/>
        <v>-0.6333333333333333</v>
      </c>
      <c r="L949" s="42">
        <f t="shared" si="1034"/>
        <v>-0.76666666666666672</v>
      </c>
      <c r="M949" s="42">
        <f t="shared" si="1035"/>
        <v>-0.96666666666666667</v>
      </c>
      <c r="O949" s="43" t="str">
        <f t="shared" si="1025"/>
        <v/>
      </c>
    </row>
    <row r="950" spans="1:15" x14ac:dyDescent="0.45">
      <c r="D950" s="27">
        <f t="shared" si="1026"/>
        <v>0</v>
      </c>
      <c r="E950" s="28">
        <f t="shared" si="1027"/>
        <v>0</v>
      </c>
      <c r="F950" s="42">
        <f t="shared" si="1028"/>
        <v>-3.3333333333333333E-2</v>
      </c>
      <c r="G950" s="42">
        <f t="shared" si="1029"/>
        <v>-0.23333333333333334</v>
      </c>
      <c r="H950" s="42">
        <f t="shared" si="1030"/>
        <v>-0.36666666666666664</v>
      </c>
      <c r="I950" s="42">
        <f t="shared" si="1031"/>
        <v>-0.43333333333333335</v>
      </c>
      <c r="J950" s="42">
        <f t="shared" si="1032"/>
        <v>-0.56666666666666665</v>
      </c>
      <c r="K950" s="42">
        <f t="shared" si="1033"/>
        <v>-0.6333333333333333</v>
      </c>
      <c r="L950" s="42">
        <f t="shared" si="1034"/>
        <v>-0.76666666666666672</v>
      </c>
      <c r="M950" s="42">
        <f t="shared" si="1035"/>
        <v>-0.96666666666666667</v>
      </c>
      <c r="O950" s="43" t="str">
        <f t="shared" si="1025"/>
        <v/>
      </c>
    </row>
    <row r="951" spans="1:15" x14ac:dyDescent="0.45">
      <c r="D951" s="27">
        <f t="shared" si="1026"/>
        <v>0</v>
      </c>
      <c r="E951" s="28">
        <f t="shared" si="1027"/>
        <v>0</v>
      </c>
      <c r="F951" s="42">
        <f t="shared" si="1028"/>
        <v>-3.3333333333333333E-2</v>
      </c>
      <c r="G951" s="42">
        <f t="shared" si="1029"/>
        <v>-0.23333333333333334</v>
      </c>
      <c r="H951" s="42">
        <f t="shared" si="1030"/>
        <v>-0.36666666666666664</v>
      </c>
      <c r="I951" s="42">
        <f t="shared" si="1031"/>
        <v>-0.43333333333333335</v>
      </c>
      <c r="J951" s="42">
        <f t="shared" si="1032"/>
        <v>-0.56666666666666665</v>
      </c>
      <c r="K951" s="42">
        <f t="shared" si="1033"/>
        <v>-0.6333333333333333</v>
      </c>
      <c r="L951" s="42">
        <f t="shared" si="1034"/>
        <v>-0.76666666666666672</v>
      </c>
      <c r="M951" s="42">
        <f t="shared" si="1035"/>
        <v>-0.96666666666666667</v>
      </c>
      <c r="O951" s="43" t="str">
        <f t="shared" si="1025"/>
        <v/>
      </c>
    </row>
    <row r="952" spans="1:15" x14ac:dyDescent="0.45">
      <c r="D952" s="27">
        <f t="shared" si="1026"/>
        <v>0</v>
      </c>
      <c r="E952" s="28">
        <f t="shared" si="1027"/>
        <v>0</v>
      </c>
      <c r="F952" s="42">
        <f t="shared" si="1028"/>
        <v>-3.3333333333333333E-2</v>
      </c>
      <c r="G952" s="42">
        <f t="shared" si="1029"/>
        <v>-0.23333333333333334</v>
      </c>
      <c r="H952" s="42">
        <f t="shared" si="1030"/>
        <v>-0.36666666666666664</v>
      </c>
      <c r="I952" s="42">
        <f t="shared" si="1031"/>
        <v>-0.43333333333333335</v>
      </c>
      <c r="J952" s="42">
        <f t="shared" si="1032"/>
        <v>-0.56666666666666665</v>
      </c>
      <c r="K952" s="42">
        <f t="shared" si="1033"/>
        <v>-0.6333333333333333</v>
      </c>
      <c r="L952" s="42">
        <f t="shared" si="1034"/>
        <v>-0.76666666666666672</v>
      </c>
      <c r="M952" s="42">
        <f t="shared" si="1035"/>
        <v>-0.96666666666666667</v>
      </c>
      <c r="O952" s="43" t="str">
        <f t="shared" si="1025"/>
        <v/>
      </c>
    </row>
    <row r="953" spans="1:15" x14ac:dyDescent="0.45">
      <c r="D953" s="27">
        <f t="shared" si="1026"/>
        <v>0</v>
      </c>
      <c r="E953" s="28">
        <f t="shared" si="1027"/>
        <v>0</v>
      </c>
      <c r="F953" s="42">
        <f t="shared" si="1028"/>
        <v>-3.3333333333333333E-2</v>
      </c>
      <c r="G953" s="42">
        <f t="shared" si="1029"/>
        <v>-0.23333333333333334</v>
      </c>
      <c r="H953" s="42">
        <f t="shared" si="1030"/>
        <v>-0.36666666666666664</v>
      </c>
      <c r="I953" s="42">
        <f t="shared" si="1031"/>
        <v>-0.43333333333333335</v>
      </c>
      <c r="J953" s="42">
        <f t="shared" si="1032"/>
        <v>-0.56666666666666665</v>
      </c>
      <c r="K953" s="42">
        <f t="shared" si="1033"/>
        <v>-0.6333333333333333</v>
      </c>
      <c r="L953" s="42">
        <f t="shared" si="1034"/>
        <v>-0.76666666666666672</v>
      </c>
      <c r="M953" s="42">
        <f t="shared" si="1035"/>
        <v>-0.96666666666666667</v>
      </c>
      <c r="O953" s="43" t="str">
        <f t="shared" si="1025"/>
        <v/>
      </c>
    </row>
    <row r="954" spans="1:15" x14ac:dyDescent="0.45">
      <c r="D954" s="27">
        <f t="shared" si="1026"/>
        <v>0</v>
      </c>
      <c r="E954" s="28">
        <f t="shared" si="1027"/>
        <v>0</v>
      </c>
      <c r="F954" s="42">
        <f t="shared" si="1028"/>
        <v>-3.3333333333333333E-2</v>
      </c>
      <c r="G954" s="42">
        <f t="shared" si="1029"/>
        <v>-0.23333333333333334</v>
      </c>
      <c r="H954" s="42">
        <f t="shared" si="1030"/>
        <v>-0.36666666666666664</v>
      </c>
      <c r="I954" s="42">
        <f t="shared" si="1031"/>
        <v>-0.43333333333333335</v>
      </c>
      <c r="J954" s="42">
        <f t="shared" si="1032"/>
        <v>-0.56666666666666665</v>
      </c>
      <c r="K954" s="42">
        <f t="shared" si="1033"/>
        <v>-0.6333333333333333</v>
      </c>
      <c r="L954" s="42">
        <f t="shared" si="1034"/>
        <v>-0.76666666666666672</v>
      </c>
      <c r="M954" s="42">
        <f t="shared" si="1035"/>
        <v>-0.96666666666666667</v>
      </c>
      <c r="O954" s="43" t="str">
        <f t="shared" si="1025"/>
        <v/>
      </c>
    </row>
    <row r="955" spans="1:15" ht="19.2" thickBot="1" x14ac:dyDescent="0.5">
      <c r="F955" s="42"/>
      <c r="G955" s="42"/>
      <c r="H955" s="42"/>
      <c r="I955" s="42"/>
      <c r="J955" s="42"/>
      <c r="K955" s="42"/>
      <c r="L955" s="42"/>
      <c r="M955" s="42"/>
    </row>
    <row r="956" spans="1:15" ht="19.2" thickBot="1" x14ac:dyDescent="0.5">
      <c r="C956" s="44"/>
      <c r="E956" s="34">
        <f>E937</f>
        <v>0</v>
      </c>
      <c r="F956" s="45">
        <v>1</v>
      </c>
      <c r="G956" s="46">
        <v>7</v>
      </c>
      <c r="H956" s="46">
        <v>11</v>
      </c>
      <c r="I956" s="46">
        <v>13</v>
      </c>
      <c r="J956" s="46">
        <v>17</v>
      </c>
      <c r="K956" s="46">
        <v>19</v>
      </c>
      <c r="L956" s="46">
        <v>23</v>
      </c>
      <c r="M956" s="47">
        <v>29</v>
      </c>
      <c r="O956" s="27" t="s">
        <v>2</v>
      </c>
    </row>
    <row r="957" spans="1:15" x14ac:dyDescent="0.45">
      <c r="A957" s="29">
        <f>A947+1</f>
        <v>95</v>
      </c>
      <c r="D957" s="27">
        <f>C947</f>
        <v>0</v>
      </c>
      <c r="E957" s="28">
        <f>D957*$E$6</f>
        <v>0</v>
      </c>
      <c r="F957" s="42">
        <f>(E957-1)/30</f>
        <v>-3.3333333333333333E-2</v>
      </c>
      <c r="G957" s="42">
        <f>($E957-7)/30</f>
        <v>-0.23333333333333334</v>
      </c>
      <c r="H957" s="42">
        <f>($E957-11)/30</f>
        <v>-0.36666666666666664</v>
      </c>
      <c r="I957" s="42">
        <f>($E957-13)/30</f>
        <v>-0.43333333333333335</v>
      </c>
      <c r="J957" s="42">
        <f>($E957-17)/30</f>
        <v>-0.56666666666666665</v>
      </c>
      <c r="K957" s="42">
        <f>($E957-19)/30</f>
        <v>-0.6333333333333333</v>
      </c>
      <c r="L957" s="42">
        <f>($E957-23)/30</f>
        <v>-0.76666666666666672</v>
      </c>
      <c r="M957" s="42">
        <f>($E957-29)/30</f>
        <v>-0.96666666666666667</v>
      </c>
      <c r="O957" s="43" t="str">
        <f t="shared" ref="O957:O964" si="1036">FactorNumber(E957)</f>
        <v/>
      </c>
    </row>
    <row r="958" spans="1:15" x14ac:dyDescent="0.45">
      <c r="D958" s="27">
        <f t="shared" ref="D958:D964" si="1037">C948</f>
        <v>0</v>
      </c>
      <c r="E958" s="28">
        <f t="shared" ref="E958:E964" si="1038">D958*$E$6</f>
        <v>0</v>
      </c>
      <c r="F958" s="42">
        <f t="shared" ref="F958:F964" si="1039">(E958-1)/30</f>
        <v>-3.3333333333333333E-2</v>
      </c>
      <c r="G958" s="42">
        <f t="shared" ref="G958:G964" si="1040">($E958-7)/30</f>
        <v>-0.23333333333333334</v>
      </c>
      <c r="H958" s="42">
        <f t="shared" ref="H958:H964" si="1041">($E958-11)/30</f>
        <v>-0.36666666666666664</v>
      </c>
      <c r="I958" s="42">
        <f t="shared" ref="I958:I964" si="1042">($E958-13)/30</f>
        <v>-0.43333333333333335</v>
      </c>
      <c r="J958" s="42">
        <f t="shared" ref="J958:J964" si="1043">($E958-17)/30</f>
        <v>-0.56666666666666665</v>
      </c>
      <c r="K958" s="42">
        <f t="shared" ref="K958:K964" si="1044">($E958-19)/30</f>
        <v>-0.6333333333333333</v>
      </c>
      <c r="L958" s="42">
        <f t="shared" ref="L958:L964" si="1045">($E958-23)/30</f>
        <v>-0.76666666666666672</v>
      </c>
      <c r="M958" s="42">
        <f t="shared" ref="M958:M964" si="1046">($E958-29)/30</f>
        <v>-0.96666666666666667</v>
      </c>
      <c r="O958" s="43" t="str">
        <f t="shared" si="1036"/>
        <v/>
      </c>
    </row>
    <row r="959" spans="1:15" x14ac:dyDescent="0.45">
      <c r="D959" s="27">
        <f t="shared" si="1037"/>
        <v>0</v>
      </c>
      <c r="E959" s="28">
        <f t="shared" si="1038"/>
        <v>0</v>
      </c>
      <c r="F959" s="42">
        <f t="shared" si="1039"/>
        <v>-3.3333333333333333E-2</v>
      </c>
      <c r="G959" s="42">
        <f t="shared" si="1040"/>
        <v>-0.23333333333333334</v>
      </c>
      <c r="H959" s="42">
        <f t="shared" si="1041"/>
        <v>-0.36666666666666664</v>
      </c>
      <c r="I959" s="42">
        <f t="shared" si="1042"/>
        <v>-0.43333333333333335</v>
      </c>
      <c r="J959" s="42">
        <f t="shared" si="1043"/>
        <v>-0.56666666666666665</v>
      </c>
      <c r="K959" s="42">
        <f t="shared" si="1044"/>
        <v>-0.6333333333333333</v>
      </c>
      <c r="L959" s="42">
        <f t="shared" si="1045"/>
        <v>-0.76666666666666672</v>
      </c>
      <c r="M959" s="42">
        <f t="shared" si="1046"/>
        <v>-0.96666666666666667</v>
      </c>
      <c r="O959" s="43" t="str">
        <f t="shared" si="1036"/>
        <v/>
      </c>
    </row>
    <row r="960" spans="1:15" x14ac:dyDescent="0.45">
      <c r="D960" s="27">
        <f t="shared" si="1037"/>
        <v>0</v>
      </c>
      <c r="E960" s="28">
        <f t="shared" si="1038"/>
        <v>0</v>
      </c>
      <c r="F960" s="42">
        <f t="shared" si="1039"/>
        <v>-3.3333333333333333E-2</v>
      </c>
      <c r="G960" s="42">
        <f t="shared" si="1040"/>
        <v>-0.23333333333333334</v>
      </c>
      <c r="H960" s="42">
        <f t="shared" si="1041"/>
        <v>-0.36666666666666664</v>
      </c>
      <c r="I960" s="42">
        <f t="shared" si="1042"/>
        <v>-0.43333333333333335</v>
      </c>
      <c r="J960" s="42">
        <f t="shared" si="1043"/>
        <v>-0.56666666666666665</v>
      </c>
      <c r="K960" s="42">
        <f t="shared" si="1044"/>
        <v>-0.6333333333333333</v>
      </c>
      <c r="L960" s="42">
        <f t="shared" si="1045"/>
        <v>-0.76666666666666672</v>
      </c>
      <c r="M960" s="42">
        <f t="shared" si="1046"/>
        <v>-0.96666666666666667</v>
      </c>
      <c r="O960" s="43" t="str">
        <f t="shared" si="1036"/>
        <v/>
      </c>
    </row>
    <row r="961" spans="1:15" x14ac:dyDescent="0.45">
      <c r="D961" s="27">
        <f t="shared" si="1037"/>
        <v>0</v>
      </c>
      <c r="E961" s="28">
        <f t="shared" si="1038"/>
        <v>0</v>
      </c>
      <c r="F961" s="42">
        <f t="shared" si="1039"/>
        <v>-3.3333333333333333E-2</v>
      </c>
      <c r="G961" s="42">
        <f t="shared" si="1040"/>
        <v>-0.23333333333333334</v>
      </c>
      <c r="H961" s="42">
        <f t="shared" si="1041"/>
        <v>-0.36666666666666664</v>
      </c>
      <c r="I961" s="42">
        <f t="shared" si="1042"/>
        <v>-0.43333333333333335</v>
      </c>
      <c r="J961" s="42">
        <f t="shared" si="1043"/>
        <v>-0.56666666666666665</v>
      </c>
      <c r="K961" s="42">
        <f t="shared" si="1044"/>
        <v>-0.6333333333333333</v>
      </c>
      <c r="L961" s="42">
        <f t="shared" si="1045"/>
        <v>-0.76666666666666672</v>
      </c>
      <c r="M961" s="42">
        <f t="shared" si="1046"/>
        <v>-0.96666666666666667</v>
      </c>
      <c r="O961" s="43" t="str">
        <f t="shared" si="1036"/>
        <v/>
      </c>
    </row>
    <row r="962" spans="1:15" x14ac:dyDescent="0.45">
      <c r="D962" s="27">
        <f t="shared" si="1037"/>
        <v>0</v>
      </c>
      <c r="E962" s="28">
        <f t="shared" si="1038"/>
        <v>0</v>
      </c>
      <c r="F962" s="42">
        <f t="shared" si="1039"/>
        <v>-3.3333333333333333E-2</v>
      </c>
      <c r="G962" s="42">
        <f t="shared" si="1040"/>
        <v>-0.23333333333333334</v>
      </c>
      <c r="H962" s="42">
        <f t="shared" si="1041"/>
        <v>-0.36666666666666664</v>
      </c>
      <c r="I962" s="42">
        <f t="shared" si="1042"/>
        <v>-0.43333333333333335</v>
      </c>
      <c r="J962" s="42">
        <f t="shared" si="1043"/>
        <v>-0.56666666666666665</v>
      </c>
      <c r="K962" s="42">
        <f t="shared" si="1044"/>
        <v>-0.6333333333333333</v>
      </c>
      <c r="L962" s="42">
        <f t="shared" si="1045"/>
        <v>-0.76666666666666672</v>
      </c>
      <c r="M962" s="42">
        <f t="shared" si="1046"/>
        <v>-0.96666666666666667</v>
      </c>
      <c r="O962" s="43" t="str">
        <f t="shared" si="1036"/>
        <v/>
      </c>
    </row>
    <row r="963" spans="1:15" x14ac:dyDescent="0.45">
      <c r="D963" s="27">
        <f t="shared" si="1037"/>
        <v>0</v>
      </c>
      <c r="E963" s="28">
        <f t="shared" si="1038"/>
        <v>0</v>
      </c>
      <c r="F963" s="42">
        <f t="shared" si="1039"/>
        <v>-3.3333333333333333E-2</v>
      </c>
      <c r="G963" s="42">
        <f t="shared" si="1040"/>
        <v>-0.23333333333333334</v>
      </c>
      <c r="H963" s="42">
        <f t="shared" si="1041"/>
        <v>-0.36666666666666664</v>
      </c>
      <c r="I963" s="42">
        <f t="shared" si="1042"/>
        <v>-0.43333333333333335</v>
      </c>
      <c r="J963" s="42">
        <f t="shared" si="1043"/>
        <v>-0.56666666666666665</v>
      </c>
      <c r="K963" s="42">
        <f t="shared" si="1044"/>
        <v>-0.6333333333333333</v>
      </c>
      <c r="L963" s="42">
        <f t="shared" si="1045"/>
        <v>-0.76666666666666672</v>
      </c>
      <c r="M963" s="42">
        <f t="shared" si="1046"/>
        <v>-0.96666666666666667</v>
      </c>
      <c r="O963" s="43" t="str">
        <f t="shared" si="1036"/>
        <v/>
      </c>
    </row>
    <row r="964" spans="1:15" x14ac:dyDescent="0.45">
      <c r="D964" s="27">
        <f t="shared" si="1037"/>
        <v>0</v>
      </c>
      <c r="E964" s="28">
        <f t="shared" si="1038"/>
        <v>0</v>
      </c>
      <c r="F964" s="42">
        <f t="shared" si="1039"/>
        <v>-3.3333333333333333E-2</v>
      </c>
      <c r="G964" s="42">
        <f t="shared" si="1040"/>
        <v>-0.23333333333333334</v>
      </c>
      <c r="H964" s="42">
        <f t="shared" si="1041"/>
        <v>-0.36666666666666664</v>
      </c>
      <c r="I964" s="42">
        <f t="shared" si="1042"/>
        <v>-0.43333333333333335</v>
      </c>
      <c r="J964" s="42">
        <f t="shared" si="1043"/>
        <v>-0.56666666666666665</v>
      </c>
      <c r="K964" s="42">
        <f t="shared" si="1044"/>
        <v>-0.6333333333333333</v>
      </c>
      <c r="L964" s="42">
        <f t="shared" si="1045"/>
        <v>-0.76666666666666672</v>
      </c>
      <c r="M964" s="42">
        <f t="shared" si="1046"/>
        <v>-0.96666666666666667</v>
      </c>
      <c r="O964" s="43" t="str">
        <f t="shared" si="1036"/>
        <v/>
      </c>
    </row>
    <row r="965" spans="1:15" ht="19.2" thickBot="1" x14ac:dyDescent="0.5">
      <c r="F965" s="42"/>
      <c r="G965" s="42"/>
      <c r="H965" s="42"/>
      <c r="I965" s="42"/>
      <c r="J965" s="42"/>
      <c r="K965" s="42"/>
      <c r="L965" s="42"/>
      <c r="M965" s="42"/>
    </row>
    <row r="966" spans="1:15" ht="19.2" thickBot="1" x14ac:dyDescent="0.5">
      <c r="C966" s="44"/>
      <c r="E966" s="34">
        <f>E947</f>
        <v>0</v>
      </c>
      <c r="F966" s="45">
        <v>1</v>
      </c>
      <c r="G966" s="46">
        <v>7</v>
      </c>
      <c r="H966" s="46">
        <v>11</v>
      </c>
      <c r="I966" s="46">
        <v>13</v>
      </c>
      <c r="J966" s="46">
        <v>17</v>
      </c>
      <c r="K966" s="46">
        <v>19</v>
      </c>
      <c r="L966" s="46">
        <v>23</v>
      </c>
      <c r="M966" s="47">
        <v>29</v>
      </c>
      <c r="O966" s="27" t="s">
        <v>2</v>
      </c>
    </row>
    <row r="967" spans="1:15" x14ac:dyDescent="0.45">
      <c r="A967" s="29">
        <f>A957+1</f>
        <v>96</v>
      </c>
      <c r="D967" s="27">
        <f>C957</f>
        <v>0</v>
      </c>
      <c r="E967" s="28">
        <f>D967*$E$6</f>
        <v>0</v>
      </c>
      <c r="F967" s="42">
        <f>(E967-1)/30</f>
        <v>-3.3333333333333333E-2</v>
      </c>
      <c r="G967" s="42">
        <f>($E967-7)/30</f>
        <v>-0.23333333333333334</v>
      </c>
      <c r="H967" s="42">
        <f>($E967-11)/30</f>
        <v>-0.36666666666666664</v>
      </c>
      <c r="I967" s="42">
        <f>($E967-13)/30</f>
        <v>-0.43333333333333335</v>
      </c>
      <c r="J967" s="42">
        <f>($E967-17)/30</f>
        <v>-0.56666666666666665</v>
      </c>
      <c r="K967" s="42">
        <f>($E967-19)/30</f>
        <v>-0.6333333333333333</v>
      </c>
      <c r="L967" s="42">
        <f>($E967-23)/30</f>
        <v>-0.76666666666666672</v>
      </c>
      <c r="M967" s="42">
        <f>($E967-29)/30</f>
        <v>-0.96666666666666667</v>
      </c>
      <c r="O967" s="43" t="str">
        <f t="shared" ref="O967:O974" si="1047">FactorNumber(E967)</f>
        <v/>
      </c>
    </row>
    <row r="968" spans="1:15" x14ac:dyDescent="0.45">
      <c r="D968" s="27">
        <f t="shared" ref="D968:D974" si="1048">C958</f>
        <v>0</v>
      </c>
      <c r="E968" s="28">
        <f t="shared" ref="E968:E974" si="1049">D968*$E$6</f>
        <v>0</v>
      </c>
      <c r="F968" s="42">
        <f t="shared" ref="F968:F974" si="1050">(E968-1)/30</f>
        <v>-3.3333333333333333E-2</v>
      </c>
      <c r="G968" s="42">
        <f t="shared" ref="G968:G974" si="1051">($E968-7)/30</f>
        <v>-0.23333333333333334</v>
      </c>
      <c r="H968" s="42">
        <f t="shared" ref="H968:H974" si="1052">($E968-11)/30</f>
        <v>-0.36666666666666664</v>
      </c>
      <c r="I968" s="42">
        <f t="shared" ref="I968:I974" si="1053">($E968-13)/30</f>
        <v>-0.43333333333333335</v>
      </c>
      <c r="J968" s="42">
        <f t="shared" ref="J968:J974" si="1054">($E968-17)/30</f>
        <v>-0.56666666666666665</v>
      </c>
      <c r="K968" s="42">
        <f t="shared" ref="K968:K974" si="1055">($E968-19)/30</f>
        <v>-0.6333333333333333</v>
      </c>
      <c r="L968" s="42">
        <f t="shared" ref="L968:L974" si="1056">($E968-23)/30</f>
        <v>-0.76666666666666672</v>
      </c>
      <c r="M968" s="42">
        <f t="shared" ref="M968:M974" si="1057">($E968-29)/30</f>
        <v>-0.96666666666666667</v>
      </c>
      <c r="O968" s="43" t="str">
        <f t="shared" si="1047"/>
        <v/>
      </c>
    </row>
    <row r="969" spans="1:15" x14ac:dyDescent="0.45">
      <c r="D969" s="27">
        <f t="shared" si="1048"/>
        <v>0</v>
      </c>
      <c r="E969" s="28">
        <f t="shared" si="1049"/>
        <v>0</v>
      </c>
      <c r="F969" s="42">
        <f t="shared" si="1050"/>
        <v>-3.3333333333333333E-2</v>
      </c>
      <c r="G969" s="42">
        <f t="shared" si="1051"/>
        <v>-0.23333333333333334</v>
      </c>
      <c r="H969" s="42">
        <f t="shared" si="1052"/>
        <v>-0.36666666666666664</v>
      </c>
      <c r="I969" s="42">
        <f t="shared" si="1053"/>
        <v>-0.43333333333333335</v>
      </c>
      <c r="J969" s="42">
        <f t="shared" si="1054"/>
        <v>-0.56666666666666665</v>
      </c>
      <c r="K969" s="42">
        <f t="shared" si="1055"/>
        <v>-0.6333333333333333</v>
      </c>
      <c r="L969" s="42">
        <f t="shared" si="1056"/>
        <v>-0.76666666666666672</v>
      </c>
      <c r="M969" s="42">
        <f t="shared" si="1057"/>
        <v>-0.96666666666666667</v>
      </c>
      <c r="O969" s="43" t="str">
        <f t="shared" si="1047"/>
        <v/>
      </c>
    </row>
    <row r="970" spans="1:15" x14ac:dyDescent="0.45">
      <c r="D970" s="27">
        <f t="shared" si="1048"/>
        <v>0</v>
      </c>
      <c r="E970" s="28">
        <f t="shared" si="1049"/>
        <v>0</v>
      </c>
      <c r="F970" s="42">
        <f t="shared" si="1050"/>
        <v>-3.3333333333333333E-2</v>
      </c>
      <c r="G970" s="42">
        <f t="shared" si="1051"/>
        <v>-0.23333333333333334</v>
      </c>
      <c r="H970" s="42">
        <f t="shared" si="1052"/>
        <v>-0.36666666666666664</v>
      </c>
      <c r="I970" s="42">
        <f t="shared" si="1053"/>
        <v>-0.43333333333333335</v>
      </c>
      <c r="J970" s="42">
        <f t="shared" si="1054"/>
        <v>-0.56666666666666665</v>
      </c>
      <c r="K970" s="42">
        <f t="shared" si="1055"/>
        <v>-0.6333333333333333</v>
      </c>
      <c r="L970" s="42">
        <f t="shared" si="1056"/>
        <v>-0.76666666666666672</v>
      </c>
      <c r="M970" s="42">
        <f t="shared" si="1057"/>
        <v>-0.96666666666666667</v>
      </c>
      <c r="O970" s="43" t="str">
        <f t="shared" si="1047"/>
        <v/>
      </c>
    </row>
    <row r="971" spans="1:15" x14ac:dyDescent="0.45">
      <c r="D971" s="27">
        <f t="shared" si="1048"/>
        <v>0</v>
      </c>
      <c r="E971" s="28">
        <f t="shared" si="1049"/>
        <v>0</v>
      </c>
      <c r="F971" s="42">
        <f t="shared" si="1050"/>
        <v>-3.3333333333333333E-2</v>
      </c>
      <c r="G971" s="42">
        <f t="shared" si="1051"/>
        <v>-0.23333333333333334</v>
      </c>
      <c r="H971" s="42">
        <f t="shared" si="1052"/>
        <v>-0.36666666666666664</v>
      </c>
      <c r="I971" s="42">
        <f t="shared" si="1053"/>
        <v>-0.43333333333333335</v>
      </c>
      <c r="J971" s="42">
        <f t="shared" si="1054"/>
        <v>-0.56666666666666665</v>
      </c>
      <c r="K971" s="42">
        <f t="shared" si="1055"/>
        <v>-0.6333333333333333</v>
      </c>
      <c r="L971" s="42">
        <f t="shared" si="1056"/>
        <v>-0.76666666666666672</v>
      </c>
      <c r="M971" s="42">
        <f t="shared" si="1057"/>
        <v>-0.96666666666666667</v>
      </c>
      <c r="O971" s="43" t="str">
        <f t="shared" si="1047"/>
        <v/>
      </c>
    </row>
    <row r="972" spans="1:15" x14ac:dyDescent="0.45">
      <c r="D972" s="27">
        <f t="shared" si="1048"/>
        <v>0</v>
      </c>
      <c r="E972" s="28">
        <f t="shared" si="1049"/>
        <v>0</v>
      </c>
      <c r="F972" s="42">
        <f t="shared" si="1050"/>
        <v>-3.3333333333333333E-2</v>
      </c>
      <c r="G972" s="42">
        <f t="shared" si="1051"/>
        <v>-0.23333333333333334</v>
      </c>
      <c r="H972" s="42">
        <f t="shared" si="1052"/>
        <v>-0.36666666666666664</v>
      </c>
      <c r="I972" s="42">
        <f t="shared" si="1053"/>
        <v>-0.43333333333333335</v>
      </c>
      <c r="J972" s="42">
        <f t="shared" si="1054"/>
        <v>-0.56666666666666665</v>
      </c>
      <c r="K972" s="42">
        <f t="shared" si="1055"/>
        <v>-0.6333333333333333</v>
      </c>
      <c r="L972" s="42">
        <f t="shared" si="1056"/>
        <v>-0.76666666666666672</v>
      </c>
      <c r="M972" s="42">
        <f t="shared" si="1057"/>
        <v>-0.96666666666666667</v>
      </c>
      <c r="O972" s="43" t="str">
        <f t="shared" si="1047"/>
        <v/>
      </c>
    </row>
    <row r="973" spans="1:15" x14ac:dyDescent="0.45">
      <c r="D973" s="27">
        <f t="shared" si="1048"/>
        <v>0</v>
      </c>
      <c r="E973" s="28">
        <f t="shared" si="1049"/>
        <v>0</v>
      </c>
      <c r="F973" s="42">
        <f t="shared" si="1050"/>
        <v>-3.3333333333333333E-2</v>
      </c>
      <c r="G973" s="42">
        <f t="shared" si="1051"/>
        <v>-0.23333333333333334</v>
      </c>
      <c r="H973" s="42">
        <f t="shared" si="1052"/>
        <v>-0.36666666666666664</v>
      </c>
      <c r="I973" s="42">
        <f t="shared" si="1053"/>
        <v>-0.43333333333333335</v>
      </c>
      <c r="J973" s="42">
        <f t="shared" si="1054"/>
        <v>-0.56666666666666665</v>
      </c>
      <c r="K973" s="42">
        <f t="shared" si="1055"/>
        <v>-0.6333333333333333</v>
      </c>
      <c r="L973" s="42">
        <f t="shared" si="1056"/>
        <v>-0.76666666666666672</v>
      </c>
      <c r="M973" s="42">
        <f t="shared" si="1057"/>
        <v>-0.96666666666666667</v>
      </c>
      <c r="O973" s="43" t="str">
        <f t="shared" si="1047"/>
        <v/>
      </c>
    </row>
    <row r="974" spans="1:15" x14ac:dyDescent="0.45">
      <c r="D974" s="27">
        <f t="shared" si="1048"/>
        <v>0</v>
      </c>
      <c r="E974" s="28">
        <f t="shared" si="1049"/>
        <v>0</v>
      </c>
      <c r="F974" s="42">
        <f t="shared" si="1050"/>
        <v>-3.3333333333333333E-2</v>
      </c>
      <c r="G974" s="42">
        <f t="shared" si="1051"/>
        <v>-0.23333333333333334</v>
      </c>
      <c r="H974" s="42">
        <f t="shared" si="1052"/>
        <v>-0.36666666666666664</v>
      </c>
      <c r="I974" s="42">
        <f t="shared" si="1053"/>
        <v>-0.43333333333333335</v>
      </c>
      <c r="J974" s="42">
        <f t="shared" si="1054"/>
        <v>-0.56666666666666665</v>
      </c>
      <c r="K974" s="42">
        <f t="shared" si="1055"/>
        <v>-0.6333333333333333</v>
      </c>
      <c r="L974" s="42">
        <f t="shared" si="1056"/>
        <v>-0.76666666666666672</v>
      </c>
      <c r="M974" s="42">
        <f t="shared" si="1057"/>
        <v>-0.96666666666666667</v>
      </c>
      <c r="O974" s="43" t="str">
        <f t="shared" si="1047"/>
        <v/>
      </c>
    </row>
    <row r="975" spans="1:15" ht="19.2" thickBot="1" x14ac:dyDescent="0.5">
      <c r="F975" s="42"/>
      <c r="G975" s="42"/>
      <c r="H975" s="42"/>
      <c r="I975" s="42"/>
      <c r="J975" s="42"/>
      <c r="K975" s="42"/>
      <c r="L975" s="42"/>
      <c r="M975" s="42"/>
    </row>
    <row r="976" spans="1:15" ht="19.2" thickBot="1" x14ac:dyDescent="0.5">
      <c r="C976" s="44"/>
      <c r="E976" s="34">
        <f>E957</f>
        <v>0</v>
      </c>
      <c r="F976" s="45">
        <v>1</v>
      </c>
      <c r="G976" s="46">
        <v>7</v>
      </c>
      <c r="H976" s="46">
        <v>11</v>
      </c>
      <c r="I976" s="46">
        <v>13</v>
      </c>
      <c r="J976" s="46">
        <v>17</v>
      </c>
      <c r="K976" s="46">
        <v>19</v>
      </c>
      <c r="L976" s="46">
        <v>23</v>
      </c>
      <c r="M976" s="47">
        <v>29</v>
      </c>
      <c r="O976" s="27" t="s">
        <v>2</v>
      </c>
    </row>
    <row r="977" spans="1:15" x14ac:dyDescent="0.45">
      <c r="A977" s="29">
        <f>A967+1</f>
        <v>97</v>
      </c>
      <c r="D977" s="27">
        <f>C967</f>
        <v>0</v>
      </c>
      <c r="E977" s="28">
        <f>D977*$E$6</f>
        <v>0</v>
      </c>
      <c r="F977" s="42">
        <f>(E977-1)/30</f>
        <v>-3.3333333333333333E-2</v>
      </c>
      <c r="G977" s="42">
        <f>($E977-7)/30</f>
        <v>-0.23333333333333334</v>
      </c>
      <c r="H977" s="42">
        <f>($E977-11)/30</f>
        <v>-0.36666666666666664</v>
      </c>
      <c r="I977" s="42">
        <f>($E977-13)/30</f>
        <v>-0.43333333333333335</v>
      </c>
      <c r="J977" s="42">
        <f>($E977-17)/30</f>
        <v>-0.56666666666666665</v>
      </c>
      <c r="K977" s="42">
        <f>($E977-19)/30</f>
        <v>-0.6333333333333333</v>
      </c>
      <c r="L977" s="42">
        <f>($E977-23)/30</f>
        <v>-0.76666666666666672</v>
      </c>
      <c r="M977" s="42">
        <f>($E977-29)/30</f>
        <v>-0.96666666666666667</v>
      </c>
      <c r="O977" s="43" t="str">
        <f t="shared" ref="O977:O984" si="1058">FactorNumber(E977)</f>
        <v/>
      </c>
    </row>
    <row r="978" spans="1:15" x14ac:dyDescent="0.45">
      <c r="D978" s="27">
        <f t="shared" ref="D978:D984" si="1059">C968</f>
        <v>0</v>
      </c>
      <c r="E978" s="28">
        <f t="shared" ref="E978:E984" si="1060">D978*$E$6</f>
        <v>0</v>
      </c>
      <c r="F978" s="42">
        <f t="shared" ref="F978:F984" si="1061">(E978-1)/30</f>
        <v>-3.3333333333333333E-2</v>
      </c>
      <c r="G978" s="42">
        <f t="shared" ref="G978:G984" si="1062">($E978-7)/30</f>
        <v>-0.23333333333333334</v>
      </c>
      <c r="H978" s="42">
        <f t="shared" ref="H978:H984" si="1063">($E978-11)/30</f>
        <v>-0.36666666666666664</v>
      </c>
      <c r="I978" s="42">
        <f t="shared" ref="I978:I984" si="1064">($E978-13)/30</f>
        <v>-0.43333333333333335</v>
      </c>
      <c r="J978" s="42">
        <f t="shared" ref="J978:J984" si="1065">($E978-17)/30</f>
        <v>-0.56666666666666665</v>
      </c>
      <c r="K978" s="42">
        <f t="shared" ref="K978:K984" si="1066">($E978-19)/30</f>
        <v>-0.6333333333333333</v>
      </c>
      <c r="L978" s="42">
        <f t="shared" ref="L978:L984" si="1067">($E978-23)/30</f>
        <v>-0.76666666666666672</v>
      </c>
      <c r="M978" s="42">
        <f t="shared" ref="M978:M984" si="1068">($E978-29)/30</f>
        <v>-0.96666666666666667</v>
      </c>
      <c r="O978" s="43" t="str">
        <f t="shared" si="1058"/>
        <v/>
      </c>
    </row>
    <row r="979" spans="1:15" x14ac:dyDescent="0.45">
      <c r="D979" s="27">
        <f t="shared" si="1059"/>
        <v>0</v>
      </c>
      <c r="E979" s="28">
        <f t="shared" si="1060"/>
        <v>0</v>
      </c>
      <c r="F979" s="42">
        <f t="shared" si="1061"/>
        <v>-3.3333333333333333E-2</v>
      </c>
      <c r="G979" s="42">
        <f t="shared" si="1062"/>
        <v>-0.23333333333333334</v>
      </c>
      <c r="H979" s="42">
        <f t="shared" si="1063"/>
        <v>-0.36666666666666664</v>
      </c>
      <c r="I979" s="42">
        <f t="shared" si="1064"/>
        <v>-0.43333333333333335</v>
      </c>
      <c r="J979" s="42">
        <f t="shared" si="1065"/>
        <v>-0.56666666666666665</v>
      </c>
      <c r="K979" s="42">
        <f t="shared" si="1066"/>
        <v>-0.6333333333333333</v>
      </c>
      <c r="L979" s="42">
        <f t="shared" si="1067"/>
        <v>-0.76666666666666672</v>
      </c>
      <c r="M979" s="42">
        <f t="shared" si="1068"/>
        <v>-0.96666666666666667</v>
      </c>
      <c r="O979" s="43" t="str">
        <f t="shared" si="1058"/>
        <v/>
      </c>
    </row>
    <row r="980" spans="1:15" x14ac:dyDescent="0.45">
      <c r="D980" s="27">
        <f t="shared" si="1059"/>
        <v>0</v>
      </c>
      <c r="E980" s="28">
        <f t="shared" si="1060"/>
        <v>0</v>
      </c>
      <c r="F980" s="42">
        <f t="shared" si="1061"/>
        <v>-3.3333333333333333E-2</v>
      </c>
      <c r="G980" s="42">
        <f t="shared" si="1062"/>
        <v>-0.23333333333333334</v>
      </c>
      <c r="H980" s="42">
        <f t="shared" si="1063"/>
        <v>-0.36666666666666664</v>
      </c>
      <c r="I980" s="42">
        <f t="shared" si="1064"/>
        <v>-0.43333333333333335</v>
      </c>
      <c r="J980" s="42">
        <f t="shared" si="1065"/>
        <v>-0.56666666666666665</v>
      </c>
      <c r="K980" s="42">
        <f t="shared" si="1066"/>
        <v>-0.6333333333333333</v>
      </c>
      <c r="L980" s="42">
        <f t="shared" si="1067"/>
        <v>-0.76666666666666672</v>
      </c>
      <c r="M980" s="42">
        <f t="shared" si="1068"/>
        <v>-0.96666666666666667</v>
      </c>
      <c r="O980" s="43" t="str">
        <f t="shared" si="1058"/>
        <v/>
      </c>
    </row>
    <row r="981" spans="1:15" x14ac:dyDescent="0.45">
      <c r="D981" s="27">
        <f t="shared" si="1059"/>
        <v>0</v>
      </c>
      <c r="E981" s="28">
        <f t="shared" si="1060"/>
        <v>0</v>
      </c>
      <c r="F981" s="42">
        <f t="shared" si="1061"/>
        <v>-3.3333333333333333E-2</v>
      </c>
      <c r="G981" s="42">
        <f t="shared" si="1062"/>
        <v>-0.23333333333333334</v>
      </c>
      <c r="H981" s="42">
        <f t="shared" si="1063"/>
        <v>-0.36666666666666664</v>
      </c>
      <c r="I981" s="42">
        <f t="shared" si="1064"/>
        <v>-0.43333333333333335</v>
      </c>
      <c r="J981" s="42">
        <f t="shared" si="1065"/>
        <v>-0.56666666666666665</v>
      </c>
      <c r="K981" s="42">
        <f t="shared" si="1066"/>
        <v>-0.6333333333333333</v>
      </c>
      <c r="L981" s="42">
        <f t="shared" si="1067"/>
        <v>-0.76666666666666672</v>
      </c>
      <c r="M981" s="42">
        <f t="shared" si="1068"/>
        <v>-0.96666666666666667</v>
      </c>
      <c r="O981" s="43" t="str">
        <f t="shared" si="1058"/>
        <v/>
      </c>
    </row>
    <row r="982" spans="1:15" x14ac:dyDescent="0.45">
      <c r="D982" s="27">
        <f t="shared" si="1059"/>
        <v>0</v>
      </c>
      <c r="E982" s="28">
        <f t="shared" si="1060"/>
        <v>0</v>
      </c>
      <c r="F982" s="42">
        <f t="shared" si="1061"/>
        <v>-3.3333333333333333E-2</v>
      </c>
      <c r="G982" s="42">
        <f t="shared" si="1062"/>
        <v>-0.23333333333333334</v>
      </c>
      <c r="H982" s="42">
        <f t="shared" si="1063"/>
        <v>-0.36666666666666664</v>
      </c>
      <c r="I982" s="42">
        <f t="shared" si="1064"/>
        <v>-0.43333333333333335</v>
      </c>
      <c r="J982" s="42">
        <f t="shared" si="1065"/>
        <v>-0.56666666666666665</v>
      </c>
      <c r="K982" s="42">
        <f t="shared" si="1066"/>
        <v>-0.6333333333333333</v>
      </c>
      <c r="L982" s="42">
        <f t="shared" si="1067"/>
        <v>-0.76666666666666672</v>
      </c>
      <c r="M982" s="42">
        <f t="shared" si="1068"/>
        <v>-0.96666666666666667</v>
      </c>
      <c r="O982" s="43" t="str">
        <f t="shared" si="1058"/>
        <v/>
      </c>
    </row>
    <row r="983" spans="1:15" x14ac:dyDescent="0.45">
      <c r="D983" s="27">
        <f t="shared" si="1059"/>
        <v>0</v>
      </c>
      <c r="E983" s="28">
        <f t="shared" si="1060"/>
        <v>0</v>
      </c>
      <c r="F983" s="42">
        <f t="shared" si="1061"/>
        <v>-3.3333333333333333E-2</v>
      </c>
      <c r="G983" s="42">
        <f t="shared" si="1062"/>
        <v>-0.23333333333333334</v>
      </c>
      <c r="H983" s="42">
        <f t="shared" si="1063"/>
        <v>-0.36666666666666664</v>
      </c>
      <c r="I983" s="42">
        <f t="shared" si="1064"/>
        <v>-0.43333333333333335</v>
      </c>
      <c r="J983" s="42">
        <f t="shared" si="1065"/>
        <v>-0.56666666666666665</v>
      </c>
      <c r="K983" s="42">
        <f t="shared" si="1066"/>
        <v>-0.6333333333333333</v>
      </c>
      <c r="L983" s="42">
        <f t="shared" si="1067"/>
        <v>-0.76666666666666672</v>
      </c>
      <c r="M983" s="42">
        <f t="shared" si="1068"/>
        <v>-0.96666666666666667</v>
      </c>
      <c r="O983" s="43" t="str">
        <f t="shared" si="1058"/>
        <v/>
      </c>
    </row>
    <row r="984" spans="1:15" x14ac:dyDescent="0.45">
      <c r="D984" s="27">
        <f t="shared" si="1059"/>
        <v>0</v>
      </c>
      <c r="E984" s="28">
        <f t="shared" si="1060"/>
        <v>0</v>
      </c>
      <c r="F984" s="42">
        <f t="shared" si="1061"/>
        <v>-3.3333333333333333E-2</v>
      </c>
      <c r="G984" s="42">
        <f t="shared" si="1062"/>
        <v>-0.23333333333333334</v>
      </c>
      <c r="H984" s="42">
        <f t="shared" si="1063"/>
        <v>-0.36666666666666664</v>
      </c>
      <c r="I984" s="42">
        <f t="shared" si="1064"/>
        <v>-0.43333333333333335</v>
      </c>
      <c r="J984" s="42">
        <f t="shared" si="1065"/>
        <v>-0.56666666666666665</v>
      </c>
      <c r="K984" s="42">
        <f t="shared" si="1066"/>
        <v>-0.6333333333333333</v>
      </c>
      <c r="L984" s="42">
        <f t="shared" si="1067"/>
        <v>-0.76666666666666672</v>
      </c>
      <c r="M984" s="42">
        <f t="shared" si="1068"/>
        <v>-0.96666666666666667</v>
      </c>
      <c r="O984" s="43" t="str">
        <f t="shared" si="1058"/>
        <v/>
      </c>
    </row>
    <row r="985" spans="1:15" ht="19.2" thickBot="1" x14ac:dyDescent="0.5">
      <c r="F985" s="42"/>
      <c r="G985" s="42"/>
      <c r="H985" s="42"/>
      <c r="I985" s="42"/>
      <c r="J985" s="42"/>
      <c r="K985" s="42"/>
      <c r="L985" s="42"/>
      <c r="M985" s="42"/>
    </row>
    <row r="986" spans="1:15" ht="19.2" thickBot="1" x14ac:dyDescent="0.5">
      <c r="C986" s="44"/>
      <c r="E986" s="34">
        <f>E967</f>
        <v>0</v>
      </c>
      <c r="F986" s="45">
        <v>1</v>
      </c>
      <c r="G986" s="46">
        <v>7</v>
      </c>
      <c r="H986" s="46">
        <v>11</v>
      </c>
      <c r="I986" s="46">
        <v>13</v>
      </c>
      <c r="J986" s="46">
        <v>17</v>
      </c>
      <c r="K986" s="46">
        <v>19</v>
      </c>
      <c r="L986" s="46">
        <v>23</v>
      </c>
      <c r="M986" s="47">
        <v>29</v>
      </c>
      <c r="O986" s="27" t="s">
        <v>2</v>
      </c>
    </row>
    <row r="987" spans="1:15" x14ac:dyDescent="0.45">
      <c r="A987" s="29">
        <f>A977+1</f>
        <v>98</v>
      </c>
      <c r="D987" s="27">
        <f>C977</f>
        <v>0</v>
      </c>
      <c r="E987" s="28">
        <f>D987*$E$6</f>
        <v>0</v>
      </c>
      <c r="F987" s="42">
        <f>(E987-1)/30</f>
        <v>-3.3333333333333333E-2</v>
      </c>
      <c r="G987" s="42">
        <f>($E987-7)/30</f>
        <v>-0.23333333333333334</v>
      </c>
      <c r="H987" s="42">
        <f>($E987-11)/30</f>
        <v>-0.36666666666666664</v>
      </c>
      <c r="I987" s="42">
        <f>($E987-13)/30</f>
        <v>-0.43333333333333335</v>
      </c>
      <c r="J987" s="42">
        <f>($E987-17)/30</f>
        <v>-0.56666666666666665</v>
      </c>
      <c r="K987" s="42">
        <f>($E987-19)/30</f>
        <v>-0.6333333333333333</v>
      </c>
      <c r="L987" s="42">
        <f>($E987-23)/30</f>
        <v>-0.76666666666666672</v>
      </c>
      <c r="M987" s="42">
        <f>($E987-29)/30</f>
        <v>-0.96666666666666667</v>
      </c>
      <c r="O987" s="43" t="str">
        <f t="shared" ref="O987:O994" si="1069">FactorNumber(E987)</f>
        <v/>
      </c>
    </row>
    <row r="988" spans="1:15" x14ac:dyDescent="0.45">
      <c r="D988" s="27">
        <f t="shared" ref="D988:D994" si="1070">C978</f>
        <v>0</v>
      </c>
      <c r="E988" s="28">
        <f t="shared" ref="E988:E994" si="1071">D988*$E$6</f>
        <v>0</v>
      </c>
      <c r="F988" s="42">
        <f t="shared" ref="F988:F994" si="1072">(E988-1)/30</f>
        <v>-3.3333333333333333E-2</v>
      </c>
      <c r="G988" s="42">
        <f t="shared" ref="G988:G994" si="1073">($E988-7)/30</f>
        <v>-0.23333333333333334</v>
      </c>
      <c r="H988" s="42">
        <f t="shared" ref="H988:H994" si="1074">($E988-11)/30</f>
        <v>-0.36666666666666664</v>
      </c>
      <c r="I988" s="42">
        <f t="shared" ref="I988:I994" si="1075">($E988-13)/30</f>
        <v>-0.43333333333333335</v>
      </c>
      <c r="J988" s="42">
        <f t="shared" ref="J988:J994" si="1076">($E988-17)/30</f>
        <v>-0.56666666666666665</v>
      </c>
      <c r="K988" s="42">
        <f t="shared" ref="K988:K994" si="1077">($E988-19)/30</f>
        <v>-0.6333333333333333</v>
      </c>
      <c r="L988" s="42">
        <f t="shared" ref="L988:L994" si="1078">($E988-23)/30</f>
        <v>-0.76666666666666672</v>
      </c>
      <c r="M988" s="42">
        <f t="shared" ref="M988:M994" si="1079">($E988-29)/30</f>
        <v>-0.96666666666666667</v>
      </c>
      <c r="O988" s="43" t="str">
        <f t="shared" si="1069"/>
        <v/>
      </c>
    </row>
    <row r="989" spans="1:15" x14ac:dyDescent="0.45">
      <c r="D989" s="27">
        <f t="shared" si="1070"/>
        <v>0</v>
      </c>
      <c r="E989" s="28">
        <f t="shared" si="1071"/>
        <v>0</v>
      </c>
      <c r="F989" s="42">
        <f t="shared" si="1072"/>
        <v>-3.3333333333333333E-2</v>
      </c>
      <c r="G989" s="42">
        <f t="shared" si="1073"/>
        <v>-0.23333333333333334</v>
      </c>
      <c r="H989" s="42">
        <f t="shared" si="1074"/>
        <v>-0.36666666666666664</v>
      </c>
      <c r="I989" s="42">
        <f t="shared" si="1075"/>
        <v>-0.43333333333333335</v>
      </c>
      <c r="J989" s="42">
        <f t="shared" si="1076"/>
        <v>-0.56666666666666665</v>
      </c>
      <c r="K989" s="42">
        <f t="shared" si="1077"/>
        <v>-0.6333333333333333</v>
      </c>
      <c r="L989" s="42">
        <f t="shared" si="1078"/>
        <v>-0.76666666666666672</v>
      </c>
      <c r="M989" s="42">
        <f t="shared" si="1079"/>
        <v>-0.96666666666666667</v>
      </c>
      <c r="O989" s="43" t="str">
        <f t="shared" si="1069"/>
        <v/>
      </c>
    </row>
    <row r="990" spans="1:15" x14ac:dyDescent="0.45">
      <c r="D990" s="27">
        <f t="shared" si="1070"/>
        <v>0</v>
      </c>
      <c r="E990" s="28">
        <f t="shared" si="1071"/>
        <v>0</v>
      </c>
      <c r="F990" s="42">
        <f t="shared" si="1072"/>
        <v>-3.3333333333333333E-2</v>
      </c>
      <c r="G990" s="42">
        <f t="shared" si="1073"/>
        <v>-0.23333333333333334</v>
      </c>
      <c r="H990" s="42">
        <f t="shared" si="1074"/>
        <v>-0.36666666666666664</v>
      </c>
      <c r="I990" s="42">
        <f t="shared" si="1075"/>
        <v>-0.43333333333333335</v>
      </c>
      <c r="J990" s="42">
        <f t="shared" si="1076"/>
        <v>-0.56666666666666665</v>
      </c>
      <c r="K990" s="42">
        <f t="shared" si="1077"/>
        <v>-0.6333333333333333</v>
      </c>
      <c r="L990" s="42">
        <f t="shared" si="1078"/>
        <v>-0.76666666666666672</v>
      </c>
      <c r="M990" s="42">
        <f t="shared" si="1079"/>
        <v>-0.96666666666666667</v>
      </c>
      <c r="O990" s="43" t="str">
        <f t="shared" si="1069"/>
        <v/>
      </c>
    </row>
    <row r="991" spans="1:15" x14ac:dyDescent="0.45">
      <c r="D991" s="27">
        <f t="shared" si="1070"/>
        <v>0</v>
      </c>
      <c r="E991" s="28">
        <f t="shared" si="1071"/>
        <v>0</v>
      </c>
      <c r="F991" s="42">
        <f t="shared" si="1072"/>
        <v>-3.3333333333333333E-2</v>
      </c>
      <c r="G991" s="42">
        <f t="shared" si="1073"/>
        <v>-0.23333333333333334</v>
      </c>
      <c r="H991" s="42">
        <f t="shared" si="1074"/>
        <v>-0.36666666666666664</v>
      </c>
      <c r="I991" s="42">
        <f t="shared" si="1075"/>
        <v>-0.43333333333333335</v>
      </c>
      <c r="J991" s="42">
        <f t="shared" si="1076"/>
        <v>-0.56666666666666665</v>
      </c>
      <c r="K991" s="42">
        <f t="shared" si="1077"/>
        <v>-0.6333333333333333</v>
      </c>
      <c r="L991" s="42">
        <f t="shared" si="1078"/>
        <v>-0.76666666666666672</v>
      </c>
      <c r="M991" s="42">
        <f t="shared" si="1079"/>
        <v>-0.96666666666666667</v>
      </c>
      <c r="O991" s="43" t="str">
        <f t="shared" si="1069"/>
        <v/>
      </c>
    </row>
    <row r="992" spans="1:15" x14ac:dyDescent="0.45">
      <c r="D992" s="27">
        <f t="shared" si="1070"/>
        <v>0</v>
      </c>
      <c r="E992" s="28">
        <f t="shared" si="1071"/>
        <v>0</v>
      </c>
      <c r="F992" s="42">
        <f t="shared" si="1072"/>
        <v>-3.3333333333333333E-2</v>
      </c>
      <c r="G992" s="42">
        <f t="shared" si="1073"/>
        <v>-0.23333333333333334</v>
      </c>
      <c r="H992" s="42">
        <f t="shared" si="1074"/>
        <v>-0.36666666666666664</v>
      </c>
      <c r="I992" s="42">
        <f t="shared" si="1075"/>
        <v>-0.43333333333333335</v>
      </c>
      <c r="J992" s="42">
        <f t="shared" si="1076"/>
        <v>-0.56666666666666665</v>
      </c>
      <c r="K992" s="42">
        <f t="shared" si="1077"/>
        <v>-0.6333333333333333</v>
      </c>
      <c r="L992" s="42">
        <f t="shared" si="1078"/>
        <v>-0.76666666666666672</v>
      </c>
      <c r="M992" s="42">
        <f t="shared" si="1079"/>
        <v>-0.96666666666666667</v>
      </c>
      <c r="O992" s="43" t="str">
        <f t="shared" si="1069"/>
        <v/>
      </c>
    </row>
    <row r="993" spans="1:15" x14ac:dyDescent="0.45">
      <c r="D993" s="27">
        <f t="shared" si="1070"/>
        <v>0</v>
      </c>
      <c r="E993" s="28">
        <f t="shared" si="1071"/>
        <v>0</v>
      </c>
      <c r="F993" s="42">
        <f t="shared" si="1072"/>
        <v>-3.3333333333333333E-2</v>
      </c>
      <c r="G993" s="42">
        <f t="shared" si="1073"/>
        <v>-0.23333333333333334</v>
      </c>
      <c r="H993" s="42">
        <f t="shared" si="1074"/>
        <v>-0.36666666666666664</v>
      </c>
      <c r="I993" s="42">
        <f t="shared" si="1075"/>
        <v>-0.43333333333333335</v>
      </c>
      <c r="J993" s="42">
        <f t="shared" si="1076"/>
        <v>-0.56666666666666665</v>
      </c>
      <c r="K993" s="42">
        <f t="shared" si="1077"/>
        <v>-0.6333333333333333</v>
      </c>
      <c r="L993" s="42">
        <f t="shared" si="1078"/>
        <v>-0.76666666666666672</v>
      </c>
      <c r="M993" s="42">
        <f t="shared" si="1079"/>
        <v>-0.96666666666666667</v>
      </c>
      <c r="O993" s="43" t="str">
        <f t="shared" si="1069"/>
        <v/>
      </c>
    </row>
    <row r="994" spans="1:15" x14ac:dyDescent="0.45">
      <c r="D994" s="27">
        <f t="shared" si="1070"/>
        <v>0</v>
      </c>
      <c r="E994" s="28">
        <f t="shared" si="1071"/>
        <v>0</v>
      </c>
      <c r="F994" s="42">
        <f t="shared" si="1072"/>
        <v>-3.3333333333333333E-2</v>
      </c>
      <c r="G994" s="42">
        <f t="shared" si="1073"/>
        <v>-0.23333333333333334</v>
      </c>
      <c r="H994" s="42">
        <f t="shared" si="1074"/>
        <v>-0.36666666666666664</v>
      </c>
      <c r="I994" s="42">
        <f t="shared" si="1075"/>
        <v>-0.43333333333333335</v>
      </c>
      <c r="J994" s="42">
        <f t="shared" si="1076"/>
        <v>-0.56666666666666665</v>
      </c>
      <c r="K994" s="42">
        <f t="shared" si="1077"/>
        <v>-0.6333333333333333</v>
      </c>
      <c r="L994" s="42">
        <f t="shared" si="1078"/>
        <v>-0.76666666666666672</v>
      </c>
      <c r="M994" s="42">
        <f t="shared" si="1079"/>
        <v>-0.96666666666666667</v>
      </c>
      <c r="O994" s="43" t="str">
        <f t="shared" si="1069"/>
        <v/>
      </c>
    </row>
    <row r="995" spans="1:15" ht="19.2" thickBot="1" x14ac:dyDescent="0.5">
      <c r="F995" s="42"/>
      <c r="G995" s="42"/>
      <c r="H995" s="42"/>
      <c r="I995" s="42"/>
      <c r="J995" s="42"/>
      <c r="K995" s="42"/>
      <c r="L995" s="42"/>
      <c r="M995" s="42"/>
    </row>
    <row r="996" spans="1:15" ht="19.2" thickBot="1" x14ac:dyDescent="0.5">
      <c r="C996" s="44"/>
      <c r="E996" s="34">
        <f>E977</f>
        <v>0</v>
      </c>
      <c r="F996" s="45">
        <v>1</v>
      </c>
      <c r="G996" s="46">
        <v>7</v>
      </c>
      <c r="H996" s="46">
        <v>11</v>
      </c>
      <c r="I996" s="46">
        <v>13</v>
      </c>
      <c r="J996" s="46">
        <v>17</v>
      </c>
      <c r="K996" s="46">
        <v>19</v>
      </c>
      <c r="L996" s="46">
        <v>23</v>
      </c>
      <c r="M996" s="47">
        <v>29</v>
      </c>
      <c r="O996" s="27" t="s">
        <v>2</v>
      </c>
    </row>
    <row r="997" spans="1:15" x14ac:dyDescent="0.45">
      <c r="A997" s="29">
        <f>A987+1</f>
        <v>99</v>
      </c>
      <c r="D997" s="27">
        <f>C987</f>
        <v>0</v>
      </c>
      <c r="E997" s="28">
        <f>D997*$E$6</f>
        <v>0</v>
      </c>
      <c r="F997" s="42">
        <f>(E997-1)/30</f>
        <v>-3.3333333333333333E-2</v>
      </c>
      <c r="G997" s="42">
        <f>($E997-7)/30</f>
        <v>-0.23333333333333334</v>
      </c>
      <c r="H997" s="42">
        <f>($E997-11)/30</f>
        <v>-0.36666666666666664</v>
      </c>
      <c r="I997" s="42">
        <f>($E997-13)/30</f>
        <v>-0.43333333333333335</v>
      </c>
      <c r="J997" s="42">
        <f>($E997-17)/30</f>
        <v>-0.56666666666666665</v>
      </c>
      <c r="K997" s="42">
        <f>($E997-19)/30</f>
        <v>-0.6333333333333333</v>
      </c>
      <c r="L997" s="42">
        <f>($E997-23)/30</f>
        <v>-0.76666666666666672</v>
      </c>
      <c r="M997" s="42">
        <f>($E997-29)/30</f>
        <v>-0.96666666666666667</v>
      </c>
      <c r="O997" s="43" t="str">
        <f t="shared" ref="O997:O1004" si="1080">FactorNumber(E997)</f>
        <v/>
      </c>
    </row>
    <row r="998" spans="1:15" x14ac:dyDescent="0.45">
      <c r="D998" s="27">
        <f t="shared" ref="D998:D1004" si="1081">C988</f>
        <v>0</v>
      </c>
      <c r="E998" s="28">
        <f t="shared" ref="E998:E1004" si="1082">D998*$E$6</f>
        <v>0</v>
      </c>
      <c r="F998" s="42">
        <f t="shared" ref="F998:F1004" si="1083">(E998-1)/30</f>
        <v>-3.3333333333333333E-2</v>
      </c>
      <c r="G998" s="42">
        <f t="shared" ref="G998:G1004" si="1084">($E998-7)/30</f>
        <v>-0.23333333333333334</v>
      </c>
      <c r="H998" s="42">
        <f t="shared" ref="H998:H1004" si="1085">($E998-11)/30</f>
        <v>-0.36666666666666664</v>
      </c>
      <c r="I998" s="42">
        <f t="shared" ref="I998:I1004" si="1086">($E998-13)/30</f>
        <v>-0.43333333333333335</v>
      </c>
      <c r="J998" s="42">
        <f t="shared" ref="J998:J1004" si="1087">($E998-17)/30</f>
        <v>-0.56666666666666665</v>
      </c>
      <c r="K998" s="42">
        <f t="shared" ref="K998:K1004" si="1088">($E998-19)/30</f>
        <v>-0.6333333333333333</v>
      </c>
      <c r="L998" s="42">
        <f t="shared" ref="L998:L1004" si="1089">($E998-23)/30</f>
        <v>-0.76666666666666672</v>
      </c>
      <c r="M998" s="42">
        <f t="shared" ref="M998:M1004" si="1090">($E998-29)/30</f>
        <v>-0.96666666666666667</v>
      </c>
      <c r="O998" s="43" t="str">
        <f t="shared" si="1080"/>
        <v/>
      </c>
    </row>
    <row r="999" spans="1:15" x14ac:dyDescent="0.45">
      <c r="D999" s="27">
        <f t="shared" si="1081"/>
        <v>0</v>
      </c>
      <c r="E999" s="28">
        <f t="shared" si="1082"/>
        <v>0</v>
      </c>
      <c r="F999" s="42">
        <f t="shared" si="1083"/>
        <v>-3.3333333333333333E-2</v>
      </c>
      <c r="G999" s="42">
        <f t="shared" si="1084"/>
        <v>-0.23333333333333334</v>
      </c>
      <c r="H999" s="42">
        <f t="shared" si="1085"/>
        <v>-0.36666666666666664</v>
      </c>
      <c r="I999" s="42">
        <f t="shared" si="1086"/>
        <v>-0.43333333333333335</v>
      </c>
      <c r="J999" s="42">
        <f t="shared" si="1087"/>
        <v>-0.56666666666666665</v>
      </c>
      <c r="K999" s="42">
        <f t="shared" si="1088"/>
        <v>-0.6333333333333333</v>
      </c>
      <c r="L999" s="42">
        <f t="shared" si="1089"/>
        <v>-0.76666666666666672</v>
      </c>
      <c r="M999" s="42">
        <f t="shared" si="1090"/>
        <v>-0.96666666666666667</v>
      </c>
      <c r="O999" s="43" t="str">
        <f t="shared" si="1080"/>
        <v/>
      </c>
    </row>
    <row r="1000" spans="1:15" x14ac:dyDescent="0.45">
      <c r="D1000" s="27">
        <f t="shared" si="1081"/>
        <v>0</v>
      </c>
      <c r="E1000" s="28">
        <f t="shared" si="1082"/>
        <v>0</v>
      </c>
      <c r="F1000" s="42">
        <f t="shared" si="1083"/>
        <v>-3.3333333333333333E-2</v>
      </c>
      <c r="G1000" s="42">
        <f t="shared" si="1084"/>
        <v>-0.23333333333333334</v>
      </c>
      <c r="H1000" s="42">
        <f t="shared" si="1085"/>
        <v>-0.36666666666666664</v>
      </c>
      <c r="I1000" s="42">
        <f t="shared" si="1086"/>
        <v>-0.43333333333333335</v>
      </c>
      <c r="J1000" s="42">
        <f t="shared" si="1087"/>
        <v>-0.56666666666666665</v>
      </c>
      <c r="K1000" s="42">
        <f t="shared" si="1088"/>
        <v>-0.6333333333333333</v>
      </c>
      <c r="L1000" s="42">
        <f t="shared" si="1089"/>
        <v>-0.76666666666666672</v>
      </c>
      <c r="M1000" s="42">
        <f t="shared" si="1090"/>
        <v>-0.96666666666666667</v>
      </c>
      <c r="O1000" s="43" t="str">
        <f t="shared" si="1080"/>
        <v/>
      </c>
    </row>
    <row r="1001" spans="1:15" x14ac:dyDescent="0.45">
      <c r="D1001" s="27">
        <f t="shared" si="1081"/>
        <v>0</v>
      </c>
      <c r="E1001" s="28">
        <f t="shared" si="1082"/>
        <v>0</v>
      </c>
      <c r="F1001" s="42">
        <f t="shared" si="1083"/>
        <v>-3.3333333333333333E-2</v>
      </c>
      <c r="G1001" s="42">
        <f t="shared" si="1084"/>
        <v>-0.23333333333333334</v>
      </c>
      <c r="H1001" s="42">
        <f t="shared" si="1085"/>
        <v>-0.36666666666666664</v>
      </c>
      <c r="I1001" s="42">
        <f t="shared" si="1086"/>
        <v>-0.43333333333333335</v>
      </c>
      <c r="J1001" s="42">
        <f t="shared" si="1087"/>
        <v>-0.56666666666666665</v>
      </c>
      <c r="K1001" s="42">
        <f t="shared" si="1088"/>
        <v>-0.6333333333333333</v>
      </c>
      <c r="L1001" s="42">
        <f t="shared" si="1089"/>
        <v>-0.76666666666666672</v>
      </c>
      <c r="M1001" s="42">
        <f t="shared" si="1090"/>
        <v>-0.96666666666666667</v>
      </c>
      <c r="O1001" s="43" t="str">
        <f t="shared" si="1080"/>
        <v/>
      </c>
    </row>
    <row r="1002" spans="1:15" x14ac:dyDescent="0.45">
      <c r="D1002" s="27">
        <f t="shared" si="1081"/>
        <v>0</v>
      </c>
      <c r="E1002" s="28">
        <f t="shared" si="1082"/>
        <v>0</v>
      </c>
      <c r="F1002" s="42">
        <f t="shared" si="1083"/>
        <v>-3.3333333333333333E-2</v>
      </c>
      <c r="G1002" s="42">
        <f t="shared" si="1084"/>
        <v>-0.23333333333333334</v>
      </c>
      <c r="H1002" s="42">
        <f t="shared" si="1085"/>
        <v>-0.36666666666666664</v>
      </c>
      <c r="I1002" s="42">
        <f t="shared" si="1086"/>
        <v>-0.43333333333333335</v>
      </c>
      <c r="J1002" s="42">
        <f t="shared" si="1087"/>
        <v>-0.56666666666666665</v>
      </c>
      <c r="K1002" s="42">
        <f t="shared" si="1088"/>
        <v>-0.6333333333333333</v>
      </c>
      <c r="L1002" s="42">
        <f t="shared" si="1089"/>
        <v>-0.76666666666666672</v>
      </c>
      <c r="M1002" s="42">
        <f t="shared" si="1090"/>
        <v>-0.96666666666666667</v>
      </c>
      <c r="O1002" s="43" t="str">
        <f t="shared" si="1080"/>
        <v/>
      </c>
    </row>
    <row r="1003" spans="1:15" x14ac:dyDescent="0.45">
      <c r="D1003" s="27">
        <f t="shared" si="1081"/>
        <v>0</v>
      </c>
      <c r="E1003" s="28">
        <f t="shared" si="1082"/>
        <v>0</v>
      </c>
      <c r="F1003" s="42">
        <f t="shared" si="1083"/>
        <v>-3.3333333333333333E-2</v>
      </c>
      <c r="G1003" s="42">
        <f t="shared" si="1084"/>
        <v>-0.23333333333333334</v>
      </c>
      <c r="H1003" s="42">
        <f t="shared" si="1085"/>
        <v>-0.36666666666666664</v>
      </c>
      <c r="I1003" s="42">
        <f t="shared" si="1086"/>
        <v>-0.43333333333333335</v>
      </c>
      <c r="J1003" s="42">
        <f t="shared" si="1087"/>
        <v>-0.56666666666666665</v>
      </c>
      <c r="K1003" s="42">
        <f t="shared" si="1088"/>
        <v>-0.6333333333333333</v>
      </c>
      <c r="L1003" s="42">
        <f t="shared" si="1089"/>
        <v>-0.76666666666666672</v>
      </c>
      <c r="M1003" s="42">
        <f t="shared" si="1090"/>
        <v>-0.96666666666666667</v>
      </c>
      <c r="O1003" s="43" t="str">
        <f t="shared" si="1080"/>
        <v/>
      </c>
    </row>
    <row r="1004" spans="1:15" x14ac:dyDescent="0.45">
      <c r="D1004" s="27">
        <f t="shared" si="1081"/>
        <v>0</v>
      </c>
      <c r="E1004" s="28">
        <f t="shared" si="1082"/>
        <v>0</v>
      </c>
      <c r="F1004" s="42">
        <f t="shared" si="1083"/>
        <v>-3.3333333333333333E-2</v>
      </c>
      <c r="G1004" s="42">
        <f t="shared" si="1084"/>
        <v>-0.23333333333333334</v>
      </c>
      <c r="H1004" s="42">
        <f t="shared" si="1085"/>
        <v>-0.36666666666666664</v>
      </c>
      <c r="I1004" s="42">
        <f t="shared" si="1086"/>
        <v>-0.43333333333333335</v>
      </c>
      <c r="J1004" s="42">
        <f t="shared" si="1087"/>
        <v>-0.56666666666666665</v>
      </c>
      <c r="K1004" s="42">
        <f t="shared" si="1088"/>
        <v>-0.6333333333333333</v>
      </c>
      <c r="L1004" s="42">
        <f t="shared" si="1089"/>
        <v>-0.76666666666666672</v>
      </c>
      <c r="M1004" s="42">
        <f t="shared" si="1090"/>
        <v>-0.96666666666666667</v>
      </c>
      <c r="O1004" s="43" t="str">
        <f t="shared" si="1080"/>
        <v/>
      </c>
    </row>
    <row r="1005" spans="1:15" ht="19.2" thickBot="1" x14ac:dyDescent="0.5">
      <c r="F1005" s="42"/>
      <c r="G1005" s="42"/>
      <c r="H1005" s="42"/>
      <c r="I1005" s="42"/>
      <c r="J1005" s="42"/>
      <c r="K1005" s="42"/>
      <c r="L1005" s="42"/>
      <c r="M1005" s="42"/>
    </row>
    <row r="1006" spans="1:15" ht="19.2" thickBot="1" x14ac:dyDescent="0.5">
      <c r="C1006" s="44"/>
      <c r="E1006" s="34">
        <f>E987</f>
        <v>0</v>
      </c>
      <c r="F1006" s="45">
        <v>1</v>
      </c>
      <c r="G1006" s="46">
        <v>7</v>
      </c>
      <c r="H1006" s="46">
        <v>11</v>
      </c>
      <c r="I1006" s="46">
        <v>13</v>
      </c>
      <c r="J1006" s="46">
        <v>17</v>
      </c>
      <c r="K1006" s="46">
        <v>19</v>
      </c>
      <c r="L1006" s="46">
        <v>23</v>
      </c>
      <c r="M1006" s="47">
        <v>29</v>
      </c>
      <c r="O1006" s="27" t="s">
        <v>2</v>
      </c>
    </row>
    <row r="1007" spans="1:15" x14ac:dyDescent="0.45">
      <c r="A1007" s="29">
        <f>A997+1</f>
        <v>100</v>
      </c>
      <c r="D1007" s="27">
        <f>C997</f>
        <v>0</v>
      </c>
      <c r="E1007" s="28">
        <f>D1007*$E$6</f>
        <v>0</v>
      </c>
      <c r="F1007" s="42">
        <f>(E1007-1)/30</f>
        <v>-3.3333333333333333E-2</v>
      </c>
      <c r="G1007" s="42">
        <f>($E1007-7)/30</f>
        <v>-0.23333333333333334</v>
      </c>
      <c r="H1007" s="42">
        <f>($E1007-11)/30</f>
        <v>-0.36666666666666664</v>
      </c>
      <c r="I1007" s="42">
        <f>($E1007-13)/30</f>
        <v>-0.43333333333333335</v>
      </c>
      <c r="J1007" s="42">
        <f>($E1007-17)/30</f>
        <v>-0.56666666666666665</v>
      </c>
      <c r="K1007" s="42">
        <f>($E1007-19)/30</f>
        <v>-0.6333333333333333</v>
      </c>
      <c r="L1007" s="42">
        <f>($E1007-23)/30</f>
        <v>-0.76666666666666672</v>
      </c>
      <c r="M1007" s="42">
        <f>($E1007-29)/30</f>
        <v>-0.96666666666666667</v>
      </c>
      <c r="O1007" s="43" t="str">
        <f t="shared" ref="O1007:O1014" si="1091">FactorNumber(E1007)</f>
        <v/>
      </c>
    </row>
    <row r="1008" spans="1:15" x14ac:dyDescent="0.45">
      <c r="D1008" s="27">
        <f t="shared" ref="D1008:D1014" si="1092">C998</f>
        <v>0</v>
      </c>
      <c r="E1008" s="28">
        <f t="shared" ref="E1008:E1014" si="1093">D1008*$E$6</f>
        <v>0</v>
      </c>
      <c r="F1008" s="42">
        <f t="shared" ref="F1008:F1014" si="1094">(E1008-1)/30</f>
        <v>-3.3333333333333333E-2</v>
      </c>
      <c r="G1008" s="42">
        <f t="shared" ref="G1008:G1014" si="1095">($E1008-7)/30</f>
        <v>-0.23333333333333334</v>
      </c>
      <c r="H1008" s="42">
        <f t="shared" ref="H1008:H1014" si="1096">($E1008-11)/30</f>
        <v>-0.36666666666666664</v>
      </c>
      <c r="I1008" s="42">
        <f t="shared" ref="I1008:I1014" si="1097">($E1008-13)/30</f>
        <v>-0.43333333333333335</v>
      </c>
      <c r="J1008" s="42">
        <f t="shared" ref="J1008:J1014" si="1098">($E1008-17)/30</f>
        <v>-0.56666666666666665</v>
      </c>
      <c r="K1008" s="42">
        <f t="shared" ref="K1008:K1014" si="1099">($E1008-19)/30</f>
        <v>-0.6333333333333333</v>
      </c>
      <c r="L1008" s="42">
        <f t="shared" ref="L1008:L1014" si="1100">($E1008-23)/30</f>
        <v>-0.76666666666666672</v>
      </c>
      <c r="M1008" s="42">
        <f t="shared" ref="M1008:M1014" si="1101">($E1008-29)/30</f>
        <v>-0.96666666666666667</v>
      </c>
      <c r="O1008" s="43" t="str">
        <f t="shared" si="1091"/>
        <v/>
      </c>
    </row>
    <row r="1009" spans="1:15" x14ac:dyDescent="0.45">
      <c r="D1009" s="27">
        <f t="shared" si="1092"/>
        <v>0</v>
      </c>
      <c r="E1009" s="28">
        <f t="shared" si="1093"/>
        <v>0</v>
      </c>
      <c r="F1009" s="42">
        <f t="shared" si="1094"/>
        <v>-3.3333333333333333E-2</v>
      </c>
      <c r="G1009" s="42">
        <f t="shared" si="1095"/>
        <v>-0.23333333333333334</v>
      </c>
      <c r="H1009" s="42">
        <f t="shared" si="1096"/>
        <v>-0.36666666666666664</v>
      </c>
      <c r="I1009" s="42">
        <f t="shared" si="1097"/>
        <v>-0.43333333333333335</v>
      </c>
      <c r="J1009" s="42">
        <f t="shared" si="1098"/>
        <v>-0.56666666666666665</v>
      </c>
      <c r="K1009" s="42">
        <f t="shared" si="1099"/>
        <v>-0.6333333333333333</v>
      </c>
      <c r="L1009" s="42">
        <f t="shared" si="1100"/>
        <v>-0.76666666666666672</v>
      </c>
      <c r="M1009" s="42">
        <f t="shared" si="1101"/>
        <v>-0.96666666666666667</v>
      </c>
      <c r="O1009" s="43" t="str">
        <f t="shared" si="1091"/>
        <v/>
      </c>
    </row>
    <row r="1010" spans="1:15" x14ac:dyDescent="0.45">
      <c r="D1010" s="27">
        <f t="shared" si="1092"/>
        <v>0</v>
      </c>
      <c r="E1010" s="28">
        <f t="shared" si="1093"/>
        <v>0</v>
      </c>
      <c r="F1010" s="42">
        <f t="shared" si="1094"/>
        <v>-3.3333333333333333E-2</v>
      </c>
      <c r="G1010" s="42">
        <f t="shared" si="1095"/>
        <v>-0.23333333333333334</v>
      </c>
      <c r="H1010" s="42">
        <f t="shared" si="1096"/>
        <v>-0.36666666666666664</v>
      </c>
      <c r="I1010" s="42">
        <f t="shared" si="1097"/>
        <v>-0.43333333333333335</v>
      </c>
      <c r="J1010" s="42">
        <f t="shared" si="1098"/>
        <v>-0.56666666666666665</v>
      </c>
      <c r="K1010" s="42">
        <f t="shared" si="1099"/>
        <v>-0.6333333333333333</v>
      </c>
      <c r="L1010" s="42">
        <f t="shared" si="1100"/>
        <v>-0.76666666666666672</v>
      </c>
      <c r="M1010" s="42">
        <f t="shared" si="1101"/>
        <v>-0.96666666666666667</v>
      </c>
      <c r="O1010" s="43" t="str">
        <f t="shared" si="1091"/>
        <v/>
      </c>
    </row>
    <row r="1011" spans="1:15" x14ac:dyDescent="0.45">
      <c r="D1011" s="27">
        <f t="shared" si="1092"/>
        <v>0</v>
      </c>
      <c r="E1011" s="28">
        <f t="shared" si="1093"/>
        <v>0</v>
      </c>
      <c r="F1011" s="42">
        <f t="shared" si="1094"/>
        <v>-3.3333333333333333E-2</v>
      </c>
      <c r="G1011" s="42">
        <f t="shared" si="1095"/>
        <v>-0.23333333333333334</v>
      </c>
      <c r="H1011" s="42">
        <f t="shared" si="1096"/>
        <v>-0.36666666666666664</v>
      </c>
      <c r="I1011" s="42">
        <f t="shared" si="1097"/>
        <v>-0.43333333333333335</v>
      </c>
      <c r="J1011" s="42">
        <f t="shared" si="1098"/>
        <v>-0.56666666666666665</v>
      </c>
      <c r="K1011" s="42">
        <f t="shared" si="1099"/>
        <v>-0.6333333333333333</v>
      </c>
      <c r="L1011" s="42">
        <f t="shared" si="1100"/>
        <v>-0.76666666666666672</v>
      </c>
      <c r="M1011" s="42">
        <f t="shared" si="1101"/>
        <v>-0.96666666666666667</v>
      </c>
      <c r="O1011" s="43" t="str">
        <f t="shared" si="1091"/>
        <v/>
      </c>
    </row>
    <row r="1012" spans="1:15" x14ac:dyDescent="0.45">
      <c r="D1012" s="27">
        <f t="shared" si="1092"/>
        <v>0</v>
      </c>
      <c r="E1012" s="28">
        <f t="shared" si="1093"/>
        <v>0</v>
      </c>
      <c r="F1012" s="42">
        <f t="shared" si="1094"/>
        <v>-3.3333333333333333E-2</v>
      </c>
      <c r="G1012" s="42">
        <f t="shared" si="1095"/>
        <v>-0.23333333333333334</v>
      </c>
      <c r="H1012" s="42">
        <f t="shared" si="1096"/>
        <v>-0.36666666666666664</v>
      </c>
      <c r="I1012" s="42">
        <f t="shared" si="1097"/>
        <v>-0.43333333333333335</v>
      </c>
      <c r="J1012" s="42">
        <f t="shared" si="1098"/>
        <v>-0.56666666666666665</v>
      </c>
      <c r="K1012" s="42">
        <f t="shared" si="1099"/>
        <v>-0.6333333333333333</v>
      </c>
      <c r="L1012" s="42">
        <f t="shared" si="1100"/>
        <v>-0.76666666666666672</v>
      </c>
      <c r="M1012" s="42">
        <f t="shared" si="1101"/>
        <v>-0.96666666666666667</v>
      </c>
      <c r="O1012" s="43" t="str">
        <f t="shared" si="1091"/>
        <v/>
      </c>
    </row>
    <row r="1013" spans="1:15" x14ac:dyDescent="0.45">
      <c r="D1013" s="27">
        <f t="shared" si="1092"/>
        <v>0</v>
      </c>
      <c r="E1013" s="28">
        <f t="shared" si="1093"/>
        <v>0</v>
      </c>
      <c r="F1013" s="42">
        <f t="shared" si="1094"/>
        <v>-3.3333333333333333E-2</v>
      </c>
      <c r="G1013" s="42">
        <f t="shared" si="1095"/>
        <v>-0.23333333333333334</v>
      </c>
      <c r="H1013" s="42">
        <f t="shared" si="1096"/>
        <v>-0.36666666666666664</v>
      </c>
      <c r="I1013" s="42">
        <f t="shared" si="1097"/>
        <v>-0.43333333333333335</v>
      </c>
      <c r="J1013" s="42">
        <f t="shared" si="1098"/>
        <v>-0.56666666666666665</v>
      </c>
      <c r="K1013" s="42">
        <f t="shared" si="1099"/>
        <v>-0.6333333333333333</v>
      </c>
      <c r="L1013" s="42">
        <f t="shared" si="1100"/>
        <v>-0.76666666666666672</v>
      </c>
      <c r="M1013" s="42">
        <f t="shared" si="1101"/>
        <v>-0.96666666666666667</v>
      </c>
      <c r="O1013" s="43" t="str">
        <f t="shared" si="1091"/>
        <v/>
      </c>
    </row>
    <row r="1014" spans="1:15" x14ac:dyDescent="0.45">
      <c r="D1014" s="27">
        <f t="shared" si="1092"/>
        <v>0</v>
      </c>
      <c r="E1014" s="28">
        <f t="shared" si="1093"/>
        <v>0</v>
      </c>
      <c r="F1014" s="42">
        <f t="shared" si="1094"/>
        <v>-3.3333333333333333E-2</v>
      </c>
      <c r="G1014" s="42">
        <f t="shared" si="1095"/>
        <v>-0.23333333333333334</v>
      </c>
      <c r="H1014" s="42">
        <f t="shared" si="1096"/>
        <v>-0.36666666666666664</v>
      </c>
      <c r="I1014" s="42">
        <f t="shared" si="1097"/>
        <v>-0.43333333333333335</v>
      </c>
      <c r="J1014" s="42">
        <f t="shared" si="1098"/>
        <v>-0.56666666666666665</v>
      </c>
      <c r="K1014" s="42">
        <f t="shared" si="1099"/>
        <v>-0.6333333333333333</v>
      </c>
      <c r="L1014" s="42">
        <f t="shared" si="1100"/>
        <v>-0.76666666666666672</v>
      </c>
      <c r="M1014" s="42">
        <f t="shared" si="1101"/>
        <v>-0.96666666666666667</v>
      </c>
      <c r="O1014" s="43" t="str">
        <f t="shared" si="1091"/>
        <v/>
      </c>
    </row>
    <row r="1015" spans="1:15" ht="19.2" thickBot="1" x14ac:dyDescent="0.5">
      <c r="F1015" s="42"/>
      <c r="G1015" s="42"/>
      <c r="H1015" s="42"/>
      <c r="I1015" s="42"/>
      <c r="J1015" s="42"/>
      <c r="K1015" s="42"/>
      <c r="L1015" s="42"/>
      <c r="M1015" s="42"/>
    </row>
    <row r="1016" spans="1:15" ht="19.2" thickBot="1" x14ac:dyDescent="0.5">
      <c r="C1016" s="44"/>
      <c r="E1016" s="34">
        <f>E997</f>
        <v>0</v>
      </c>
      <c r="F1016" s="45">
        <v>1</v>
      </c>
      <c r="G1016" s="46">
        <v>7</v>
      </c>
      <c r="H1016" s="46">
        <v>11</v>
      </c>
      <c r="I1016" s="46">
        <v>13</v>
      </c>
      <c r="J1016" s="46">
        <v>17</v>
      </c>
      <c r="K1016" s="46">
        <v>19</v>
      </c>
      <c r="L1016" s="46">
        <v>23</v>
      </c>
      <c r="M1016" s="47">
        <v>29</v>
      </c>
      <c r="O1016" s="27" t="s">
        <v>2</v>
      </c>
    </row>
    <row r="1017" spans="1:15" x14ac:dyDescent="0.45">
      <c r="A1017" s="29">
        <f>A1007+1</f>
        <v>101</v>
      </c>
      <c r="D1017" s="27">
        <f>C1007</f>
        <v>0</v>
      </c>
      <c r="E1017" s="28">
        <f>D1017*$E$6</f>
        <v>0</v>
      </c>
      <c r="F1017" s="42">
        <f>(E1017-1)/30</f>
        <v>-3.3333333333333333E-2</v>
      </c>
      <c r="G1017" s="42">
        <f>($E1017-7)/30</f>
        <v>-0.23333333333333334</v>
      </c>
      <c r="H1017" s="42">
        <f>($E1017-11)/30</f>
        <v>-0.36666666666666664</v>
      </c>
      <c r="I1017" s="42">
        <f>($E1017-13)/30</f>
        <v>-0.43333333333333335</v>
      </c>
      <c r="J1017" s="42">
        <f>($E1017-17)/30</f>
        <v>-0.56666666666666665</v>
      </c>
      <c r="K1017" s="42">
        <f>($E1017-19)/30</f>
        <v>-0.6333333333333333</v>
      </c>
      <c r="L1017" s="42">
        <f>($E1017-23)/30</f>
        <v>-0.76666666666666672</v>
      </c>
      <c r="M1017" s="42">
        <f>($E1017-29)/30</f>
        <v>-0.96666666666666667</v>
      </c>
      <c r="O1017" s="43" t="str">
        <f t="shared" ref="O1017:O1024" si="1102">FactorNumber(E1017)</f>
        <v/>
      </c>
    </row>
    <row r="1018" spans="1:15" x14ac:dyDescent="0.45">
      <c r="D1018" s="27">
        <f t="shared" ref="D1018:D1024" si="1103">C1008</f>
        <v>0</v>
      </c>
      <c r="E1018" s="28">
        <f t="shared" ref="E1018:E1024" si="1104">D1018*$E$6</f>
        <v>0</v>
      </c>
      <c r="F1018" s="42">
        <f t="shared" ref="F1018:F1024" si="1105">(E1018-1)/30</f>
        <v>-3.3333333333333333E-2</v>
      </c>
      <c r="G1018" s="42">
        <f t="shared" ref="G1018:G1024" si="1106">($E1018-7)/30</f>
        <v>-0.23333333333333334</v>
      </c>
      <c r="H1018" s="42">
        <f t="shared" ref="H1018:H1024" si="1107">($E1018-11)/30</f>
        <v>-0.36666666666666664</v>
      </c>
      <c r="I1018" s="42">
        <f t="shared" ref="I1018:I1024" si="1108">($E1018-13)/30</f>
        <v>-0.43333333333333335</v>
      </c>
      <c r="J1018" s="42">
        <f t="shared" ref="J1018:J1024" si="1109">($E1018-17)/30</f>
        <v>-0.56666666666666665</v>
      </c>
      <c r="K1018" s="42">
        <f t="shared" ref="K1018:K1024" si="1110">($E1018-19)/30</f>
        <v>-0.6333333333333333</v>
      </c>
      <c r="L1018" s="42">
        <f t="shared" ref="L1018:L1024" si="1111">($E1018-23)/30</f>
        <v>-0.76666666666666672</v>
      </c>
      <c r="M1018" s="42">
        <f t="shared" ref="M1018:M1024" si="1112">($E1018-29)/30</f>
        <v>-0.96666666666666667</v>
      </c>
      <c r="O1018" s="43" t="str">
        <f t="shared" si="1102"/>
        <v/>
      </c>
    </row>
    <row r="1019" spans="1:15" x14ac:dyDescent="0.45">
      <c r="D1019" s="27">
        <f t="shared" si="1103"/>
        <v>0</v>
      </c>
      <c r="E1019" s="28">
        <f t="shared" si="1104"/>
        <v>0</v>
      </c>
      <c r="F1019" s="42">
        <f t="shared" si="1105"/>
        <v>-3.3333333333333333E-2</v>
      </c>
      <c r="G1019" s="42">
        <f t="shared" si="1106"/>
        <v>-0.23333333333333334</v>
      </c>
      <c r="H1019" s="42">
        <f t="shared" si="1107"/>
        <v>-0.36666666666666664</v>
      </c>
      <c r="I1019" s="42">
        <f t="shared" si="1108"/>
        <v>-0.43333333333333335</v>
      </c>
      <c r="J1019" s="42">
        <f t="shared" si="1109"/>
        <v>-0.56666666666666665</v>
      </c>
      <c r="K1019" s="42">
        <f t="shared" si="1110"/>
        <v>-0.6333333333333333</v>
      </c>
      <c r="L1019" s="42">
        <f t="shared" si="1111"/>
        <v>-0.76666666666666672</v>
      </c>
      <c r="M1019" s="42">
        <f t="shared" si="1112"/>
        <v>-0.96666666666666667</v>
      </c>
      <c r="O1019" s="43" t="str">
        <f t="shared" si="1102"/>
        <v/>
      </c>
    </row>
    <row r="1020" spans="1:15" x14ac:dyDescent="0.45">
      <c r="D1020" s="27">
        <f t="shared" si="1103"/>
        <v>0</v>
      </c>
      <c r="E1020" s="28">
        <f t="shared" si="1104"/>
        <v>0</v>
      </c>
      <c r="F1020" s="42">
        <f t="shared" si="1105"/>
        <v>-3.3333333333333333E-2</v>
      </c>
      <c r="G1020" s="42">
        <f t="shared" si="1106"/>
        <v>-0.23333333333333334</v>
      </c>
      <c r="H1020" s="42">
        <f t="shared" si="1107"/>
        <v>-0.36666666666666664</v>
      </c>
      <c r="I1020" s="42">
        <f t="shared" si="1108"/>
        <v>-0.43333333333333335</v>
      </c>
      <c r="J1020" s="42">
        <f t="shared" si="1109"/>
        <v>-0.56666666666666665</v>
      </c>
      <c r="K1020" s="42">
        <f t="shared" si="1110"/>
        <v>-0.6333333333333333</v>
      </c>
      <c r="L1020" s="42">
        <f t="shared" si="1111"/>
        <v>-0.76666666666666672</v>
      </c>
      <c r="M1020" s="42">
        <f t="shared" si="1112"/>
        <v>-0.96666666666666667</v>
      </c>
      <c r="O1020" s="43" t="str">
        <f t="shared" si="1102"/>
        <v/>
      </c>
    </row>
    <row r="1021" spans="1:15" x14ac:dyDescent="0.45">
      <c r="D1021" s="27">
        <f t="shared" si="1103"/>
        <v>0</v>
      </c>
      <c r="E1021" s="28">
        <f t="shared" si="1104"/>
        <v>0</v>
      </c>
      <c r="F1021" s="42">
        <f t="shared" si="1105"/>
        <v>-3.3333333333333333E-2</v>
      </c>
      <c r="G1021" s="42">
        <f t="shared" si="1106"/>
        <v>-0.23333333333333334</v>
      </c>
      <c r="H1021" s="42">
        <f t="shared" si="1107"/>
        <v>-0.36666666666666664</v>
      </c>
      <c r="I1021" s="42">
        <f t="shared" si="1108"/>
        <v>-0.43333333333333335</v>
      </c>
      <c r="J1021" s="42">
        <f t="shared" si="1109"/>
        <v>-0.56666666666666665</v>
      </c>
      <c r="K1021" s="42">
        <f t="shared" si="1110"/>
        <v>-0.6333333333333333</v>
      </c>
      <c r="L1021" s="42">
        <f t="shared" si="1111"/>
        <v>-0.76666666666666672</v>
      </c>
      <c r="M1021" s="42">
        <f t="shared" si="1112"/>
        <v>-0.96666666666666667</v>
      </c>
      <c r="O1021" s="43" t="str">
        <f t="shared" si="1102"/>
        <v/>
      </c>
    </row>
    <row r="1022" spans="1:15" x14ac:dyDescent="0.45">
      <c r="D1022" s="27">
        <f t="shared" si="1103"/>
        <v>0</v>
      </c>
      <c r="E1022" s="28">
        <f t="shared" si="1104"/>
        <v>0</v>
      </c>
      <c r="F1022" s="42">
        <f t="shared" si="1105"/>
        <v>-3.3333333333333333E-2</v>
      </c>
      <c r="G1022" s="42">
        <f t="shared" si="1106"/>
        <v>-0.23333333333333334</v>
      </c>
      <c r="H1022" s="42">
        <f t="shared" si="1107"/>
        <v>-0.36666666666666664</v>
      </c>
      <c r="I1022" s="42">
        <f t="shared" si="1108"/>
        <v>-0.43333333333333335</v>
      </c>
      <c r="J1022" s="42">
        <f t="shared" si="1109"/>
        <v>-0.56666666666666665</v>
      </c>
      <c r="K1022" s="42">
        <f t="shared" si="1110"/>
        <v>-0.6333333333333333</v>
      </c>
      <c r="L1022" s="42">
        <f t="shared" si="1111"/>
        <v>-0.76666666666666672</v>
      </c>
      <c r="M1022" s="42">
        <f t="shared" si="1112"/>
        <v>-0.96666666666666667</v>
      </c>
      <c r="O1022" s="43" t="str">
        <f t="shared" si="1102"/>
        <v/>
      </c>
    </row>
    <row r="1023" spans="1:15" x14ac:dyDescent="0.45">
      <c r="D1023" s="27">
        <f t="shared" si="1103"/>
        <v>0</v>
      </c>
      <c r="E1023" s="28">
        <f t="shared" si="1104"/>
        <v>0</v>
      </c>
      <c r="F1023" s="42">
        <f t="shared" si="1105"/>
        <v>-3.3333333333333333E-2</v>
      </c>
      <c r="G1023" s="42">
        <f t="shared" si="1106"/>
        <v>-0.23333333333333334</v>
      </c>
      <c r="H1023" s="42">
        <f t="shared" si="1107"/>
        <v>-0.36666666666666664</v>
      </c>
      <c r="I1023" s="42">
        <f t="shared" si="1108"/>
        <v>-0.43333333333333335</v>
      </c>
      <c r="J1023" s="42">
        <f t="shared" si="1109"/>
        <v>-0.56666666666666665</v>
      </c>
      <c r="K1023" s="42">
        <f t="shared" si="1110"/>
        <v>-0.6333333333333333</v>
      </c>
      <c r="L1023" s="42">
        <f t="shared" si="1111"/>
        <v>-0.76666666666666672</v>
      </c>
      <c r="M1023" s="42">
        <f t="shared" si="1112"/>
        <v>-0.96666666666666667</v>
      </c>
      <c r="O1023" s="43" t="str">
        <f t="shared" si="1102"/>
        <v/>
      </c>
    </row>
    <row r="1024" spans="1:15" x14ac:dyDescent="0.45">
      <c r="D1024" s="27">
        <f t="shared" si="1103"/>
        <v>0</v>
      </c>
      <c r="E1024" s="28">
        <f t="shared" si="1104"/>
        <v>0</v>
      </c>
      <c r="F1024" s="42">
        <f t="shared" si="1105"/>
        <v>-3.3333333333333333E-2</v>
      </c>
      <c r="G1024" s="42">
        <f t="shared" si="1106"/>
        <v>-0.23333333333333334</v>
      </c>
      <c r="H1024" s="42">
        <f t="shared" si="1107"/>
        <v>-0.36666666666666664</v>
      </c>
      <c r="I1024" s="42">
        <f t="shared" si="1108"/>
        <v>-0.43333333333333335</v>
      </c>
      <c r="J1024" s="42">
        <f t="shared" si="1109"/>
        <v>-0.56666666666666665</v>
      </c>
      <c r="K1024" s="42">
        <f t="shared" si="1110"/>
        <v>-0.6333333333333333</v>
      </c>
      <c r="L1024" s="42">
        <f t="shared" si="1111"/>
        <v>-0.76666666666666672</v>
      </c>
      <c r="M1024" s="42">
        <f t="shared" si="1112"/>
        <v>-0.96666666666666667</v>
      </c>
      <c r="O1024" s="43" t="str">
        <f t="shared" si="1102"/>
        <v/>
      </c>
    </row>
    <row r="1025" spans="1:15" ht="19.2" thickBot="1" x14ac:dyDescent="0.5">
      <c r="F1025" s="42"/>
      <c r="G1025" s="42"/>
      <c r="H1025" s="42"/>
      <c r="I1025" s="42"/>
      <c r="J1025" s="42"/>
      <c r="K1025" s="42"/>
      <c r="L1025" s="42"/>
      <c r="M1025" s="42"/>
    </row>
    <row r="1026" spans="1:15" ht="19.2" thickBot="1" x14ac:dyDescent="0.5">
      <c r="C1026" s="44"/>
      <c r="E1026" s="34">
        <f>E1007</f>
        <v>0</v>
      </c>
      <c r="F1026" s="45">
        <v>1</v>
      </c>
      <c r="G1026" s="46">
        <v>7</v>
      </c>
      <c r="H1026" s="46">
        <v>11</v>
      </c>
      <c r="I1026" s="46">
        <v>13</v>
      </c>
      <c r="J1026" s="46">
        <v>17</v>
      </c>
      <c r="K1026" s="46">
        <v>19</v>
      </c>
      <c r="L1026" s="46">
        <v>23</v>
      </c>
      <c r="M1026" s="47">
        <v>29</v>
      </c>
      <c r="O1026" s="27" t="s">
        <v>2</v>
      </c>
    </row>
    <row r="1027" spans="1:15" x14ac:dyDescent="0.45">
      <c r="A1027" s="29">
        <f>A1017+1</f>
        <v>102</v>
      </c>
      <c r="D1027" s="27">
        <f>C1017</f>
        <v>0</v>
      </c>
      <c r="E1027" s="28">
        <f>D1027*$E$6</f>
        <v>0</v>
      </c>
      <c r="F1027" s="42">
        <f>(E1027-1)/30</f>
        <v>-3.3333333333333333E-2</v>
      </c>
      <c r="G1027" s="42">
        <f>($E1027-7)/30</f>
        <v>-0.23333333333333334</v>
      </c>
      <c r="H1027" s="42">
        <f>($E1027-11)/30</f>
        <v>-0.36666666666666664</v>
      </c>
      <c r="I1027" s="42">
        <f>($E1027-13)/30</f>
        <v>-0.43333333333333335</v>
      </c>
      <c r="J1027" s="42">
        <f>($E1027-17)/30</f>
        <v>-0.56666666666666665</v>
      </c>
      <c r="K1027" s="42">
        <f>($E1027-19)/30</f>
        <v>-0.6333333333333333</v>
      </c>
      <c r="L1027" s="42">
        <f>($E1027-23)/30</f>
        <v>-0.76666666666666672</v>
      </c>
      <c r="M1027" s="42">
        <f>($E1027-29)/30</f>
        <v>-0.96666666666666667</v>
      </c>
      <c r="O1027" s="43" t="str">
        <f t="shared" ref="O1027:O1034" si="1113">FactorNumber(E1027)</f>
        <v/>
      </c>
    </row>
    <row r="1028" spans="1:15" x14ac:dyDescent="0.45">
      <c r="D1028" s="27">
        <f t="shared" ref="D1028:D1034" si="1114">C1018</f>
        <v>0</v>
      </c>
      <c r="E1028" s="28">
        <f t="shared" ref="E1028:E1034" si="1115">D1028*$E$6</f>
        <v>0</v>
      </c>
      <c r="F1028" s="42">
        <f t="shared" ref="F1028:F1034" si="1116">(E1028-1)/30</f>
        <v>-3.3333333333333333E-2</v>
      </c>
      <c r="G1028" s="42">
        <f t="shared" ref="G1028:G1034" si="1117">($E1028-7)/30</f>
        <v>-0.23333333333333334</v>
      </c>
      <c r="H1028" s="42">
        <f t="shared" ref="H1028:H1034" si="1118">($E1028-11)/30</f>
        <v>-0.36666666666666664</v>
      </c>
      <c r="I1028" s="42">
        <f t="shared" ref="I1028:I1034" si="1119">($E1028-13)/30</f>
        <v>-0.43333333333333335</v>
      </c>
      <c r="J1028" s="42">
        <f t="shared" ref="J1028:J1034" si="1120">($E1028-17)/30</f>
        <v>-0.56666666666666665</v>
      </c>
      <c r="K1028" s="42">
        <f t="shared" ref="K1028:K1034" si="1121">($E1028-19)/30</f>
        <v>-0.6333333333333333</v>
      </c>
      <c r="L1028" s="42">
        <f t="shared" ref="L1028:L1034" si="1122">($E1028-23)/30</f>
        <v>-0.76666666666666672</v>
      </c>
      <c r="M1028" s="42">
        <f t="shared" ref="M1028:M1034" si="1123">($E1028-29)/30</f>
        <v>-0.96666666666666667</v>
      </c>
      <c r="O1028" s="43" t="str">
        <f t="shared" si="1113"/>
        <v/>
      </c>
    </row>
    <row r="1029" spans="1:15" x14ac:dyDescent="0.45">
      <c r="D1029" s="27">
        <f t="shared" si="1114"/>
        <v>0</v>
      </c>
      <c r="E1029" s="28">
        <f t="shared" si="1115"/>
        <v>0</v>
      </c>
      <c r="F1029" s="42">
        <f t="shared" si="1116"/>
        <v>-3.3333333333333333E-2</v>
      </c>
      <c r="G1029" s="42">
        <f t="shared" si="1117"/>
        <v>-0.23333333333333334</v>
      </c>
      <c r="H1029" s="42">
        <f t="shared" si="1118"/>
        <v>-0.36666666666666664</v>
      </c>
      <c r="I1029" s="42">
        <f t="shared" si="1119"/>
        <v>-0.43333333333333335</v>
      </c>
      <c r="J1029" s="42">
        <f t="shared" si="1120"/>
        <v>-0.56666666666666665</v>
      </c>
      <c r="K1029" s="42">
        <f t="shared" si="1121"/>
        <v>-0.6333333333333333</v>
      </c>
      <c r="L1029" s="42">
        <f t="shared" si="1122"/>
        <v>-0.76666666666666672</v>
      </c>
      <c r="M1029" s="42">
        <f t="shared" si="1123"/>
        <v>-0.96666666666666667</v>
      </c>
      <c r="O1029" s="43" t="str">
        <f t="shared" si="1113"/>
        <v/>
      </c>
    </row>
    <row r="1030" spans="1:15" x14ac:dyDescent="0.45">
      <c r="D1030" s="27">
        <f t="shared" si="1114"/>
        <v>0</v>
      </c>
      <c r="E1030" s="28">
        <f t="shared" si="1115"/>
        <v>0</v>
      </c>
      <c r="F1030" s="42">
        <f t="shared" si="1116"/>
        <v>-3.3333333333333333E-2</v>
      </c>
      <c r="G1030" s="42">
        <f t="shared" si="1117"/>
        <v>-0.23333333333333334</v>
      </c>
      <c r="H1030" s="42">
        <f t="shared" si="1118"/>
        <v>-0.36666666666666664</v>
      </c>
      <c r="I1030" s="42">
        <f t="shared" si="1119"/>
        <v>-0.43333333333333335</v>
      </c>
      <c r="J1030" s="42">
        <f t="shared" si="1120"/>
        <v>-0.56666666666666665</v>
      </c>
      <c r="K1030" s="42">
        <f t="shared" si="1121"/>
        <v>-0.6333333333333333</v>
      </c>
      <c r="L1030" s="42">
        <f t="shared" si="1122"/>
        <v>-0.76666666666666672</v>
      </c>
      <c r="M1030" s="42">
        <f t="shared" si="1123"/>
        <v>-0.96666666666666667</v>
      </c>
      <c r="O1030" s="43" t="str">
        <f t="shared" si="1113"/>
        <v/>
      </c>
    </row>
    <row r="1031" spans="1:15" x14ac:dyDescent="0.45">
      <c r="D1031" s="27">
        <f t="shared" si="1114"/>
        <v>0</v>
      </c>
      <c r="E1031" s="28">
        <f t="shared" si="1115"/>
        <v>0</v>
      </c>
      <c r="F1031" s="42">
        <f t="shared" si="1116"/>
        <v>-3.3333333333333333E-2</v>
      </c>
      <c r="G1031" s="42">
        <f t="shared" si="1117"/>
        <v>-0.23333333333333334</v>
      </c>
      <c r="H1031" s="42">
        <f t="shared" si="1118"/>
        <v>-0.36666666666666664</v>
      </c>
      <c r="I1031" s="42">
        <f t="shared" si="1119"/>
        <v>-0.43333333333333335</v>
      </c>
      <c r="J1031" s="42">
        <f t="shared" si="1120"/>
        <v>-0.56666666666666665</v>
      </c>
      <c r="K1031" s="42">
        <f t="shared" si="1121"/>
        <v>-0.6333333333333333</v>
      </c>
      <c r="L1031" s="42">
        <f t="shared" si="1122"/>
        <v>-0.76666666666666672</v>
      </c>
      <c r="M1031" s="42">
        <f t="shared" si="1123"/>
        <v>-0.96666666666666667</v>
      </c>
      <c r="O1031" s="43" t="str">
        <f t="shared" si="1113"/>
        <v/>
      </c>
    </row>
    <row r="1032" spans="1:15" x14ac:dyDescent="0.45">
      <c r="D1032" s="27">
        <f t="shared" si="1114"/>
        <v>0</v>
      </c>
      <c r="E1032" s="28">
        <f t="shared" si="1115"/>
        <v>0</v>
      </c>
      <c r="F1032" s="42">
        <f t="shared" si="1116"/>
        <v>-3.3333333333333333E-2</v>
      </c>
      <c r="G1032" s="42">
        <f t="shared" si="1117"/>
        <v>-0.23333333333333334</v>
      </c>
      <c r="H1032" s="42">
        <f t="shared" si="1118"/>
        <v>-0.36666666666666664</v>
      </c>
      <c r="I1032" s="42">
        <f t="shared" si="1119"/>
        <v>-0.43333333333333335</v>
      </c>
      <c r="J1032" s="42">
        <f t="shared" si="1120"/>
        <v>-0.56666666666666665</v>
      </c>
      <c r="K1032" s="42">
        <f t="shared" si="1121"/>
        <v>-0.6333333333333333</v>
      </c>
      <c r="L1032" s="42">
        <f t="shared" si="1122"/>
        <v>-0.76666666666666672</v>
      </c>
      <c r="M1032" s="42">
        <f t="shared" si="1123"/>
        <v>-0.96666666666666667</v>
      </c>
      <c r="O1032" s="43" t="str">
        <f t="shared" si="1113"/>
        <v/>
      </c>
    </row>
    <row r="1033" spans="1:15" x14ac:dyDescent="0.45">
      <c r="D1033" s="27">
        <f t="shared" si="1114"/>
        <v>0</v>
      </c>
      <c r="E1033" s="28">
        <f t="shared" si="1115"/>
        <v>0</v>
      </c>
      <c r="F1033" s="42">
        <f t="shared" si="1116"/>
        <v>-3.3333333333333333E-2</v>
      </c>
      <c r="G1033" s="42">
        <f t="shared" si="1117"/>
        <v>-0.23333333333333334</v>
      </c>
      <c r="H1033" s="42">
        <f t="shared" si="1118"/>
        <v>-0.36666666666666664</v>
      </c>
      <c r="I1033" s="42">
        <f t="shared" si="1119"/>
        <v>-0.43333333333333335</v>
      </c>
      <c r="J1033" s="42">
        <f t="shared" si="1120"/>
        <v>-0.56666666666666665</v>
      </c>
      <c r="K1033" s="42">
        <f t="shared" si="1121"/>
        <v>-0.6333333333333333</v>
      </c>
      <c r="L1033" s="42">
        <f t="shared" si="1122"/>
        <v>-0.76666666666666672</v>
      </c>
      <c r="M1033" s="42">
        <f t="shared" si="1123"/>
        <v>-0.96666666666666667</v>
      </c>
      <c r="O1033" s="43" t="str">
        <f t="shared" si="1113"/>
        <v/>
      </c>
    </row>
    <row r="1034" spans="1:15" x14ac:dyDescent="0.45">
      <c r="D1034" s="27">
        <f t="shared" si="1114"/>
        <v>0</v>
      </c>
      <c r="E1034" s="28">
        <f t="shared" si="1115"/>
        <v>0</v>
      </c>
      <c r="F1034" s="42">
        <f t="shared" si="1116"/>
        <v>-3.3333333333333333E-2</v>
      </c>
      <c r="G1034" s="42">
        <f t="shared" si="1117"/>
        <v>-0.23333333333333334</v>
      </c>
      <c r="H1034" s="42">
        <f t="shared" si="1118"/>
        <v>-0.36666666666666664</v>
      </c>
      <c r="I1034" s="42">
        <f t="shared" si="1119"/>
        <v>-0.43333333333333335</v>
      </c>
      <c r="J1034" s="42">
        <f t="shared" si="1120"/>
        <v>-0.56666666666666665</v>
      </c>
      <c r="K1034" s="42">
        <f t="shared" si="1121"/>
        <v>-0.6333333333333333</v>
      </c>
      <c r="L1034" s="42">
        <f t="shared" si="1122"/>
        <v>-0.76666666666666672</v>
      </c>
      <c r="M1034" s="42">
        <f t="shared" si="1123"/>
        <v>-0.96666666666666667</v>
      </c>
      <c r="O1034" s="43" t="str">
        <f t="shared" si="1113"/>
        <v/>
      </c>
    </row>
    <row r="1035" spans="1:15" ht="19.2" thickBot="1" x14ac:dyDescent="0.5">
      <c r="F1035" s="42"/>
      <c r="G1035" s="42"/>
      <c r="H1035" s="42"/>
      <c r="I1035" s="42"/>
      <c r="J1035" s="42"/>
      <c r="K1035" s="42"/>
      <c r="L1035" s="42"/>
      <c r="M1035" s="42"/>
    </row>
    <row r="1036" spans="1:15" ht="19.2" thickBot="1" x14ac:dyDescent="0.5">
      <c r="C1036" s="44"/>
      <c r="E1036" s="34">
        <f>E1017</f>
        <v>0</v>
      </c>
      <c r="F1036" s="45">
        <v>1</v>
      </c>
      <c r="G1036" s="46">
        <v>7</v>
      </c>
      <c r="H1036" s="46">
        <v>11</v>
      </c>
      <c r="I1036" s="46">
        <v>13</v>
      </c>
      <c r="J1036" s="46">
        <v>17</v>
      </c>
      <c r="K1036" s="46">
        <v>19</v>
      </c>
      <c r="L1036" s="46">
        <v>23</v>
      </c>
      <c r="M1036" s="47">
        <v>29</v>
      </c>
      <c r="O1036" s="27" t="s">
        <v>2</v>
      </c>
    </row>
    <row r="1037" spans="1:15" x14ac:dyDescent="0.45">
      <c r="A1037" s="29">
        <f>A1027+1</f>
        <v>103</v>
      </c>
      <c r="D1037" s="27">
        <f>C1027</f>
        <v>0</v>
      </c>
      <c r="E1037" s="28">
        <f>D1037*$E$6</f>
        <v>0</v>
      </c>
      <c r="F1037" s="42">
        <f>(E1037-1)/30</f>
        <v>-3.3333333333333333E-2</v>
      </c>
      <c r="G1037" s="42">
        <f>($E1037-7)/30</f>
        <v>-0.23333333333333334</v>
      </c>
      <c r="H1037" s="42">
        <f>($E1037-11)/30</f>
        <v>-0.36666666666666664</v>
      </c>
      <c r="I1037" s="42">
        <f>($E1037-13)/30</f>
        <v>-0.43333333333333335</v>
      </c>
      <c r="J1037" s="42">
        <f>($E1037-17)/30</f>
        <v>-0.56666666666666665</v>
      </c>
      <c r="K1037" s="42">
        <f>($E1037-19)/30</f>
        <v>-0.6333333333333333</v>
      </c>
      <c r="L1037" s="42">
        <f>($E1037-23)/30</f>
        <v>-0.76666666666666672</v>
      </c>
      <c r="M1037" s="42">
        <f>($E1037-29)/30</f>
        <v>-0.96666666666666667</v>
      </c>
      <c r="O1037" s="43" t="str">
        <f t="shared" ref="O1037:O1044" si="1124">FactorNumber(E1037)</f>
        <v/>
      </c>
    </row>
    <row r="1038" spans="1:15" x14ac:dyDescent="0.45">
      <c r="D1038" s="27">
        <f t="shared" ref="D1038:D1044" si="1125">C1028</f>
        <v>0</v>
      </c>
      <c r="E1038" s="28">
        <f t="shared" ref="E1038:E1044" si="1126">D1038*$E$6</f>
        <v>0</v>
      </c>
      <c r="F1038" s="42">
        <f t="shared" ref="F1038:F1044" si="1127">(E1038-1)/30</f>
        <v>-3.3333333333333333E-2</v>
      </c>
      <c r="G1038" s="42">
        <f t="shared" ref="G1038:G1044" si="1128">($E1038-7)/30</f>
        <v>-0.23333333333333334</v>
      </c>
      <c r="H1038" s="42">
        <f t="shared" ref="H1038:H1044" si="1129">($E1038-11)/30</f>
        <v>-0.36666666666666664</v>
      </c>
      <c r="I1038" s="42">
        <f t="shared" ref="I1038:I1044" si="1130">($E1038-13)/30</f>
        <v>-0.43333333333333335</v>
      </c>
      <c r="J1038" s="42">
        <f t="shared" ref="J1038:J1044" si="1131">($E1038-17)/30</f>
        <v>-0.56666666666666665</v>
      </c>
      <c r="K1038" s="42">
        <f t="shared" ref="K1038:K1044" si="1132">($E1038-19)/30</f>
        <v>-0.6333333333333333</v>
      </c>
      <c r="L1038" s="42">
        <f t="shared" ref="L1038:L1044" si="1133">($E1038-23)/30</f>
        <v>-0.76666666666666672</v>
      </c>
      <c r="M1038" s="42">
        <f t="shared" ref="M1038:M1044" si="1134">($E1038-29)/30</f>
        <v>-0.96666666666666667</v>
      </c>
      <c r="O1038" s="43" t="str">
        <f t="shared" si="1124"/>
        <v/>
      </c>
    </row>
    <row r="1039" spans="1:15" x14ac:dyDescent="0.45">
      <c r="D1039" s="27">
        <f t="shared" si="1125"/>
        <v>0</v>
      </c>
      <c r="E1039" s="28">
        <f t="shared" si="1126"/>
        <v>0</v>
      </c>
      <c r="F1039" s="42">
        <f t="shared" si="1127"/>
        <v>-3.3333333333333333E-2</v>
      </c>
      <c r="G1039" s="42">
        <f t="shared" si="1128"/>
        <v>-0.23333333333333334</v>
      </c>
      <c r="H1039" s="42">
        <f t="shared" si="1129"/>
        <v>-0.36666666666666664</v>
      </c>
      <c r="I1039" s="42">
        <f t="shared" si="1130"/>
        <v>-0.43333333333333335</v>
      </c>
      <c r="J1039" s="42">
        <f t="shared" si="1131"/>
        <v>-0.56666666666666665</v>
      </c>
      <c r="K1039" s="42">
        <f t="shared" si="1132"/>
        <v>-0.6333333333333333</v>
      </c>
      <c r="L1039" s="42">
        <f t="shared" si="1133"/>
        <v>-0.76666666666666672</v>
      </c>
      <c r="M1039" s="42">
        <f t="shared" si="1134"/>
        <v>-0.96666666666666667</v>
      </c>
      <c r="O1039" s="43" t="str">
        <f t="shared" si="1124"/>
        <v/>
      </c>
    </row>
    <row r="1040" spans="1:15" x14ac:dyDescent="0.45">
      <c r="D1040" s="27">
        <f t="shared" si="1125"/>
        <v>0</v>
      </c>
      <c r="E1040" s="28">
        <f t="shared" si="1126"/>
        <v>0</v>
      </c>
      <c r="F1040" s="42">
        <f t="shared" si="1127"/>
        <v>-3.3333333333333333E-2</v>
      </c>
      <c r="G1040" s="42">
        <f t="shared" si="1128"/>
        <v>-0.23333333333333334</v>
      </c>
      <c r="H1040" s="42">
        <f t="shared" si="1129"/>
        <v>-0.36666666666666664</v>
      </c>
      <c r="I1040" s="42">
        <f t="shared" si="1130"/>
        <v>-0.43333333333333335</v>
      </c>
      <c r="J1040" s="42">
        <f t="shared" si="1131"/>
        <v>-0.56666666666666665</v>
      </c>
      <c r="K1040" s="42">
        <f t="shared" si="1132"/>
        <v>-0.6333333333333333</v>
      </c>
      <c r="L1040" s="42">
        <f t="shared" si="1133"/>
        <v>-0.76666666666666672</v>
      </c>
      <c r="M1040" s="42">
        <f t="shared" si="1134"/>
        <v>-0.96666666666666667</v>
      </c>
      <c r="O1040" s="43" t="str">
        <f t="shared" si="1124"/>
        <v/>
      </c>
    </row>
    <row r="1041" spans="1:15" x14ac:dyDescent="0.45">
      <c r="D1041" s="27">
        <f t="shared" si="1125"/>
        <v>0</v>
      </c>
      <c r="E1041" s="28">
        <f t="shared" si="1126"/>
        <v>0</v>
      </c>
      <c r="F1041" s="42">
        <f t="shared" si="1127"/>
        <v>-3.3333333333333333E-2</v>
      </c>
      <c r="G1041" s="42">
        <f t="shared" si="1128"/>
        <v>-0.23333333333333334</v>
      </c>
      <c r="H1041" s="42">
        <f t="shared" si="1129"/>
        <v>-0.36666666666666664</v>
      </c>
      <c r="I1041" s="42">
        <f t="shared" si="1130"/>
        <v>-0.43333333333333335</v>
      </c>
      <c r="J1041" s="42">
        <f t="shared" si="1131"/>
        <v>-0.56666666666666665</v>
      </c>
      <c r="K1041" s="42">
        <f t="shared" si="1132"/>
        <v>-0.6333333333333333</v>
      </c>
      <c r="L1041" s="42">
        <f t="shared" si="1133"/>
        <v>-0.76666666666666672</v>
      </c>
      <c r="M1041" s="42">
        <f t="shared" si="1134"/>
        <v>-0.96666666666666667</v>
      </c>
      <c r="O1041" s="43" t="str">
        <f t="shared" si="1124"/>
        <v/>
      </c>
    </row>
    <row r="1042" spans="1:15" x14ac:dyDescent="0.45">
      <c r="D1042" s="27">
        <f t="shared" si="1125"/>
        <v>0</v>
      </c>
      <c r="E1042" s="28">
        <f t="shared" si="1126"/>
        <v>0</v>
      </c>
      <c r="F1042" s="42">
        <f t="shared" si="1127"/>
        <v>-3.3333333333333333E-2</v>
      </c>
      <c r="G1042" s="42">
        <f t="shared" si="1128"/>
        <v>-0.23333333333333334</v>
      </c>
      <c r="H1042" s="42">
        <f t="shared" si="1129"/>
        <v>-0.36666666666666664</v>
      </c>
      <c r="I1042" s="42">
        <f t="shared" si="1130"/>
        <v>-0.43333333333333335</v>
      </c>
      <c r="J1042" s="42">
        <f t="shared" si="1131"/>
        <v>-0.56666666666666665</v>
      </c>
      <c r="K1042" s="42">
        <f t="shared" si="1132"/>
        <v>-0.6333333333333333</v>
      </c>
      <c r="L1042" s="42">
        <f t="shared" si="1133"/>
        <v>-0.76666666666666672</v>
      </c>
      <c r="M1042" s="42">
        <f t="shared" si="1134"/>
        <v>-0.96666666666666667</v>
      </c>
      <c r="O1042" s="43" t="str">
        <f t="shared" si="1124"/>
        <v/>
      </c>
    </row>
    <row r="1043" spans="1:15" x14ac:dyDescent="0.45">
      <c r="D1043" s="27">
        <f t="shared" si="1125"/>
        <v>0</v>
      </c>
      <c r="E1043" s="28">
        <f t="shared" si="1126"/>
        <v>0</v>
      </c>
      <c r="F1043" s="42">
        <f t="shared" si="1127"/>
        <v>-3.3333333333333333E-2</v>
      </c>
      <c r="G1043" s="42">
        <f t="shared" si="1128"/>
        <v>-0.23333333333333334</v>
      </c>
      <c r="H1043" s="42">
        <f t="shared" si="1129"/>
        <v>-0.36666666666666664</v>
      </c>
      <c r="I1043" s="42">
        <f t="shared" si="1130"/>
        <v>-0.43333333333333335</v>
      </c>
      <c r="J1043" s="42">
        <f t="shared" si="1131"/>
        <v>-0.56666666666666665</v>
      </c>
      <c r="K1043" s="42">
        <f t="shared" si="1132"/>
        <v>-0.6333333333333333</v>
      </c>
      <c r="L1043" s="42">
        <f t="shared" si="1133"/>
        <v>-0.76666666666666672</v>
      </c>
      <c r="M1043" s="42">
        <f t="shared" si="1134"/>
        <v>-0.96666666666666667</v>
      </c>
      <c r="O1043" s="43" t="str">
        <f t="shared" si="1124"/>
        <v/>
      </c>
    </row>
    <row r="1044" spans="1:15" x14ac:dyDescent="0.45">
      <c r="D1044" s="27">
        <f t="shared" si="1125"/>
        <v>0</v>
      </c>
      <c r="E1044" s="28">
        <f t="shared" si="1126"/>
        <v>0</v>
      </c>
      <c r="F1044" s="42">
        <f t="shared" si="1127"/>
        <v>-3.3333333333333333E-2</v>
      </c>
      <c r="G1044" s="42">
        <f t="shared" si="1128"/>
        <v>-0.23333333333333334</v>
      </c>
      <c r="H1044" s="42">
        <f t="shared" si="1129"/>
        <v>-0.36666666666666664</v>
      </c>
      <c r="I1044" s="42">
        <f t="shared" si="1130"/>
        <v>-0.43333333333333335</v>
      </c>
      <c r="J1044" s="42">
        <f t="shared" si="1131"/>
        <v>-0.56666666666666665</v>
      </c>
      <c r="K1044" s="42">
        <f t="shared" si="1132"/>
        <v>-0.6333333333333333</v>
      </c>
      <c r="L1044" s="42">
        <f t="shared" si="1133"/>
        <v>-0.76666666666666672</v>
      </c>
      <c r="M1044" s="42">
        <f t="shared" si="1134"/>
        <v>-0.96666666666666667</v>
      </c>
      <c r="O1044" s="43" t="str">
        <f t="shared" si="1124"/>
        <v/>
      </c>
    </row>
    <row r="1045" spans="1:15" ht="19.2" thickBot="1" x14ac:dyDescent="0.5">
      <c r="F1045" s="42"/>
      <c r="G1045" s="42"/>
      <c r="H1045" s="42"/>
      <c r="I1045" s="42"/>
      <c r="J1045" s="42"/>
      <c r="K1045" s="42"/>
      <c r="L1045" s="42"/>
      <c r="M1045" s="42"/>
    </row>
    <row r="1046" spans="1:15" ht="19.2" thickBot="1" x14ac:dyDescent="0.5">
      <c r="C1046" s="44"/>
      <c r="E1046" s="34">
        <f>E1027</f>
        <v>0</v>
      </c>
      <c r="F1046" s="45">
        <v>1</v>
      </c>
      <c r="G1046" s="46">
        <v>7</v>
      </c>
      <c r="H1046" s="46">
        <v>11</v>
      </c>
      <c r="I1046" s="46">
        <v>13</v>
      </c>
      <c r="J1046" s="46">
        <v>17</v>
      </c>
      <c r="K1046" s="46">
        <v>19</v>
      </c>
      <c r="L1046" s="46">
        <v>23</v>
      </c>
      <c r="M1046" s="47">
        <v>29</v>
      </c>
      <c r="O1046" s="27" t="s">
        <v>2</v>
      </c>
    </row>
    <row r="1047" spans="1:15" x14ac:dyDescent="0.45">
      <c r="A1047" s="29">
        <f>A1037+1</f>
        <v>104</v>
      </c>
      <c r="D1047" s="27">
        <f>C1037</f>
        <v>0</v>
      </c>
      <c r="E1047" s="28">
        <f>D1047*$E$6</f>
        <v>0</v>
      </c>
      <c r="F1047" s="42">
        <f>(E1047-1)/30</f>
        <v>-3.3333333333333333E-2</v>
      </c>
      <c r="G1047" s="42">
        <f>($E1047-7)/30</f>
        <v>-0.23333333333333334</v>
      </c>
      <c r="H1047" s="42">
        <f>($E1047-11)/30</f>
        <v>-0.36666666666666664</v>
      </c>
      <c r="I1047" s="42">
        <f>($E1047-13)/30</f>
        <v>-0.43333333333333335</v>
      </c>
      <c r="J1047" s="42">
        <f>($E1047-17)/30</f>
        <v>-0.56666666666666665</v>
      </c>
      <c r="K1047" s="42">
        <f>($E1047-19)/30</f>
        <v>-0.6333333333333333</v>
      </c>
      <c r="L1047" s="42">
        <f>($E1047-23)/30</f>
        <v>-0.76666666666666672</v>
      </c>
      <c r="M1047" s="42">
        <f>($E1047-29)/30</f>
        <v>-0.96666666666666667</v>
      </c>
      <c r="O1047" s="43" t="str">
        <f t="shared" ref="O1047:O1054" si="1135">FactorNumber(E1047)</f>
        <v/>
      </c>
    </row>
    <row r="1048" spans="1:15" x14ac:dyDescent="0.45">
      <c r="D1048" s="27">
        <f t="shared" ref="D1048:D1054" si="1136">C1038</f>
        <v>0</v>
      </c>
      <c r="E1048" s="28">
        <f t="shared" ref="E1048:E1054" si="1137">D1048*$E$6</f>
        <v>0</v>
      </c>
      <c r="F1048" s="42">
        <f t="shared" ref="F1048:F1054" si="1138">(E1048-1)/30</f>
        <v>-3.3333333333333333E-2</v>
      </c>
      <c r="G1048" s="42">
        <f t="shared" ref="G1048:G1054" si="1139">($E1048-7)/30</f>
        <v>-0.23333333333333334</v>
      </c>
      <c r="H1048" s="42">
        <f t="shared" ref="H1048:H1054" si="1140">($E1048-11)/30</f>
        <v>-0.36666666666666664</v>
      </c>
      <c r="I1048" s="42">
        <f t="shared" ref="I1048:I1054" si="1141">($E1048-13)/30</f>
        <v>-0.43333333333333335</v>
      </c>
      <c r="J1048" s="42">
        <f t="shared" ref="J1048:J1054" si="1142">($E1048-17)/30</f>
        <v>-0.56666666666666665</v>
      </c>
      <c r="K1048" s="42">
        <f t="shared" ref="K1048:K1054" si="1143">($E1048-19)/30</f>
        <v>-0.6333333333333333</v>
      </c>
      <c r="L1048" s="42">
        <f t="shared" ref="L1048:L1054" si="1144">($E1048-23)/30</f>
        <v>-0.76666666666666672</v>
      </c>
      <c r="M1048" s="42">
        <f t="shared" ref="M1048:M1054" si="1145">($E1048-29)/30</f>
        <v>-0.96666666666666667</v>
      </c>
      <c r="O1048" s="43" t="str">
        <f t="shared" si="1135"/>
        <v/>
      </c>
    </row>
    <row r="1049" spans="1:15" x14ac:dyDescent="0.45">
      <c r="D1049" s="27">
        <f t="shared" si="1136"/>
        <v>0</v>
      </c>
      <c r="E1049" s="28">
        <f t="shared" si="1137"/>
        <v>0</v>
      </c>
      <c r="F1049" s="42">
        <f t="shared" si="1138"/>
        <v>-3.3333333333333333E-2</v>
      </c>
      <c r="G1049" s="42">
        <f t="shared" si="1139"/>
        <v>-0.23333333333333334</v>
      </c>
      <c r="H1049" s="42">
        <f t="shared" si="1140"/>
        <v>-0.36666666666666664</v>
      </c>
      <c r="I1049" s="42">
        <f t="shared" si="1141"/>
        <v>-0.43333333333333335</v>
      </c>
      <c r="J1049" s="42">
        <f t="shared" si="1142"/>
        <v>-0.56666666666666665</v>
      </c>
      <c r="K1049" s="42">
        <f t="shared" si="1143"/>
        <v>-0.6333333333333333</v>
      </c>
      <c r="L1049" s="42">
        <f t="shared" si="1144"/>
        <v>-0.76666666666666672</v>
      </c>
      <c r="M1049" s="42">
        <f t="shared" si="1145"/>
        <v>-0.96666666666666667</v>
      </c>
      <c r="O1049" s="43" t="str">
        <f t="shared" si="1135"/>
        <v/>
      </c>
    </row>
    <row r="1050" spans="1:15" x14ac:dyDescent="0.45">
      <c r="D1050" s="27">
        <f t="shared" si="1136"/>
        <v>0</v>
      </c>
      <c r="E1050" s="28">
        <f t="shared" si="1137"/>
        <v>0</v>
      </c>
      <c r="F1050" s="42">
        <f t="shared" si="1138"/>
        <v>-3.3333333333333333E-2</v>
      </c>
      <c r="G1050" s="42">
        <f t="shared" si="1139"/>
        <v>-0.23333333333333334</v>
      </c>
      <c r="H1050" s="42">
        <f t="shared" si="1140"/>
        <v>-0.36666666666666664</v>
      </c>
      <c r="I1050" s="42">
        <f t="shared" si="1141"/>
        <v>-0.43333333333333335</v>
      </c>
      <c r="J1050" s="42">
        <f t="shared" si="1142"/>
        <v>-0.56666666666666665</v>
      </c>
      <c r="K1050" s="42">
        <f t="shared" si="1143"/>
        <v>-0.6333333333333333</v>
      </c>
      <c r="L1050" s="42">
        <f t="shared" si="1144"/>
        <v>-0.76666666666666672</v>
      </c>
      <c r="M1050" s="42">
        <f t="shared" si="1145"/>
        <v>-0.96666666666666667</v>
      </c>
      <c r="O1050" s="43" t="str">
        <f t="shared" si="1135"/>
        <v/>
      </c>
    </row>
    <row r="1051" spans="1:15" x14ac:dyDescent="0.45">
      <c r="D1051" s="27">
        <f t="shared" si="1136"/>
        <v>0</v>
      </c>
      <c r="E1051" s="28">
        <f t="shared" si="1137"/>
        <v>0</v>
      </c>
      <c r="F1051" s="42">
        <f t="shared" si="1138"/>
        <v>-3.3333333333333333E-2</v>
      </c>
      <c r="G1051" s="42">
        <f t="shared" si="1139"/>
        <v>-0.23333333333333334</v>
      </c>
      <c r="H1051" s="42">
        <f t="shared" si="1140"/>
        <v>-0.36666666666666664</v>
      </c>
      <c r="I1051" s="42">
        <f t="shared" si="1141"/>
        <v>-0.43333333333333335</v>
      </c>
      <c r="J1051" s="42">
        <f t="shared" si="1142"/>
        <v>-0.56666666666666665</v>
      </c>
      <c r="K1051" s="42">
        <f t="shared" si="1143"/>
        <v>-0.6333333333333333</v>
      </c>
      <c r="L1051" s="42">
        <f t="shared" si="1144"/>
        <v>-0.76666666666666672</v>
      </c>
      <c r="M1051" s="42">
        <f t="shared" si="1145"/>
        <v>-0.96666666666666667</v>
      </c>
      <c r="O1051" s="43" t="str">
        <f t="shared" si="1135"/>
        <v/>
      </c>
    </row>
    <row r="1052" spans="1:15" x14ac:dyDescent="0.45">
      <c r="D1052" s="27">
        <f t="shared" si="1136"/>
        <v>0</v>
      </c>
      <c r="E1052" s="28">
        <f t="shared" si="1137"/>
        <v>0</v>
      </c>
      <c r="F1052" s="42">
        <f t="shared" si="1138"/>
        <v>-3.3333333333333333E-2</v>
      </c>
      <c r="G1052" s="42">
        <f t="shared" si="1139"/>
        <v>-0.23333333333333334</v>
      </c>
      <c r="H1052" s="42">
        <f t="shared" si="1140"/>
        <v>-0.36666666666666664</v>
      </c>
      <c r="I1052" s="42">
        <f t="shared" si="1141"/>
        <v>-0.43333333333333335</v>
      </c>
      <c r="J1052" s="42">
        <f t="shared" si="1142"/>
        <v>-0.56666666666666665</v>
      </c>
      <c r="K1052" s="42">
        <f t="shared" si="1143"/>
        <v>-0.6333333333333333</v>
      </c>
      <c r="L1052" s="42">
        <f t="shared" si="1144"/>
        <v>-0.76666666666666672</v>
      </c>
      <c r="M1052" s="42">
        <f t="shared" si="1145"/>
        <v>-0.96666666666666667</v>
      </c>
      <c r="O1052" s="43" t="str">
        <f t="shared" si="1135"/>
        <v/>
      </c>
    </row>
    <row r="1053" spans="1:15" x14ac:dyDescent="0.45">
      <c r="D1053" s="27">
        <f t="shared" si="1136"/>
        <v>0</v>
      </c>
      <c r="E1053" s="28">
        <f t="shared" si="1137"/>
        <v>0</v>
      </c>
      <c r="F1053" s="42">
        <f t="shared" si="1138"/>
        <v>-3.3333333333333333E-2</v>
      </c>
      <c r="G1053" s="42">
        <f t="shared" si="1139"/>
        <v>-0.23333333333333334</v>
      </c>
      <c r="H1053" s="42">
        <f t="shared" si="1140"/>
        <v>-0.36666666666666664</v>
      </c>
      <c r="I1053" s="42">
        <f t="shared" si="1141"/>
        <v>-0.43333333333333335</v>
      </c>
      <c r="J1053" s="42">
        <f t="shared" si="1142"/>
        <v>-0.56666666666666665</v>
      </c>
      <c r="K1053" s="42">
        <f t="shared" si="1143"/>
        <v>-0.6333333333333333</v>
      </c>
      <c r="L1053" s="42">
        <f t="shared" si="1144"/>
        <v>-0.76666666666666672</v>
      </c>
      <c r="M1053" s="42">
        <f t="shared" si="1145"/>
        <v>-0.96666666666666667</v>
      </c>
      <c r="O1053" s="43" t="str">
        <f t="shared" si="1135"/>
        <v/>
      </c>
    </row>
    <row r="1054" spans="1:15" x14ac:dyDescent="0.45">
      <c r="D1054" s="27">
        <f t="shared" si="1136"/>
        <v>0</v>
      </c>
      <c r="E1054" s="28">
        <f t="shared" si="1137"/>
        <v>0</v>
      </c>
      <c r="F1054" s="42">
        <f t="shared" si="1138"/>
        <v>-3.3333333333333333E-2</v>
      </c>
      <c r="G1054" s="42">
        <f t="shared" si="1139"/>
        <v>-0.23333333333333334</v>
      </c>
      <c r="H1054" s="42">
        <f t="shared" si="1140"/>
        <v>-0.36666666666666664</v>
      </c>
      <c r="I1054" s="42">
        <f t="shared" si="1141"/>
        <v>-0.43333333333333335</v>
      </c>
      <c r="J1054" s="42">
        <f t="shared" si="1142"/>
        <v>-0.56666666666666665</v>
      </c>
      <c r="K1054" s="42">
        <f t="shared" si="1143"/>
        <v>-0.6333333333333333</v>
      </c>
      <c r="L1054" s="42">
        <f t="shared" si="1144"/>
        <v>-0.76666666666666672</v>
      </c>
      <c r="M1054" s="42">
        <f t="shared" si="1145"/>
        <v>-0.96666666666666667</v>
      </c>
      <c r="O1054" s="43" t="str">
        <f t="shared" si="1135"/>
        <v/>
      </c>
    </row>
    <row r="1055" spans="1:15" ht="19.2" thickBot="1" x14ac:dyDescent="0.5">
      <c r="F1055" s="42"/>
      <c r="G1055" s="42"/>
      <c r="H1055" s="42"/>
      <c r="I1055" s="42"/>
      <c r="J1055" s="42"/>
      <c r="K1055" s="42"/>
      <c r="L1055" s="42"/>
      <c r="M1055" s="42"/>
    </row>
    <row r="1056" spans="1:15" ht="19.2" thickBot="1" x14ac:dyDescent="0.5">
      <c r="C1056" s="44"/>
      <c r="E1056" s="34">
        <f>E1037</f>
        <v>0</v>
      </c>
      <c r="F1056" s="45">
        <v>1</v>
      </c>
      <c r="G1056" s="46">
        <v>7</v>
      </c>
      <c r="H1056" s="46">
        <v>11</v>
      </c>
      <c r="I1056" s="46">
        <v>13</v>
      </c>
      <c r="J1056" s="46">
        <v>17</v>
      </c>
      <c r="K1056" s="46">
        <v>19</v>
      </c>
      <c r="L1056" s="46">
        <v>23</v>
      </c>
      <c r="M1056" s="47">
        <v>29</v>
      </c>
      <c r="O1056" s="27" t="s">
        <v>2</v>
      </c>
    </row>
    <row r="1057" spans="1:15" x14ac:dyDescent="0.45">
      <c r="A1057" s="29">
        <f>A1047+1</f>
        <v>105</v>
      </c>
      <c r="D1057" s="27">
        <f>C1047</f>
        <v>0</v>
      </c>
      <c r="E1057" s="28">
        <f>D1057*$E$6</f>
        <v>0</v>
      </c>
      <c r="F1057" s="42">
        <f>(E1057-1)/30</f>
        <v>-3.3333333333333333E-2</v>
      </c>
      <c r="G1057" s="42">
        <f>($E1057-7)/30</f>
        <v>-0.23333333333333334</v>
      </c>
      <c r="H1057" s="42">
        <f>($E1057-11)/30</f>
        <v>-0.36666666666666664</v>
      </c>
      <c r="I1057" s="42">
        <f>($E1057-13)/30</f>
        <v>-0.43333333333333335</v>
      </c>
      <c r="J1057" s="42">
        <f>($E1057-17)/30</f>
        <v>-0.56666666666666665</v>
      </c>
      <c r="K1057" s="42">
        <f>($E1057-19)/30</f>
        <v>-0.6333333333333333</v>
      </c>
      <c r="L1057" s="42">
        <f>($E1057-23)/30</f>
        <v>-0.76666666666666672</v>
      </c>
      <c r="M1057" s="42">
        <f>($E1057-29)/30</f>
        <v>-0.96666666666666667</v>
      </c>
      <c r="O1057" s="43" t="str">
        <f t="shared" ref="O1057:O1064" si="1146">FactorNumber(E1057)</f>
        <v/>
      </c>
    </row>
    <row r="1058" spans="1:15" x14ac:dyDescent="0.45">
      <c r="D1058" s="27">
        <f t="shared" ref="D1058:D1064" si="1147">C1048</f>
        <v>0</v>
      </c>
      <c r="E1058" s="28">
        <f t="shared" ref="E1058:E1064" si="1148">D1058*$E$6</f>
        <v>0</v>
      </c>
      <c r="F1058" s="42">
        <f t="shared" ref="F1058:F1064" si="1149">(E1058-1)/30</f>
        <v>-3.3333333333333333E-2</v>
      </c>
      <c r="G1058" s="42">
        <f t="shared" ref="G1058:G1064" si="1150">($E1058-7)/30</f>
        <v>-0.23333333333333334</v>
      </c>
      <c r="H1058" s="42">
        <f t="shared" ref="H1058:H1064" si="1151">($E1058-11)/30</f>
        <v>-0.36666666666666664</v>
      </c>
      <c r="I1058" s="42">
        <f t="shared" ref="I1058:I1064" si="1152">($E1058-13)/30</f>
        <v>-0.43333333333333335</v>
      </c>
      <c r="J1058" s="42">
        <f t="shared" ref="J1058:J1064" si="1153">($E1058-17)/30</f>
        <v>-0.56666666666666665</v>
      </c>
      <c r="K1058" s="42">
        <f t="shared" ref="K1058:K1064" si="1154">($E1058-19)/30</f>
        <v>-0.6333333333333333</v>
      </c>
      <c r="L1058" s="42">
        <f t="shared" ref="L1058:L1064" si="1155">($E1058-23)/30</f>
        <v>-0.76666666666666672</v>
      </c>
      <c r="M1058" s="42">
        <f t="shared" ref="M1058:M1064" si="1156">($E1058-29)/30</f>
        <v>-0.96666666666666667</v>
      </c>
      <c r="O1058" s="43" t="str">
        <f t="shared" si="1146"/>
        <v/>
      </c>
    </row>
    <row r="1059" spans="1:15" x14ac:dyDescent="0.45">
      <c r="D1059" s="27">
        <f t="shared" si="1147"/>
        <v>0</v>
      </c>
      <c r="E1059" s="28">
        <f t="shared" si="1148"/>
        <v>0</v>
      </c>
      <c r="F1059" s="42">
        <f t="shared" si="1149"/>
        <v>-3.3333333333333333E-2</v>
      </c>
      <c r="G1059" s="42">
        <f t="shared" si="1150"/>
        <v>-0.23333333333333334</v>
      </c>
      <c r="H1059" s="42">
        <f t="shared" si="1151"/>
        <v>-0.36666666666666664</v>
      </c>
      <c r="I1059" s="42">
        <f t="shared" si="1152"/>
        <v>-0.43333333333333335</v>
      </c>
      <c r="J1059" s="42">
        <f t="shared" si="1153"/>
        <v>-0.56666666666666665</v>
      </c>
      <c r="K1059" s="42">
        <f t="shared" si="1154"/>
        <v>-0.6333333333333333</v>
      </c>
      <c r="L1059" s="42">
        <f t="shared" si="1155"/>
        <v>-0.76666666666666672</v>
      </c>
      <c r="M1059" s="42">
        <f t="shared" si="1156"/>
        <v>-0.96666666666666667</v>
      </c>
      <c r="O1059" s="43" t="str">
        <f t="shared" si="1146"/>
        <v/>
      </c>
    </row>
    <row r="1060" spans="1:15" x14ac:dyDescent="0.45">
      <c r="D1060" s="27">
        <f t="shared" si="1147"/>
        <v>0</v>
      </c>
      <c r="E1060" s="28">
        <f t="shared" si="1148"/>
        <v>0</v>
      </c>
      <c r="F1060" s="42">
        <f t="shared" si="1149"/>
        <v>-3.3333333333333333E-2</v>
      </c>
      <c r="G1060" s="42">
        <f t="shared" si="1150"/>
        <v>-0.23333333333333334</v>
      </c>
      <c r="H1060" s="42">
        <f t="shared" si="1151"/>
        <v>-0.36666666666666664</v>
      </c>
      <c r="I1060" s="42">
        <f t="shared" si="1152"/>
        <v>-0.43333333333333335</v>
      </c>
      <c r="J1060" s="42">
        <f t="shared" si="1153"/>
        <v>-0.56666666666666665</v>
      </c>
      <c r="K1060" s="42">
        <f t="shared" si="1154"/>
        <v>-0.6333333333333333</v>
      </c>
      <c r="L1060" s="42">
        <f t="shared" si="1155"/>
        <v>-0.76666666666666672</v>
      </c>
      <c r="M1060" s="42">
        <f t="shared" si="1156"/>
        <v>-0.96666666666666667</v>
      </c>
      <c r="O1060" s="43" t="str">
        <f t="shared" si="1146"/>
        <v/>
      </c>
    </row>
    <row r="1061" spans="1:15" x14ac:dyDescent="0.45">
      <c r="D1061" s="27">
        <f t="shared" si="1147"/>
        <v>0</v>
      </c>
      <c r="E1061" s="28">
        <f t="shared" si="1148"/>
        <v>0</v>
      </c>
      <c r="F1061" s="42">
        <f t="shared" si="1149"/>
        <v>-3.3333333333333333E-2</v>
      </c>
      <c r="G1061" s="42">
        <f t="shared" si="1150"/>
        <v>-0.23333333333333334</v>
      </c>
      <c r="H1061" s="42">
        <f t="shared" si="1151"/>
        <v>-0.36666666666666664</v>
      </c>
      <c r="I1061" s="42">
        <f t="shared" si="1152"/>
        <v>-0.43333333333333335</v>
      </c>
      <c r="J1061" s="42">
        <f t="shared" si="1153"/>
        <v>-0.56666666666666665</v>
      </c>
      <c r="K1061" s="42">
        <f t="shared" si="1154"/>
        <v>-0.6333333333333333</v>
      </c>
      <c r="L1061" s="42">
        <f t="shared" si="1155"/>
        <v>-0.76666666666666672</v>
      </c>
      <c r="M1061" s="42">
        <f t="shared" si="1156"/>
        <v>-0.96666666666666667</v>
      </c>
      <c r="O1061" s="43" t="str">
        <f t="shared" si="1146"/>
        <v/>
      </c>
    </row>
    <row r="1062" spans="1:15" x14ac:dyDescent="0.45">
      <c r="D1062" s="27">
        <f t="shared" si="1147"/>
        <v>0</v>
      </c>
      <c r="E1062" s="28">
        <f t="shared" si="1148"/>
        <v>0</v>
      </c>
      <c r="F1062" s="42">
        <f t="shared" si="1149"/>
        <v>-3.3333333333333333E-2</v>
      </c>
      <c r="G1062" s="42">
        <f t="shared" si="1150"/>
        <v>-0.23333333333333334</v>
      </c>
      <c r="H1062" s="42">
        <f t="shared" si="1151"/>
        <v>-0.36666666666666664</v>
      </c>
      <c r="I1062" s="42">
        <f t="shared" si="1152"/>
        <v>-0.43333333333333335</v>
      </c>
      <c r="J1062" s="42">
        <f t="shared" si="1153"/>
        <v>-0.56666666666666665</v>
      </c>
      <c r="K1062" s="42">
        <f t="shared" si="1154"/>
        <v>-0.6333333333333333</v>
      </c>
      <c r="L1062" s="42">
        <f t="shared" si="1155"/>
        <v>-0.76666666666666672</v>
      </c>
      <c r="M1062" s="42">
        <f t="shared" si="1156"/>
        <v>-0.96666666666666667</v>
      </c>
      <c r="O1062" s="43" t="str">
        <f t="shared" si="1146"/>
        <v/>
      </c>
    </row>
    <row r="1063" spans="1:15" x14ac:dyDescent="0.45">
      <c r="D1063" s="27">
        <f t="shared" si="1147"/>
        <v>0</v>
      </c>
      <c r="E1063" s="28">
        <f t="shared" si="1148"/>
        <v>0</v>
      </c>
      <c r="F1063" s="42">
        <f t="shared" si="1149"/>
        <v>-3.3333333333333333E-2</v>
      </c>
      <c r="G1063" s="42">
        <f t="shared" si="1150"/>
        <v>-0.23333333333333334</v>
      </c>
      <c r="H1063" s="42">
        <f t="shared" si="1151"/>
        <v>-0.36666666666666664</v>
      </c>
      <c r="I1063" s="42">
        <f t="shared" si="1152"/>
        <v>-0.43333333333333335</v>
      </c>
      <c r="J1063" s="42">
        <f t="shared" si="1153"/>
        <v>-0.56666666666666665</v>
      </c>
      <c r="K1063" s="42">
        <f t="shared" si="1154"/>
        <v>-0.6333333333333333</v>
      </c>
      <c r="L1063" s="42">
        <f t="shared" si="1155"/>
        <v>-0.76666666666666672</v>
      </c>
      <c r="M1063" s="42">
        <f t="shared" si="1156"/>
        <v>-0.96666666666666667</v>
      </c>
      <c r="O1063" s="43" t="str">
        <f t="shared" si="1146"/>
        <v/>
      </c>
    </row>
    <row r="1064" spans="1:15" x14ac:dyDescent="0.45">
      <c r="D1064" s="27">
        <f t="shared" si="1147"/>
        <v>0</v>
      </c>
      <c r="E1064" s="28">
        <f t="shared" si="1148"/>
        <v>0</v>
      </c>
      <c r="F1064" s="42">
        <f t="shared" si="1149"/>
        <v>-3.3333333333333333E-2</v>
      </c>
      <c r="G1064" s="42">
        <f t="shared" si="1150"/>
        <v>-0.23333333333333334</v>
      </c>
      <c r="H1064" s="42">
        <f t="shared" si="1151"/>
        <v>-0.36666666666666664</v>
      </c>
      <c r="I1064" s="42">
        <f t="shared" si="1152"/>
        <v>-0.43333333333333335</v>
      </c>
      <c r="J1064" s="42">
        <f t="shared" si="1153"/>
        <v>-0.56666666666666665</v>
      </c>
      <c r="K1064" s="42">
        <f t="shared" si="1154"/>
        <v>-0.6333333333333333</v>
      </c>
      <c r="L1064" s="42">
        <f t="shared" si="1155"/>
        <v>-0.76666666666666672</v>
      </c>
      <c r="M1064" s="42">
        <f t="shared" si="1156"/>
        <v>-0.96666666666666667</v>
      </c>
      <c r="O1064" s="43" t="str">
        <f t="shared" si="1146"/>
        <v/>
      </c>
    </row>
    <row r="1065" spans="1:15" ht="19.2" thickBot="1" x14ac:dyDescent="0.5">
      <c r="F1065" s="42"/>
      <c r="G1065" s="42"/>
      <c r="H1065" s="42"/>
      <c r="I1065" s="42"/>
      <c r="J1065" s="42"/>
      <c r="K1065" s="42"/>
      <c r="L1065" s="42"/>
      <c r="M1065" s="42"/>
    </row>
    <row r="1066" spans="1:15" ht="19.2" thickBot="1" x14ac:dyDescent="0.5">
      <c r="C1066" s="44"/>
      <c r="E1066" s="34">
        <f>E1047</f>
        <v>0</v>
      </c>
      <c r="F1066" s="45">
        <v>1</v>
      </c>
      <c r="G1066" s="46">
        <v>7</v>
      </c>
      <c r="H1066" s="46">
        <v>11</v>
      </c>
      <c r="I1066" s="46">
        <v>13</v>
      </c>
      <c r="J1066" s="46">
        <v>17</v>
      </c>
      <c r="K1066" s="46">
        <v>19</v>
      </c>
      <c r="L1066" s="46">
        <v>23</v>
      </c>
      <c r="M1066" s="47">
        <v>29</v>
      </c>
      <c r="O1066" s="27" t="s">
        <v>2</v>
      </c>
    </row>
    <row r="1067" spans="1:15" x14ac:dyDescent="0.45">
      <c r="A1067" s="29">
        <f>A1057+1</f>
        <v>106</v>
      </c>
      <c r="D1067" s="27">
        <f>C1057</f>
        <v>0</v>
      </c>
      <c r="E1067" s="28">
        <f>D1067*$E$6</f>
        <v>0</v>
      </c>
      <c r="F1067" s="42">
        <f>(E1067-1)/30</f>
        <v>-3.3333333333333333E-2</v>
      </c>
      <c r="G1067" s="42">
        <f>($E1067-7)/30</f>
        <v>-0.23333333333333334</v>
      </c>
      <c r="H1067" s="42">
        <f>($E1067-11)/30</f>
        <v>-0.36666666666666664</v>
      </c>
      <c r="I1067" s="42">
        <f>($E1067-13)/30</f>
        <v>-0.43333333333333335</v>
      </c>
      <c r="J1067" s="42">
        <f>($E1067-17)/30</f>
        <v>-0.56666666666666665</v>
      </c>
      <c r="K1067" s="42">
        <f>($E1067-19)/30</f>
        <v>-0.6333333333333333</v>
      </c>
      <c r="L1067" s="42">
        <f>($E1067-23)/30</f>
        <v>-0.76666666666666672</v>
      </c>
      <c r="M1067" s="42">
        <f>($E1067-29)/30</f>
        <v>-0.96666666666666667</v>
      </c>
      <c r="O1067" s="43" t="str">
        <f t="shared" ref="O1067:O1074" si="1157">FactorNumber(E1067)</f>
        <v/>
      </c>
    </row>
    <row r="1068" spans="1:15" x14ac:dyDescent="0.45">
      <c r="D1068" s="27">
        <f t="shared" ref="D1068:D1074" si="1158">C1058</f>
        <v>0</v>
      </c>
      <c r="E1068" s="28">
        <f t="shared" ref="E1068:E1074" si="1159">D1068*$E$6</f>
        <v>0</v>
      </c>
      <c r="F1068" s="42">
        <f t="shared" ref="F1068:F1074" si="1160">(E1068-1)/30</f>
        <v>-3.3333333333333333E-2</v>
      </c>
      <c r="G1068" s="42">
        <f t="shared" ref="G1068:G1074" si="1161">($E1068-7)/30</f>
        <v>-0.23333333333333334</v>
      </c>
      <c r="H1068" s="42">
        <f t="shared" ref="H1068:H1074" si="1162">($E1068-11)/30</f>
        <v>-0.36666666666666664</v>
      </c>
      <c r="I1068" s="42">
        <f t="shared" ref="I1068:I1074" si="1163">($E1068-13)/30</f>
        <v>-0.43333333333333335</v>
      </c>
      <c r="J1068" s="42">
        <f t="shared" ref="J1068:J1074" si="1164">($E1068-17)/30</f>
        <v>-0.56666666666666665</v>
      </c>
      <c r="K1068" s="42">
        <f t="shared" ref="K1068:K1074" si="1165">($E1068-19)/30</f>
        <v>-0.6333333333333333</v>
      </c>
      <c r="L1068" s="42">
        <f t="shared" ref="L1068:L1074" si="1166">($E1068-23)/30</f>
        <v>-0.76666666666666672</v>
      </c>
      <c r="M1068" s="42">
        <f t="shared" ref="M1068:M1074" si="1167">($E1068-29)/30</f>
        <v>-0.96666666666666667</v>
      </c>
      <c r="O1068" s="43" t="str">
        <f t="shared" si="1157"/>
        <v/>
      </c>
    </row>
    <row r="1069" spans="1:15" x14ac:dyDescent="0.45">
      <c r="D1069" s="27">
        <f t="shared" si="1158"/>
        <v>0</v>
      </c>
      <c r="E1069" s="28">
        <f t="shared" si="1159"/>
        <v>0</v>
      </c>
      <c r="F1069" s="42">
        <f t="shared" si="1160"/>
        <v>-3.3333333333333333E-2</v>
      </c>
      <c r="G1069" s="42">
        <f t="shared" si="1161"/>
        <v>-0.23333333333333334</v>
      </c>
      <c r="H1069" s="42">
        <f t="shared" si="1162"/>
        <v>-0.36666666666666664</v>
      </c>
      <c r="I1069" s="42">
        <f t="shared" si="1163"/>
        <v>-0.43333333333333335</v>
      </c>
      <c r="J1069" s="42">
        <f t="shared" si="1164"/>
        <v>-0.56666666666666665</v>
      </c>
      <c r="K1069" s="42">
        <f t="shared" si="1165"/>
        <v>-0.6333333333333333</v>
      </c>
      <c r="L1069" s="42">
        <f t="shared" si="1166"/>
        <v>-0.76666666666666672</v>
      </c>
      <c r="M1069" s="42">
        <f t="shared" si="1167"/>
        <v>-0.96666666666666667</v>
      </c>
      <c r="O1069" s="43" t="str">
        <f t="shared" si="1157"/>
        <v/>
      </c>
    </row>
    <row r="1070" spans="1:15" x14ac:dyDescent="0.45">
      <c r="D1070" s="27">
        <f t="shared" si="1158"/>
        <v>0</v>
      </c>
      <c r="E1070" s="28">
        <f t="shared" si="1159"/>
        <v>0</v>
      </c>
      <c r="F1070" s="42">
        <f t="shared" si="1160"/>
        <v>-3.3333333333333333E-2</v>
      </c>
      <c r="G1070" s="42">
        <f t="shared" si="1161"/>
        <v>-0.23333333333333334</v>
      </c>
      <c r="H1070" s="42">
        <f t="shared" si="1162"/>
        <v>-0.36666666666666664</v>
      </c>
      <c r="I1070" s="42">
        <f t="shared" si="1163"/>
        <v>-0.43333333333333335</v>
      </c>
      <c r="J1070" s="42">
        <f t="shared" si="1164"/>
        <v>-0.56666666666666665</v>
      </c>
      <c r="K1070" s="42">
        <f t="shared" si="1165"/>
        <v>-0.6333333333333333</v>
      </c>
      <c r="L1070" s="42">
        <f t="shared" si="1166"/>
        <v>-0.76666666666666672</v>
      </c>
      <c r="M1070" s="42">
        <f t="shared" si="1167"/>
        <v>-0.96666666666666667</v>
      </c>
      <c r="O1070" s="43" t="str">
        <f t="shared" si="1157"/>
        <v/>
      </c>
    </row>
    <row r="1071" spans="1:15" x14ac:dyDescent="0.45">
      <c r="D1071" s="27">
        <f t="shared" si="1158"/>
        <v>0</v>
      </c>
      <c r="E1071" s="28">
        <f t="shared" si="1159"/>
        <v>0</v>
      </c>
      <c r="F1071" s="42">
        <f t="shared" si="1160"/>
        <v>-3.3333333333333333E-2</v>
      </c>
      <c r="G1071" s="42">
        <f t="shared" si="1161"/>
        <v>-0.23333333333333334</v>
      </c>
      <c r="H1071" s="42">
        <f t="shared" si="1162"/>
        <v>-0.36666666666666664</v>
      </c>
      <c r="I1071" s="42">
        <f t="shared" si="1163"/>
        <v>-0.43333333333333335</v>
      </c>
      <c r="J1071" s="42">
        <f t="shared" si="1164"/>
        <v>-0.56666666666666665</v>
      </c>
      <c r="K1071" s="42">
        <f t="shared" si="1165"/>
        <v>-0.6333333333333333</v>
      </c>
      <c r="L1071" s="42">
        <f t="shared" si="1166"/>
        <v>-0.76666666666666672</v>
      </c>
      <c r="M1071" s="42">
        <f t="shared" si="1167"/>
        <v>-0.96666666666666667</v>
      </c>
      <c r="O1071" s="43" t="str">
        <f t="shared" si="1157"/>
        <v/>
      </c>
    </row>
    <row r="1072" spans="1:15" x14ac:dyDescent="0.45">
      <c r="D1072" s="27">
        <f t="shared" si="1158"/>
        <v>0</v>
      </c>
      <c r="E1072" s="28">
        <f t="shared" si="1159"/>
        <v>0</v>
      </c>
      <c r="F1072" s="42">
        <f t="shared" si="1160"/>
        <v>-3.3333333333333333E-2</v>
      </c>
      <c r="G1072" s="42">
        <f t="shared" si="1161"/>
        <v>-0.23333333333333334</v>
      </c>
      <c r="H1072" s="42">
        <f t="shared" si="1162"/>
        <v>-0.36666666666666664</v>
      </c>
      <c r="I1072" s="42">
        <f t="shared" si="1163"/>
        <v>-0.43333333333333335</v>
      </c>
      <c r="J1072" s="42">
        <f t="shared" si="1164"/>
        <v>-0.56666666666666665</v>
      </c>
      <c r="K1072" s="42">
        <f t="shared" si="1165"/>
        <v>-0.6333333333333333</v>
      </c>
      <c r="L1072" s="42">
        <f t="shared" si="1166"/>
        <v>-0.76666666666666672</v>
      </c>
      <c r="M1072" s="42">
        <f t="shared" si="1167"/>
        <v>-0.96666666666666667</v>
      </c>
      <c r="O1072" s="43" t="str">
        <f t="shared" si="1157"/>
        <v/>
      </c>
    </row>
    <row r="1073" spans="1:15" x14ac:dyDescent="0.45">
      <c r="D1073" s="27">
        <f t="shared" si="1158"/>
        <v>0</v>
      </c>
      <c r="E1073" s="28">
        <f t="shared" si="1159"/>
        <v>0</v>
      </c>
      <c r="F1073" s="42">
        <f t="shared" si="1160"/>
        <v>-3.3333333333333333E-2</v>
      </c>
      <c r="G1073" s="42">
        <f t="shared" si="1161"/>
        <v>-0.23333333333333334</v>
      </c>
      <c r="H1073" s="42">
        <f t="shared" si="1162"/>
        <v>-0.36666666666666664</v>
      </c>
      <c r="I1073" s="42">
        <f t="shared" si="1163"/>
        <v>-0.43333333333333335</v>
      </c>
      <c r="J1073" s="42">
        <f t="shared" si="1164"/>
        <v>-0.56666666666666665</v>
      </c>
      <c r="K1073" s="42">
        <f t="shared" si="1165"/>
        <v>-0.6333333333333333</v>
      </c>
      <c r="L1073" s="42">
        <f t="shared" si="1166"/>
        <v>-0.76666666666666672</v>
      </c>
      <c r="M1073" s="42">
        <f t="shared" si="1167"/>
        <v>-0.96666666666666667</v>
      </c>
      <c r="O1073" s="43" t="str">
        <f t="shared" si="1157"/>
        <v/>
      </c>
    </row>
    <row r="1074" spans="1:15" x14ac:dyDescent="0.45">
      <c r="D1074" s="27">
        <f t="shared" si="1158"/>
        <v>0</v>
      </c>
      <c r="E1074" s="28">
        <f t="shared" si="1159"/>
        <v>0</v>
      </c>
      <c r="F1074" s="42">
        <f t="shared" si="1160"/>
        <v>-3.3333333333333333E-2</v>
      </c>
      <c r="G1074" s="42">
        <f t="shared" si="1161"/>
        <v>-0.23333333333333334</v>
      </c>
      <c r="H1074" s="42">
        <f t="shared" si="1162"/>
        <v>-0.36666666666666664</v>
      </c>
      <c r="I1074" s="42">
        <f t="shared" si="1163"/>
        <v>-0.43333333333333335</v>
      </c>
      <c r="J1074" s="42">
        <f t="shared" si="1164"/>
        <v>-0.56666666666666665</v>
      </c>
      <c r="K1074" s="42">
        <f t="shared" si="1165"/>
        <v>-0.6333333333333333</v>
      </c>
      <c r="L1074" s="42">
        <f t="shared" si="1166"/>
        <v>-0.76666666666666672</v>
      </c>
      <c r="M1074" s="42">
        <f t="shared" si="1167"/>
        <v>-0.96666666666666667</v>
      </c>
      <c r="O1074" s="43" t="str">
        <f t="shared" si="1157"/>
        <v/>
      </c>
    </row>
    <row r="1075" spans="1:15" ht="19.2" thickBot="1" x14ac:dyDescent="0.5">
      <c r="F1075" s="42"/>
      <c r="G1075" s="42"/>
      <c r="H1075" s="42"/>
      <c r="I1075" s="42"/>
      <c r="J1075" s="42"/>
      <c r="K1075" s="42"/>
      <c r="L1075" s="42"/>
      <c r="M1075" s="42"/>
    </row>
    <row r="1076" spans="1:15" ht="19.2" thickBot="1" x14ac:dyDescent="0.5">
      <c r="C1076" s="44"/>
      <c r="E1076" s="34">
        <f>E1057</f>
        <v>0</v>
      </c>
      <c r="F1076" s="45">
        <v>1</v>
      </c>
      <c r="G1076" s="46">
        <v>7</v>
      </c>
      <c r="H1076" s="46">
        <v>11</v>
      </c>
      <c r="I1076" s="46">
        <v>13</v>
      </c>
      <c r="J1076" s="46">
        <v>17</v>
      </c>
      <c r="K1076" s="46">
        <v>19</v>
      </c>
      <c r="L1076" s="46">
        <v>23</v>
      </c>
      <c r="M1076" s="47">
        <v>29</v>
      </c>
      <c r="O1076" s="27" t="s">
        <v>2</v>
      </c>
    </row>
    <row r="1077" spans="1:15" x14ac:dyDescent="0.45">
      <c r="A1077" s="29">
        <f>A1067+1</f>
        <v>107</v>
      </c>
      <c r="D1077" s="27">
        <f>C1067</f>
        <v>0</v>
      </c>
      <c r="E1077" s="28">
        <f>D1077*$E$6</f>
        <v>0</v>
      </c>
      <c r="F1077" s="42">
        <f>(E1077-1)/30</f>
        <v>-3.3333333333333333E-2</v>
      </c>
      <c r="G1077" s="42">
        <f>($E1077-7)/30</f>
        <v>-0.23333333333333334</v>
      </c>
      <c r="H1077" s="42">
        <f>($E1077-11)/30</f>
        <v>-0.36666666666666664</v>
      </c>
      <c r="I1077" s="42">
        <f>($E1077-13)/30</f>
        <v>-0.43333333333333335</v>
      </c>
      <c r="J1077" s="42">
        <f>($E1077-17)/30</f>
        <v>-0.56666666666666665</v>
      </c>
      <c r="K1077" s="42">
        <f>($E1077-19)/30</f>
        <v>-0.6333333333333333</v>
      </c>
      <c r="L1077" s="42">
        <f>($E1077-23)/30</f>
        <v>-0.76666666666666672</v>
      </c>
      <c r="M1077" s="42">
        <f>($E1077-29)/30</f>
        <v>-0.96666666666666667</v>
      </c>
      <c r="O1077" s="43" t="str">
        <f t="shared" ref="O1077:O1084" si="1168">FactorNumber(E1077)</f>
        <v/>
      </c>
    </row>
    <row r="1078" spans="1:15" x14ac:dyDescent="0.45">
      <c r="D1078" s="27">
        <f t="shared" ref="D1078:D1084" si="1169">C1068</f>
        <v>0</v>
      </c>
      <c r="E1078" s="28">
        <f t="shared" ref="E1078:E1084" si="1170">D1078*$E$6</f>
        <v>0</v>
      </c>
      <c r="F1078" s="42">
        <f t="shared" ref="F1078:F1084" si="1171">(E1078-1)/30</f>
        <v>-3.3333333333333333E-2</v>
      </c>
      <c r="G1078" s="42">
        <f t="shared" ref="G1078:G1084" si="1172">($E1078-7)/30</f>
        <v>-0.23333333333333334</v>
      </c>
      <c r="H1078" s="42">
        <f t="shared" ref="H1078:H1084" si="1173">($E1078-11)/30</f>
        <v>-0.36666666666666664</v>
      </c>
      <c r="I1078" s="42">
        <f t="shared" ref="I1078:I1084" si="1174">($E1078-13)/30</f>
        <v>-0.43333333333333335</v>
      </c>
      <c r="J1078" s="42">
        <f t="shared" ref="J1078:J1084" si="1175">($E1078-17)/30</f>
        <v>-0.56666666666666665</v>
      </c>
      <c r="K1078" s="42">
        <f t="shared" ref="K1078:K1084" si="1176">($E1078-19)/30</f>
        <v>-0.6333333333333333</v>
      </c>
      <c r="L1078" s="42">
        <f t="shared" ref="L1078:L1084" si="1177">($E1078-23)/30</f>
        <v>-0.76666666666666672</v>
      </c>
      <c r="M1078" s="42">
        <f t="shared" ref="M1078:M1084" si="1178">($E1078-29)/30</f>
        <v>-0.96666666666666667</v>
      </c>
      <c r="O1078" s="43" t="str">
        <f t="shared" si="1168"/>
        <v/>
      </c>
    </row>
    <row r="1079" spans="1:15" x14ac:dyDescent="0.45">
      <c r="D1079" s="27">
        <f t="shared" si="1169"/>
        <v>0</v>
      </c>
      <c r="E1079" s="28">
        <f t="shared" si="1170"/>
        <v>0</v>
      </c>
      <c r="F1079" s="42">
        <f t="shared" si="1171"/>
        <v>-3.3333333333333333E-2</v>
      </c>
      <c r="G1079" s="42">
        <f t="shared" si="1172"/>
        <v>-0.23333333333333334</v>
      </c>
      <c r="H1079" s="42">
        <f t="shared" si="1173"/>
        <v>-0.36666666666666664</v>
      </c>
      <c r="I1079" s="42">
        <f t="shared" si="1174"/>
        <v>-0.43333333333333335</v>
      </c>
      <c r="J1079" s="42">
        <f t="shared" si="1175"/>
        <v>-0.56666666666666665</v>
      </c>
      <c r="K1079" s="42">
        <f t="shared" si="1176"/>
        <v>-0.6333333333333333</v>
      </c>
      <c r="L1079" s="42">
        <f t="shared" si="1177"/>
        <v>-0.76666666666666672</v>
      </c>
      <c r="M1079" s="42">
        <f t="shared" si="1178"/>
        <v>-0.96666666666666667</v>
      </c>
      <c r="O1079" s="43" t="str">
        <f t="shared" si="1168"/>
        <v/>
      </c>
    </row>
    <row r="1080" spans="1:15" x14ac:dyDescent="0.45">
      <c r="D1080" s="27">
        <f t="shared" si="1169"/>
        <v>0</v>
      </c>
      <c r="E1080" s="28">
        <f t="shared" si="1170"/>
        <v>0</v>
      </c>
      <c r="F1080" s="42">
        <f t="shared" si="1171"/>
        <v>-3.3333333333333333E-2</v>
      </c>
      <c r="G1080" s="42">
        <f t="shared" si="1172"/>
        <v>-0.23333333333333334</v>
      </c>
      <c r="H1080" s="42">
        <f t="shared" si="1173"/>
        <v>-0.36666666666666664</v>
      </c>
      <c r="I1080" s="42">
        <f t="shared" si="1174"/>
        <v>-0.43333333333333335</v>
      </c>
      <c r="J1080" s="42">
        <f t="shared" si="1175"/>
        <v>-0.56666666666666665</v>
      </c>
      <c r="K1080" s="42">
        <f t="shared" si="1176"/>
        <v>-0.6333333333333333</v>
      </c>
      <c r="L1080" s="42">
        <f t="shared" si="1177"/>
        <v>-0.76666666666666672</v>
      </c>
      <c r="M1080" s="42">
        <f t="shared" si="1178"/>
        <v>-0.96666666666666667</v>
      </c>
      <c r="O1080" s="43" t="str">
        <f t="shared" si="1168"/>
        <v/>
      </c>
    </row>
    <row r="1081" spans="1:15" x14ac:dyDescent="0.45">
      <c r="D1081" s="27">
        <f t="shared" si="1169"/>
        <v>0</v>
      </c>
      <c r="E1081" s="28">
        <f t="shared" si="1170"/>
        <v>0</v>
      </c>
      <c r="F1081" s="42">
        <f t="shared" si="1171"/>
        <v>-3.3333333333333333E-2</v>
      </c>
      <c r="G1081" s="42">
        <f t="shared" si="1172"/>
        <v>-0.23333333333333334</v>
      </c>
      <c r="H1081" s="42">
        <f t="shared" si="1173"/>
        <v>-0.36666666666666664</v>
      </c>
      <c r="I1081" s="42">
        <f t="shared" si="1174"/>
        <v>-0.43333333333333335</v>
      </c>
      <c r="J1081" s="42">
        <f t="shared" si="1175"/>
        <v>-0.56666666666666665</v>
      </c>
      <c r="K1081" s="42">
        <f t="shared" si="1176"/>
        <v>-0.6333333333333333</v>
      </c>
      <c r="L1081" s="42">
        <f t="shared" si="1177"/>
        <v>-0.76666666666666672</v>
      </c>
      <c r="M1081" s="42">
        <f t="shared" si="1178"/>
        <v>-0.96666666666666667</v>
      </c>
      <c r="O1081" s="43" t="str">
        <f t="shared" si="1168"/>
        <v/>
      </c>
    </row>
    <row r="1082" spans="1:15" x14ac:dyDescent="0.45">
      <c r="D1082" s="27">
        <f t="shared" si="1169"/>
        <v>0</v>
      </c>
      <c r="E1082" s="28">
        <f t="shared" si="1170"/>
        <v>0</v>
      </c>
      <c r="F1082" s="42">
        <f t="shared" si="1171"/>
        <v>-3.3333333333333333E-2</v>
      </c>
      <c r="G1082" s="42">
        <f t="shared" si="1172"/>
        <v>-0.23333333333333334</v>
      </c>
      <c r="H1082" s="42">
        <f t="shared" si="1173"/>
        <v>-0.36666666666666664</v>
      </c>
      <c r="I1082" s="42">
        <f t="shared" si="1174"/>
        <v>-0.43333333333333335</v>
      </c>
      <c r="J1082" s="42">
        <f t="shared" si="1175"/>
        <v>-0.56666666666666665</v>
      </c>
      <c r="K1082" s="42">
        <f t="shared" si="1176"/>
        <v>-0.6333333333333333</v>
      </c>
      <c r="L1082" s="42">
        <f t="shared" si="1177"/>
        <v>-0.76666666666666672</v>
      </c>
      <c r="M1082" s="42">
        <f t="shared" si="1178"/>
        <v>-0.96666666666666667</v>
      </c>
      <c r="O1082" s="43" t="str">
        <f t="shared" si="1168"/>
        <v/>
      </c>
    </row>
    <row r="1083" spans="1:15" x14ac:dyDescent="0.45">
      <c r="D1083" s="27">
        <f t="shared" si="1169"/>
        <v>0</v>
      </c>
      <c r="E1083" s="28">
        <f t="shared" si="1170"/>
        <v>0</v>
      </c>
      <c r="F1083" s="42">
        <f t="shared" si="1171"/>
        <v>-3.3333333333333333E-2</v>
      </c>
      <c r="G1083" s="42">
        <f t="shared" si="1172"/>
        <v>-0.23333333333333334</v>
      </c>
      <c r="H1083" s="42">
        <f t="shared" si="1173"/>
        <v>-0.36666666666666664</v>
      </c>
      <c r="I1083" s="42">
        <f t="shared" si="1174"/>
        <v>-0.43333333333333335</v>
      </c>
      <c r="J1083" s="42">
        <f t="shared" si="1175"/>
        <v>-0.56666666666666665</v>
      </c>
      <c r="K1083" s="42">
        <f t="shared" si="1176"/>
        <v>-0.6333333333333333</v>
      </c>
      <c r="L1083" s="42">
        <f t="shared" si="1177"/>
        <v>-0.76666666666666672</v>
      </c>
      <c r="M1083" s="42">
        <f t="shared" si="1178"/>
        <v>-0.96666666666666667</v>
      </c>
      <c r="O1083" s="43" t="str">
        <f t="shared" si="1168"/>
        <v/>
      </c>
    </row>
    <row r="1084" spans="1:15" x14ac:dyDescent="0.45">
      <c r="D1084" s="27">
        <f t="shared" si="1169"/>
        <v>0</v>
      </c>
      <c r="E1084" s="28">
        <f t="shared" si="1170"/>
        <v>0</v>
      </c>
      <c r="F1084" s="42">
        <f t="shared" si="1171"/>
        <v>-3.3333333333333333E-2</v>
      </c>
      <c r="G1084" s="42">
        <f t="shared" si="1172"/>
        <v>-0.23333333333333334</v>
      </c>
      <c r="H1084" s="42">
        <f t="shared" si="1173"/>
        <v>-0.36666666666666664</v>
      </c>
      <c r="I1084" s="42">
        <f t="shared" si="1174"/>
        <v>-0.43333333333333335</v>
      </c>
      <c r="J1084" s="42">
        <f t="shared" si="1175"/>
        <v>-0.56666666666666665</v>
      </c>
      <c r="K1084" s="42">
        <f t="shared" si="1176"/>
        <v>-0.6333333333333333</v>
      </c>
      <c r="L1084" s="42">
        <f t="shared" si="1177"/>
        <v>-0.76666666666666672</v>
      </c>
      <c r="M1084" s="42">
        <f t="shared" si="1178"/>
        <v>-0.96666666666666667</v>
      </c>
      <c r="O1084" s="43" t="str">
        <f t="shared" si="1168"/>
        <v/>
      </c>
    </row>
    <row r="1085" spans="1:15" ht="19.2" thickBot="1" x14ac:dyDescent="0.5">
      <c r="F1085" s="42"/>
      <c r="G1085" s="42"/>
      <c r="H1085" s="42"/>
      <c r="I1085" s="42"/>
      <c r="J1085" s="42"/>
      <c r="K1085" s="42"/>
      <c r="L1085" s="42"/>
      <c r="M1085" s="42"/>
    </row>
    <row r="1086" spans="1:15" ht="19.2" thickBot="1" x14ac:dyDescent="0.5">
      <c r="C1086" s="44"/>
      <c r="E1086" s="34">
        <f>E1067</f>
        <v>0</v>
      </c>
      <c r="F1086" s="45">
        <v>1</v>
      </c>
      <c r="G1086" s="46">
        <v>7</v>
      </c>
      <c r="H1086" s="46">
        <v>11</v>
      </c>
      <c r="I1086" s="46">
        <v>13</v>
      </c>
      <c r="J1086" s="46">
        <v>17</v>
      </c>
      <c r="K1086" s="46">
        <v>19</v>
      </c>
      <c r="L1086" s="46">
        <v>23</v>
      </c>
      <c r="M1086" s="47">
        <v>29</v>
      </c>
      <c r="O1086" s="27" t="s">
        <v>2</v>
      </c>
    </row>
    <row r="1087" spans="1:15" x14ac:dyDescent="0.45">
      <c r="A1087" s="29">
        <f>A1077+1</f>
        <v>108</v>
      </c>
      <c r="D1087" s="27">
        <f>C1077</f>
        <v>0</v>
      </c>
      <c r="E1087" s="28">
        <f>D1087*$E$6</f>
        <v>0</v>
      </c>
      <c r="F1087" s="42">
        <f>(E1087-1)/30</f>
        <v>-3.3333333333333333E-2</v>
      </c>
      <c r="G1087" s="42">
        <f>($E1087-7)/30</f>
        <v>-0.23333333333333334</v>
      </c>
      <c r="H1087" s="42">
        <f>($E1087-11)/30</f>
        <v>-0.36666666666666664</v>
      </c>
      <c r="I1087" s="42">
        <f>($E1087-13)/30</f>
        <v>-0.43333333333333335</v>
      </c>
      <c r="J1087" s="42">
        <f>($E1087-17)/30</f>
        <v>-0.56666666666666665</v>
      </c>
      <c r="K1087" s="42">
        <f>($E1087-19)/30</f>
        <v>-0.6333333333333333</v>
      </c>
      <c r="L1087" s="42">
        <f>($E1087-23)/30</f>
        <v>-0.76666666666666672</v>
      </c>
      <c r="M1087" s="42">
        <f>($E1087-29)/30</f>
        <v>-0.96666666666666667</v>
      </c>
      <c r="O1087" s="43" t="str">
        <f t="shared" ref="O1087:O1094" si="1179">FactorNumber(E1087)</f>
        <v/>
      </c>
    </row>
    <row r="1088" spans="1:15" x14ac:dyDescent="0.45">
      <c r="D1088" s="27">
        <f t="shared" ref="D1088:D1094" si="1180">C1078</f>
        <v>0</v>
      </c>
      <c r="E1088" s="28">
        <f t="shared" ref="E1088:E1094" si="1181">D1088*$E$6</f>
        <v>0</v>
      </c>
      <c r="F1088" s="42">
        <f t="shared" ref="F1088:F1094" si="1182">(E1088-1)/30</f>
        <v>-3.3333333333333333E-2</v>
      </c>
      <c r="G1088" s="42">
        <f t="shared" ref="G1088:G1094" si="1183">($E1088-7)/30</f>
        <v>-0.23333333333333334</v>
      </c>
      <c r="H1088" s="42">
        <f t="shared" ref="H1088:H1094" si="1184">($E1088-11)/30</f>
        <v>-0.36666666666666664</v>
      </c>
      <c r="I1088" s="42">
        <f t="shared" ref="I1088:I1094" si="1185">($E1088-13)/30</f>
        <v>-0.43333333333333335</v>
      </c>
      <c r="J1088" s="42">
        <f t="shared" ref="J1088:J1094" si="1186">($E1088-17)/30</f>
        <v>-0.56666666666666665</v>
      </c>
      <c r="K1088" s="42">
        <f t="shared" ref="K1088:K1094" si="1187">($E1088-19)/30</f>
        <v>-0.6333333333333333</v>
      </c>
      <c r="L1088" s="42">
        <f t="shared" ref="L1088:L1094" si="1188">($E1088-23)/30</f>
        <v>-0.76666666666666672</v>
      </c>
      <c r="M1088" s="42">
        <f t="shared" ref="M1088:M1094" si="1189">($E1088-29)/30</f>
        <v>-0.96666666666666667</v>
      </c>
      <c r="O1088" s="43" t="str">
        <f t="shared" si="1179"/>
        <v/>
      </c>
    </row>
    <row r="1089" spans="1:15" x14ac:dyDescent="0.45">
      <c r="D1089" s="27">
        <f t="shared" si="1180"/>
        <v>0</v>
      </c>
      <c r="E1089" s="28">
        <f t="shared" si="1181"/>
        <v>0</v>
      </c>
      <c r="F1089" s="42">
        <f t="shared" si="1182"/>
        <v>-3.3333333333333333E-2</v>
      </c>
      <c r="G1089" s="42">
        <f t="shared" si="1183"/>
        <v>-0.23333333333333334</v>
      </c>
      <c r="H1089" s="42">
        <f t="shared" si="1184"/>
        <v>-0.36666666666666664</v>
      </c>
      <c r="I1089" s="42">
        <f t="shared" si="1185"/>
        <v>-0.43333333333333335</v>
      </c>
      <c r="J1089" s="42">
        <f t="shared" si="1186"/>
        <v>-0.56666666666666665</v>
      </c>
      <c r="K1089" s="42">
        <f t="shared" si="1187"/>
        <v>-0.6333333333333333</v>
      </c>
      <c r="L1089" s="42">
        <f t="shared" si="1188"/>
        <v>-0.76666666666666672</v>
      </c>
      <c r="M1089" s="42">
        <f t="shared" si="1189"/>
        <v>-0.96666666666666667</v>
      </c>
      <c r="O1089" s="43" t="str">
        <f t="shared" si="1179"/>
        <v/>
      </c>
    </row>
    <row r="1090" spans="1:15" x14ac:dyDescent="0.45">
      <c r="D1090" s="27">
        <f t="shared" si="1180"/>
        <v>0</v>
      </c>
      <c r="E1090" s="28">
        <f t="shared" si="1181"/>
        <v>0</v>
      </c>
      <c r="F1090" s="42">
        <f t="shared" si="1182"/>
        <v>-3.3333333333333333E-2</v>
      </c>
      <c r="G1090" s="42">
        <f t="shared" si="1183"/>
        <v>-0.23333333333333334</v>
      </c>
      <c r="H1090" s="42">
        <f t="shared" si="1184"/>
        <v>-0.36666666666666664</v>
      </c>
      <c r="I1090" s="42">
        <f t="shared" si="1185"/>
        <v>-0.43333333333333335</v>
      </c>
      <c r="J1090" s="42">
        <f t="shared" si="1186"/>
        <v>-0.56666666666666665</v>
      </c>
      <c r="K1090" s="42">
        <f t="shared" si="1187"/>
        <v>-0.6333333333333333</v>
      </c>
      <c r="L1090" s="42">
        <f t="shared" si="1188"/>
        <v>-0.76666666666666672</v>
      </c>
      <c r="M1090" s="42">
        <f t="shared" si="1189"/>
        <v>-0.96666666666666667</v>
      </c>
      <c r="O1090" s="43" t="str">
        <f t="shared" si="1179"/>
        <v/>
      </c>
    </row>
    <row r="1091" spans="1:15" x14ac:dyDescent="0.45">
      <c r="D1091" s="27">
        <f t="shared" si="1180"/>
        <v>0</v>
      </c>
      <c r="E1091" s="28">
        <f t="shared" si="1181"/>
        <v>0</v>
      </c>
      <c r="F1091" s="42">
        <f t="shared" si="1182"/>
        <v>-3.3333333333333333E-2</v>
      </c>
      <c r="G1091" s="42">
        <f t="shared" si="1183"/>
        <v>-0.23333333333333334</v>
      </c>
      <c r="H1091" s="42">
        <f t="shared" si="1184"/>
        <v>-0.36666666666666664</v>
      </c>
      <c r="I1091" s="42">
        <f t="shared" si="1185"/>
        <v>-0.43333333333333335</v>
      </c>
      <c r="J1091" s="42">
        <f t="shared" si="1186"/>
        <v>-0.56666666666666665</v>
      </c>
      <c r="K1091" s="42">
        <f t="shared" si="1187"/>
        <v>-0.6333333333333333</v>
      </c>
      <c r="L1091" s="42">
        <f t="shared" si="1188"/>
        <v>-0.76666666666666672</v>
      </c>
      <c r="M1091" s="42">
        <f t="shared" si="1189"/>
        <v>-0.96666666666666667</v>
      </c>
      <c r="O1091" s="43" t="str">
        <f t="shared" si="1179"/>
        <v/>
      </c>
    </row>
    <row r="1092" spans="1:15" x14ac:dyDescent="0.45">
      <c r="D1092" s="27">
        <f t="shared" si="1180"/>
        <v>0</v>
      </c>
      <c r="E1092" s="28">
        <f t="shared" si="1181"/>
        <v>0</v>
      </c>
      <c r="F1092" s="42">
        <f t="shared" si="1182"/>
        <v>-3.3333333333333333E-2</v>
      </c>
      <c r="G1092" s="42">
        <f t="shared" si="1183"/>
        <v>-0.23333333333333334</v>
      </c>
      <c r="H1092" s="42">
        <f t="shared" si="1184"/>
        <v>-0.36666666666666664</v>
      </c>
      <c r="I1092" s="42">
        <f t="shared" si="1185"/>
        <v>-0.43333333333333335</v>
      </c>
      <c r="J1092" s="42">
        <f t="shared" si="1186"/>
        <v>-0.56666666666666665</v>
      </c>
      <c r="K1092" s="42">
        <f t="shared" si="1187"/>
        <v>-0.6333333333333333</v>
      </c>
      <c r="L1092" s="42">
        <f t="shared" si="1188"/>
        <v>-0.76666666666666672</v>
      </c>
      <c r="M1092" s="42">
        <f t="shared" si="1189"/>
        <v>-0.96666666666666667</v>
      </c>
      <c r="O1092" s="43" t="str">
        <f t="shared" si="1179"/>
        <v/>
      </c>
    </row>
    <row r="1093" spans="1:15" x14ac:dyDescent="0.45">
      <c r="D1093" s="27">
        <f t="shared" si="1180"/>
        <v>0</v>
      </c>
      <c r="E1093" s="28">
        <f t="shared" si="1181"/>
        <v>0</v>
      </c>
      <c r="F1093" s="42">
        <f t="shared" si="1182"/>
        <v>-3.3333333333333333E-2</v>
      </c>
      <c r="G1093" s="42">
        <f t="shared" si="1183"/>
        <v>-0.23333333333333334</v>
      </c>
      <c r="H1093" s="42">
        <f t="shared" si="1184"/>
        <v>-0.36666666666666664</v>
      </c>
      <c r="I1093" s="42">
        <f t="shared" si="1185"/>
        <v>-0.43333333333333335</v>
      </c>
      <c r="J1093" s="42">
        <f t="shared" si="1186"/>
        <v>-0.56666666666666665</v>
      </c>
      <c r="K1093" s="42">
        <f t="shared" si="1187"/>
        <v>-0.6333333333333333</v>
      </c>
      <c r="L1093" s="42">
        <f t="shared" si="1188"/>
        <v>-0.76666666666666672</v>
      </c>
      <c r="M1093" s="42">
        <f t="shared" si="1189"/>
        <v>-0.96666666666666667</v>
      </c>
      <c r="O1093" s="43" t="str">
        <f t="shared" si="1179"/>
        <v/>
      </c>
    </row>
    <row r="1094" spans="1:15" x14ac:dyDescent="0.45">
      <c r="D1094" s="27">
        <f t="shared" si="1180"/>
        <v>0</v>
      </c>
      <c r="E1094" s="28">
        <f t="shared" si="1181"/>
        <v>0</v>
      </c>
      <c r="F1094" s="42">
        <f t="shared" si="1182"/>
        <v>-3.3333333333333333E-2</v>
      </c>
      <c r="G1094" s="42">
        <f t="shared" si="1183"/>
        <v>-0.23333333333333334</v>
      </c>
      <c r="H1094" s="42">
        <f t="shared" si="1184"/>
        <v>-0.36666666666666664</v>
      </c>
      <c r="I1094" s="42">
        <f t="shared" si="1185"/>
        <v>-0.43333333333333335</v>
      </c>
      <c r="J1094" s="42">
        <f t="shared" si="1186"/>
        <v>-0.56666666666666665</v>
      </c>
      <c r="K1094" s="42">
        <f t="shared" si="1187"/>
        <v>-0.6333333333333333</v>
      </c>
      <c r="L1094" s="42">
        <f t="shared" si="1188"/>
        <v>-0.76666666666666672</v>
      </c>
      <c r="M1094" s="42">
        <f t="shared" si="1189"/>
        <v>-0.96666666666666667</v>
      </c>
      <c r="O1094" s="43" t="str">
        <f t="shared" si="1179"/>
        <v/>
      </c>
    </row>
    <row r="1095" spans="1:15" ht="19.2" thickBot="1" x14ac:dyDescent="0.5">
      <c r="F1095" s="42"/>
      <c r="G1095" s="42"/>
      <c r="H1095" s="42"/>
      <c r="I1095" s="42"/>
      <c r="J1095" s="42"/>
      <c r="K1095" s="42"/>
      <c r="L1095" s="42"/>
      <c r="M1095" s="42"/>
    </row>
    <row r="1096" spans="1:15" ht="19.2" thickBot="1" x14ac:dyDescent="0.5">
      <c r="C1096" s="44"/>
      <c r="E1096" s="34">
        <f>E1077</f>
        <v>0</v>
      </c>
      <c r="F1096" s="45">
        <v>1</v>
      </c>
      <c r="G1096" s="46">
        <v>7</v>
      </c>
      <c r="H1096" s="46">
        <v>11</v>
      </c>
      <c r="I1096" s="46">
        <v>13</v>
      </c>
      <c r="J1096" s="46">
        <v>17</v>
      </c>
      <c r="K1096" s="46">
        <v>19</v>
      </c>
      <c r="L1096" s="46">
        <v>23</v>
      </c>
      <c r="M1096" s="47">
        <v>29</v>
      </c>
      <c r="O1096" s="27" t="s">
        <v>2</v>
      </c>
    </row>
    <row r="1097" spans="1:15" x14ac:dyDescent="0.45">
      <c r="A1097" s="29">
        <f>A1087+1</f>
        <v>109</v>
      </c>
      <c r="D1097" s="27">
        <f>C1087</f>
        <v>0</v>
      </c>
      <c r="E1097" s="28">
        <f>D1097*$E$6</f>
        <v>0</v>
      </c>
      <c r="F1097" s="42">
        <f>(E1097-1)/30</f>
        <v>-3.3333333333333333E-2</v>
      </c>
      <c r="G1097" s="42">
        <f>($E1097-7)/30</f>
        <v>-0.23333333333333334</v>
      </c>
      <c r="H1097" s="42">
        <f>($E1097-11)/30</f>
        <v>-0.36666666666666664</v>
      </c>
      <c r="I1097" s="42">
        <f>($E1097-13)/30</f>
        <v>-0.43333333333333335</v>
      </c>
      <c r="J1097" s="42">
        <f>($E1097-17)/30</f>
        <v>-0.56666666666666665</v>
      </c>
      <c r="K1097" s="42">
        <f>($E1097-19)/30</f>
        <v>-0.6333333333333333</v>
      </c>
      <c r="L1097" s="42">
        <f>($E1097-23)/30</f>
        <v>-0.76666666666666672</v>
      </c>
      <c r="M1097" s="42">
        <f>($E1097-29)/30</f>
        <v>-0.96666666666666667</v>
      </c>
      <c r="O1097" s="43" t="str">
        <f t="shared" ref="O1097:O1104" si="1190">FactorNumber(E1097)</f>
        <v/>
      </c>
    </row>
    <row r="1098" spans="1:15" x14ac:dyDescent="0.45">
      <c r="D1098" s="27">
        <f t="shared" ref="D1098:D1104" si="1191">C1088</f>
        <v>0</v>
      </c>
      <c r="E1098" s="28">
        <f t="shared" ref="E1098:E1104" si="1192">D1098*$E$6</f>
        <v>0</v>
      </c>
      <c r="F1098" s="42">
        <f t="shared" ref="F1098:F1104" si="1193">(E1098-1)/30</f>
        <v>-3.3333333333333333E-2</v>
      </c>
      <c r="G1098" s="42">
        <f t="shared" ref="G1098:G1104" si="1194">($E1098-7)/30</f>
        <v>-0.23333333333333334</v>
      </c>
      <c r="H1098" s="42">
        <f t="shared" ref="H1098:H1104" si="1195">($E1098-11)/30</f>
        <v>-0.36666666666666664</v>
      </c>
      <c r="I1098" s="42">
        <f t="shared" ref="I1098:I1104" si="1196">($E1098-13)/30</f>
        <v>-0.43333333333333335</v>
      </c>
      <c r="J1098" s="42">
        <f t="shared" ref="J1098:J1104" si="1197">($E1098-17)/30</f>
        <v>-0.56666666666666665</v>
      </c>
      <c r="K1098" s="42">
        <f t="shared" ref="K1098:K1104" si="1198">($E1098-19)/30</f>
        <v>-0.6333333333333333</v>
      </c>
      <c r="L1098" s="42">
        <f t="shared" ref="L1098:L1104" si="1199">($E1098-23)/30</f>
        <v>-0.76666666666666672</v>
      </c>
      <c r="M1098" s="42">
        <f t="shared" ref="M1098:M1104" si="1200">($E1098-29)/30</f>
        <v>-0.96666666666666667</v>
      </c>
      <c r="O1098" s="43" t="str">
        <f t="shared" si="1190"/>
        <v/>
      </c>
    </row>
    <row r="1099" spans="1:15" x14ac:dyDescent="0.45">
      <c r="D1099" s="27">
        <f t="shared" si="1191"/>
        <v>0</v>
      </c>
      <c r="E1099" s="28">
        <f t="shared" si="1192"/>
        <v>0</v>
      </c>
      <c r="F1099" s="42">
        <f t="shared" si="1193"/>
        <v>-3.3333333333333333E-2</v>
      </c>
      <c r="G1099" s="42">
        <f t="shared" si="1194"/>
        <v>-0.23333333333333334</v>
      </c>
      <c r="H1099" s="42">
        <f t="shared" si="1195"/>
        <v>-0.36666666666666664</v>
      </c>
      <c r="I1099" s="42">
        <f t="shared" si="1196"/>
        <v>-0.43333333333333335</v>
      </c>
      <c r="J1099" s="42">
        <f t="shared" si="1197"/>
        <v>-0.56666666666666665</v>
      </c>
      <c r="K1099" s="42">
        <f t="shared" si="1198"/>
        <v>-0.6333333333333333</v>
      </c>
      <c r="L1099" s="42">
        <f t="shared" si="1199"/>
        <v>-0.76666666666666672</v>
      </c>
      <c r="M1099" s="42">
        <f t="shared" si="1200"/>
        <v>-0.96666666666666667</v>
      </c>
      <c r="O1099" s="43" t="str">
        <f t="shared" si="1190"/>
        <v/>
      </c>
    </row>
    <row r="1100" spans="1:15" x14ac:dyDescent="0.45">
      <c r="D1100" s="27">
        <f t="shared" si="1191"/>
        <v>0</v>
      </c>
      <c r="E1100" s="28">
        <f t="shared" si="1192"/>
        <v>0</v>
      </c>
      <c r="F1100" s="42">
        <f t="shared" si="1193"/>
        <v>-3.3333333333333333E-2</v>
      </c>
      <c r="G1100" s="42">
        <f t="shared" si="1194"/>
        <v>-0.23333333333333334</v>
      </c>
      <c r="H1100" s="42">
        <f t="shared" si="1195"/>
        <v>-0.36666666666666664</v>
      </c>
      <c r="I1100" s="42">
        <f t="shared" si="1196"/>
        <v>-0.43333333333333335</v>
      </c>
      <c r="J1100" s="42">
        <f t="shared" si="1197"/>
        <v>-0.56666666666666665</v>
      </c>
      <c r="K1100" s="42">
        <f t="shared" si="1198"/>
        <v>-0.6333333333333333</v>
      </c>
      <c r="L1100" s="42">
        <f t="shared" si="1199"/>
        <v>-0.76666666666666672</v>
      </c>
      <c r="M1100" s="42">
        <f t="shared" si="1200"/>
        <v>-0.96666666666666667</v>
      </c>
      <c r="O1100" s="43" t="str">
        <f t="shared" si="1190"/>
        <v/>
      </c>
    </row>
    <row r="1101" spans="1:15" x14ac:dyDescent="0.45">
      <c r="D1101" s="27">
        <f t="shared" si="1191"/>
        <v>0</v>
      </c>
      <c r="E1101" s="28">
        <f t="shared" si="1192"/>
        <v>0</v>
      </c>
      <c r="F1101" s="42">
        <f t="shared" si="1193"/>
        <v>-3.3333333333333333E-2</v>
      </c>
      <c r="G1101" s="42">
        <f t="shared" si="1194"/>
        <v>-0.23333333333333334</v>
      </c>
      <c r="H1101" s="42">
        <f t="shared" si="1195"/>
        <v>-0.36666666666666664</v>
      </c>
      <c r="I1101" s="42">
        <f t="shared" si="1196"/>
        <v>-0.43333333333333335</v>
      </c>
      <c r="J1101" s="42">
        <f t="shared" si="1197"/>
        <v>-0.56666666666666665</v>
      </c>
      <c r="K1101" s="42">
        <f t="shared" si="1198"/>
        <v>-0.6333333333333333</v>
      </c>
      <c r="L1101" s="42">
        <f t="shared" si="1199"/>
        <v>-0.76666666666666672</v>
      </c>
      <c r="M1101" s="42">
        <f t="shared" si="1200"/>
        <v>-0.96666666666666667</v>
      </c>
      <c r="O1101" s="43" t="str">
        <f t="shared" si="1190"/>
        <v/>
      </c>
    </row>
    <row r="1102" spans="1:15" x14ac:dyDescent="0.45">
      <c r="D1102" s="27">
        <f t="shared" si="1191"/>
        <v>0</v>
      </c>
      <c r="E1102" s="28">
        <f t="shared" si="1192"/>
        <v>0</v>
      </c>
      <c r="F1102" s="42">
        <f t="shared" si="1193"/>
        <v>-3.3333333333333333E-2</v>
      </c>
      <c r="G1102" s="42">
        <f t="shared" si="1194"/>
        <v>-0.23333333333333334</v>
      </c>
      <c r="H1102" s="42">
        <f t="shared" si="1195"/>
        <v>-0.36666666666666664</v>
      </c>
      <c r="I1102" s="42">
        <f t="shared" si="1196"/>
        <v>-0.43333333333333335</v>
      </c>
      <c r="J1102" s="42">
        <f t="shared" si="1197"/>
        <v>-0.56666666666666665</v>
      </c>
      <c r="K1102" s="42">
        <f t="shared" si="1198"/>
        <v>-0.6333333333333333</v>
      </c>
      <c r="L1102" s="42">
        <f t="shared" si="1199"/>
        <v>-0.76666666666666672</v>
      </c>
      <c r="M1102" s="42">
        <f t="shared" si="1200"/>
        <v>-0.96666666666666667</v>
      </c>
      <c r="O1102" s="43" t="str">
        <f t="shared" si="1190"/>
        <v/>
      </c>
    </row>
    <row r="1103" spans="1:15" x14ac:dyDescent="0.45">
      <c r="D1103" s="27">
        <f t="shared" si="1191"/>
        <v>0</v>
      </c>
      <c r="E1103" s="28">
        <f t="shared" si="1192"/>
        <v>0</v>
      </c>
      <c r="F1103" s="42">
        <f t="shared" si="1193"/>
        <v>-3.3333333333333333E-2</v>
      </c>
      <c r="G1103" s="42">
        <f t="shared" si="1194"/>
        <v>-0.23333333333333334</v>
      </c>
      <c r="H1103" s="42">
        <f t="shared" si="1195"/>
        <v>-0.36666666666666664</v>
      </c>
      <c r="I1103" s="42">
        <f t="shared" si="1196"/>
        <v>-0.43333333333333335</v>
      </c>
      <c r="J1103" s="42">
        <f t="shared" si="1197"/>
        <v>-0.56666666666666665</v>
      </c>
      <c r="K1103" s="42">
        <f t="shared" si="1198"/>
        <v>-0.6333333333333333</v>
      </c>
      <c r="L1103" s="42">
        <f t="shared" si="1199"/>
        <v>-0.76666666666666672</v>
      </c>
      <c r="M1103" s="42">
        <f t="shared" si="1200"/>
        <v>-0.96666666666666667</v>
      </c>
      <c r="O1103" s="43" t="str">
        <f t="shared" si="1190"/>
        <v/>
      </c>
    </row>
    <row r="1104" spans="1:15" x14ac:dyDescent="0.45">
      <c r="D1104" s="27">
        <f t="shared" si="1191"/>
        <v>0</v>
      </c>
      <c r="E1104" s="28">
        <f t="shared" si="1192"/>
        <v>0</v>
      </c>
      <c r="F1104" s="42">
        <f t="shared" si="1193"/>
        <v>-3.3333333333333333E-2</v>
      </c>
      <c r="G1104" s="42">
        <f t="shared" si="1194"/>
        <v>-0.23333333333333334</v>
      </c>
      <c r="H1104" s="42">
        <f t="shared" si="1195"/>
        <v>-0.36666666666666664</v>
      </c>
      <c r="I1104" s="42">
        <f t="shared" si="1196"/>
        <v>-0.43333333333333335</v>
      </c>
      <c r="J1104" s="42">
        <f t="shared" si="1197"/>
        <v>-0.56666666666666665</v>
      </c>
      <c r="K1104" s="42">
        <f t="shared" si="1198"/>
        <v>-0.6333333333333333</v>
      </c>
      <c r="L1104" s="42">
        <f t="shared" si="1199"/>
        <v>-0.76666666666666672</v>
      </c>
      <c r="M1104" s="42">
        <f t="shared" si="1200"/>
        <v>-0.96666666666666667</v>
      </c>
      <c r="O1104" s="43" t="str">
        <f t="shared" si="1190"/>
        <v/>
      </c>
    </row>
    <row r="1105" spans="1:15" ht="19.2" thickBot="1" x14ac:dyDescent="0.5">
      <c r="F1105" s="42"/>
      <c r="G1105" s="42"/>
      <c r="H1105" s="42"/>
      <c r="I1105" s="42"/>
      <c r="J1105" s="42"/>
      <c r="K1105" s="42"/>
      <c r="L1105" s="42"/>
      <c r="M1105" s="42"/>
    </row>
    <row r="1106" spans="1:15" ht="19.2" thickBot="1" x14ac:dyDescent="0.5">
      <c r="C1106" s="44"/>
      <c r="E1106" s="34">
        <f>E1087</f>
        <v>0</v>
      </c>
      <c r="F1106" s="45">
        <v>1</v>
      </c>
      <c r="G1106" s="46">
        <v>7</v>
      </c>
      <c r="H1106" s="46">
        <v>11</v>
      </c>
      <c r="I1106" s="46">
        <v>13</v>
      </c>
      <c r="J1106" s="46">
        <v>17</v>
      </c>
      <c r="K1106" s="46">
        <v>19</v>
      </c>
      <c r="L1106" s="46">
        <v>23</v>
      </c>
      <c r="M1106" s="47">
        <v>29</v>
      </c>
      <c r="O1106" s="27" t="s">
        <v>2</v>
      </c>
    </row>
    <row r="1107" spans="1:15" x14ac:dyDescent="0.45">
      <c r="A1107" s="29">
        <f>A1097+1</f>
        <v>110</v>
      </c>
      <c r="D1107" s="27">
        <f>C1097</f>
        <v>0</v>
      </c>
      <c r="E1107" s="28">
        <f>D1107*$E$6</f>
        <v>0</v>
      </c>
      <c r="F1107" s="42">
        <f>(E1107-1)/30</f>
        <v>-3.3333333333333333E-2</v>
      </c>
      <c r="G1107" s="42">
        <f>($E1107-7)/30</f>
        <v>-0.23333333333333334</v>
      </c>
      <c r="H1107" s="42">
        <f>($E1107-11)/30</f>
        <v>-0.36666666666666664</v>
      </c>
      <c r="I1107" s="42">
        <f>($E1107-13)/30</f>
        <v>-0.43333333333333335</v>
      </c>
      <c r="J1107" s="42">
        <f>($E1107-17)/30</f>
        <v>-0.56666666666666665</v>
      </c>
      <c r="K1107" s="42">
        <f>($E1107-19)/30</f>
        <v>-0.6333333333333333</v>
      </c>
      <c r="L1107" s="42">
        <f>($E1107-23)/30</f>
        <v>-0.76666666666666672</v>
      </c>
      <c r="M1107" s="42">
        <f>($E1107-29)/30</f>
        <v>-0.96666666666666667</v>
      </c>
      <c r="O1107" s="43" t="str">
        <f t="shared" ref="O1107:O1114" si="1201">FactorNumber(E1107)</f>
        <v/>
      </c>
    </row>
    <row r="1108" spans="1:15" x14ac:dyDescent="0.45">
      <c r="D1108" s="27">
        <f t="shared" ref="D1108:D1114" si="1202">C1098</f>
        <v>0</v>
      </c>
      <c r="E1108" s="28">
        <f t="shared" ref="E1108:E1114" si="1203">D1108*$E$6</f>
        <v>0</v>
      </c>
      <c r="F1108" s="42">
        <f t="shared" ref="F1108:F1114" si="1204">(E1108-1)/30</f>
        <v>-3.3333333333333333E-2</v>
      </c>
      <c r="G1108" s="42">
        <f t="shared" ref="G1108:G1114" si="1205">($E1108-7)/30</f>
        <v>-0.23333333333333334</v>
      </c>
      <c r="H1108" s="42">
        <f t="shared" ref="H1108:H1114" si="1206">($E1108-11)/30</f>
        <v>-0.36666666666666664</v>
      </c>
      <c r="I1108" s="42">
        <f t="shared" ref="I1108:I1114" si="1207">($E1108-13)/30</f>
        <v>-0.43333333333333335</v>
      </c>
      <c r="J1108" s="42">
        <f t="shared" ref="J1108:J1114" si="1208">($E1108-17)/30</f>
        <v>-0.56666666666666665</v>
      </c>
      <c r="K1108" s="42">
        <f t="shared" ref="K1108:K1114" si="1209">($E1108-19)/30</f>
        <v>-0.6333333333333333</v>
      </c>
      <c r="L1108" s="42">
        <f t="shared" ref="L1108:L1114" si="1210">($E1108-23)/30</f>
        <v>-0.76666666666666672</v>
      </c>
      <c r="M1108" s="42">
        <f t="shared" ref="M1108:M1114" si="1211">($E1108-29)/30</f>
        <v>-0.96666666666666667</v>
      </c>
      <c r="O1108" s="43" t="str">
        <f t="shared" si="1201"/>
        <v/>
      </c>
    </row>
    <row r="1109" spans="1:15" x14ac:dyDescent="0.45">
      <c r="D1109" s="27">
        <f t="shared" si="1202"/>
        <v>0</v>
      </c>
      <c r="E1109" s="28">
        <f t="shared" si="1203"/>
        <v>0</v>
      </c>
      <c r="F1109" s="42">
        <f t="shared" si="1204"/>
        <v>-3.3333333333333333E-2</v>
      </c>
      <c r="G1109" s="42">
        <f t="shared" si="1205"/>
        <v>-0.23333333333333334</v>
      </c>
      <c r="H1109" s="42">
        <f t="shared" si="1206"/>
        <v>-0.36666666666666664</v>
      </c>
      <c r="I1109" s="42">
        <f t="shared" si="1207"/>
        <v>-0.43333333333333335</v>
      </c>
      <c r="J1109" s="42">
        <f t="shared" si="1208"/>
        <v>-0.56666666666666665</v>
      </c>
      <c r="K1109" s="42">
        <f t="shared" si="1209"/>
        <v>-0.6333333333333333</v>
      </c>
      <c r="L1109" s="42">
        <f t="shared" si="1210"/>
        <v>-0.76666666666666672</v>
      </c>
      <c r="M1109" s="42">
        <f t="shared" si="1211"/>
        <v>-0.96666666666666667</v>
      </c>
      <c r="O1109" s="43" t="str">
        <f t="shared" si="1201"/>
        <v/>
      </c>
    </row>
    <row r="1110" spans="1:15" x14ac:dyDescent="0.45">
      <c r="D1110" s="27">
        <f t="shared" si="1202"/>
        <v>0</v>
      </c>
      <c r="E1110" s="28">
        <f t="shared" si="1203"/>
        <v>0</v>
      </c>
      <c r="F1110" s="42">
        <f t="shared" si="1204"/>
        <v>-3.3333333333333333E-2</v>
      </c>
      <c r="G1110" s="42">
        <f t="shared" si="1205"/>
        <v>-0.23333333333333334</v>
      </c>
      <c r="H1110" s="42">
        <f t="shared" si="1206"/>
        <v>-0.36666666666666664</v>
      </c>
      <c r="I1110" s="42">
        <f t="shared" si="1207"/>
        <v>-0.43333333333333335</v>
      </c>
      <c r="J1110" s="42">
        <f t="shared" si="1208"/>
        <v>-0.56666666666666665</v>
      </c>
      <c r="K1110" s="42">
        <f t="shared" si="1209"/>
        <v>-0.6333333333333333</v>
      </c>
      <c r="L1110" s="42">
        <f t="shared" si="1210"/>
        <v>-0.76666666666666672</v>
      </c>
      <c r="M1110" s="42">
        <f t="shared" si="1211"/>
        <v>-0.96666666666666667</v>
      </c>
      <c r="O1110" s="43" t="str">
        <f t="shared" si="1201"/>
        <v/>
      </c>
    </row>
    <row r="1111" spans="1:15" x14ac:dyDescent="0.45">
      <c r="D1111" s="27">
        <f t="shared" si="1202"/>
        <v>0</v>
      </c>
      <c r="E1111" s="28">
        <f t="shared" si="1203"/>
        <v>0</v>
      </c>
      <c r="F1111" s="42">
        <f t="shared" si="1204"/>
        <v>-3.3333333333333333E-2</v>
      </c>
      <c r="G1111" s="42">
        <f t="shared" si="1205"/>
        <v>-0.23333333333333334</v>
      </c>
      <c r="H1111" s="42">
        <f t="shared" si="1206"/>
        <v>-0.36666666666666664</v>
      </c>
      <c r="I1111" s="42">
        <f t="shared" si="1207"/>
        <v>-0.43333333333333335</v>
      </c>
      <c r="J1111" s="42">
        <f t="shared" si="1208"/>
        <v>-0.56666666666666665</v>
      </c>
      <c r="K1111" s="42">
        <f t="shared" si="1209"/>
        <v>-0.6333333333333333</v>
      </c>
      <c r="L1111" s="42">
        <f t="shared" si="1210"/>
        <v>-0.76666666666666672</v>
      </c>
      <c r="M1111" s="42">
        <f t="shared" si="1211"/>
        <v>-0.96666666666666667</v>
      </c>
      <c r="O1111" s="43" t="str">
        <f t="shared" si="1201"/>
        <v/>
      </c>
    </row>
    <row r="1112" spans="1:15" x14ac:dyDescent="0.45">
      <c r="D1112" s="27">
        <f t="shared" si="1202"/>
        <v>0</v>
      </c>
      <c r="E1112" s="28">
        <f t="shared" si="1203"/>
        <v>0</v>
      </c>
      <c r="F1112" s="42">
        <f t="shared" si="1204"/>
        <v>-3.3333333333333333E-2</v>
      </c>
      <c r="G1112" s="42">
        <f t="shared" si="1205"/>
        <v>-0.23333333333333334</v>
      </c>
      <c r="H1112" s="42">
        <f t="shared" si="1206"/>
        <v>-0.36666666666666664</v>
      </c>
      <c r="I1112" s="42">
        <f t="shared" si="1207"/>
        <v>-0.43333333333333335</v>
      </c>
      <c r="J1112" s="42">
        <f t="shared" si="1208"/>
        <v>-0.56666666666666665</v>
      </c>
      <c r="K1112" s="42">
        <f t="shared" si="1209"/>
        <v>-0.6333333333333333</v>
      </c>
      <c r="L1112" s="42">
        <f t="shared" si="1210"/>
        <v>-0.76666666666666672</v>
      </c>
      <c r="M1112" s="42">
        <f t="shared" si="1211"/>
        <v>-0.96666666666666667</v>
      </c>
      <c r="O1112" s="43" t="str">
        <f t="shared" si="1201"/>
        <v/>
      </c>
    </row>
    <row r="1113" spans="1:15" x14ac:dyDescent="0.45">
      <c r="D1113" s="27">
        <f t="shared" si="1202"/>
        <v>0</v>
      </c>
      <c r="E1113" s="28">
        <f t="shared" si="1203"/>
        <v>0</v>
      </c>
      <c r="F1113" s="42">
        <f t="shared" si="1204"/>
        <v>-3.3333333333333333E-2</v>
      </c>
      <c r="G1113" s="42">
        <f t="shared" si="1205"/>
        <v>-0.23333333333333334</v>
      </c>
      <c r="H1113" s="42">
        <f t="shared" si="1206"/>
        <v>-0.36666666666666664</v>
      </c>
      <c r="I1113" s="42">
        <f t="shared" si="1207"/>
        <v>-0.43333333333333335</v>
      </c>
      <c r="J1113" s="42">
        <f t="shared" si="1208"/>
        <v>-0.56666666666666665</v>
      </c>
      <c r="K1113" s="42">
        <f t="shared" si="1209"/>
        <v>-0.6333333333333333</v>
      </c>
      <c r="L1113" s="42">
        <f t="shared" si="1210"/>
        <v>-0.76666666666666672</v>
      </c>
      <c r="M1113" s="42">
        <f t="shared" si="1211"/>
        <v>-0.96666666666666667</v>
      </c>
      <c r="O1113" s="43" t="str">
        <f t="shared" si="1201"/>
        <v/>
      </c>
    </row>
    <row r="1114" spans="1:15" x14ac:dyDescent="0.45">
      <c r="D1114" s="27">
        <f t="shared" si="1202"/>
        <v>0</v>
      </c>
      <c r="E1114" s="28">
        <f t="shared" si="1203"/>
        <v>0</v>
      </c>
      <c r="F1114" s="42">
        <f t="shared" si="1204"/>
        <v>-3.3333333333333333E-2</v>
      </c>
      <c r="G1114" s="42">
        <f t="shared" si="1205"/>
        <v>-0.23333333333333334</v>
      </c>
      <c r="H1114" s="42">
        <f t="shared" si="1206"/>
        <v>-0.36666666666666664</v>
      </c>
      <c r="I1114" s="42">
        <f t="shared" si="1207"/>
        <v>-0.43333333333333335</v>
      </c>
      <c r="J1114" s="42">
        <f t="shared" si="1208"/>
        <v>-0.56666666666666665</v>
      </c>
      <c r="K1114" s="42">
        <f t="shared" si="1209"/>
        <v>-0.6333333333333333</v>
      </c>
      <c r="L1114" s="42">
        <f t="shared" si="1210"/>
        <v>-0.76666666666666672</v>
      </c>
      <c r="M1114" s="42">
        <f t="shared" si="1211"/>
        <v>-0.96666666666666667</v>
      </c>
      <c r="O1114" s="43" t="str">
        <f t="shared" si="1201"/>
        <v/>
      </c>
    </row>
    <row r="1115" spans="1:15" ht="19.2" thickBot="1" x14ac:dyDescent="0.5">
      <c r="F1115" s="42"/>
      <c r="G1115" s="42"/>
      <c r="H1115" s="42"/>
      <c r="I1115" s="42"/>
      <c r="J1115" s="42"/>
      <c r="K1115" s="42"/>
      <c r="L1115" s="42"/>
      <c r="M1115" s="42"/>
    </row>
    <row r="1116" spans="1:15" ht="19.2" thickBot="1" x14ac:dyDescent="0.5">
      <c r="C1116" s="44"/>
      <c r="E1116" s="34">
        <f>E1097</f>
        <v>0</v>
      </c>
      <c r="F1116" s="45">
        <v>1</v>
      </c>
      <c r="G1116" s="46">
        <v>7</v>
      </c>
      <c r="H1116" s="46">
        <v>11</v>
      </c>
      <c r="I1116" s="46">
        <v>13</v>
      </c>
      <c r="J1116" s="46">
        <v>17</v>
      </c>
      <c r="K1116" s="46">
        <v>19</v>
      </c>
      <c r="L1116" s="46">
        <v>23</v>
      </c>
      <c r="M1116" s="47">
        <v>29</v>
      </c>
      <c r="O1116" s="27" t="s">
        <v>2</v>
      </c>
    </row>
    <row r="1117" spans="1:15" x14ac:dyDescent="0.45">
      <c r="A1117" s="29">
        <f>A1107+1</f>
        <v>111</v>
      </c>
      <c r="D1117" s="27">
        <f>C1107</f>
        <v>0</v>
      </c>
      <c r="E1117" s="28">
        <f>D1117*$E$6</f>
        <v>0</v>
      </c>
      <c r="F1117" s="42">
        <f>(E1117-1)/30</f>
        <v>-3.3333333333333333E-2</v>
      </c>
      <c r="G1117" s="42">
        <f>($E1117-7)/30</f>
        <v>-0.23333333333333334</v>
      </c>
      <c r="H1117" s="42">
        <f>($E1117-11)/30</f>
        <v>-0.36666666666666664</v>
      </c>
      <c r="I1117" s="42">
        <f>($E1117-13)/30</f>
        <v>-0.43333333333333335</v>
      </c>
      <c r="J1117" s="42">
        <f>($E1117-17)/30</f>
        <v>-0.56666666666666665</v>
      </c>
      <c r="K1117" s="42">
        <f>($E1117-19)/30</f>
        <v>-0.6333333333333333</v>
      </c>
      <c r="L1117" s="42">
        <f>($E1117-23)/30</f>
        <v>-0.76666666666666672</v>
      </c>
      <c r="M1117" s="42">
        <f>($E1117-29)/30</f>
        <v>-0.96666666666666667</v>
      </c>
      <c r="O1117" s="43" t="str">
        <f t="shared" ref="O1117:O1124" si="1212">FactorNumber(E1117)</f>
        <v/>
      </c>
    </row>
    <row r="1118" spans="1:15" x14ac:dyDescent="0.45">
      <c r="D1118" s="27">
        <f t="shared" ref="D1118:D1124" si="1213">C1108</f>
        <v>0</v>
      </c>
      <c r="E1118" s="28">
        <f t="shared" ref="E1118:E1124" si="1214">D1118*$E$6</f>
        <v>0</v>
      </c>
      <c r="F1118" s="42">
        <f t="shared" ref="F1118:F1124" si="1215">(E1118-1)/30</f>
        <v>-3.3333333333333333E-2</v>
      </c>
      <c r="G1118" s="42">
        <f t="shared" ref="G1118:G1124" si="1216">($E1118-7)/30</f>
        <v>-0.23333333333333334</v>
      </c>
      <c r="H1118" s="42">
        <f t="shared" ref="H1118:H1124" si="1217">($E1118-11)/30</f>
        <v>-0.36666666666666664</v>
      </c>
      <c r="I1118" s="42">
        <f t="shared" ref="I1118:I1124" si="1218">($E1118-13)/30</f>
        <v>-0.43333333333333335</v>
      </c>
      <c r="J1118" s="42">
        <f t="shared" ref="J1118:J1124" si="1219">($E1118-17)/30</f>
        <v>-0.56666666666666665</v>
      </c>
      <c r="K1118" s="42">
        <f t="shared" ref="K1118:K1124" si="1220">($E1118-19)/30</f>
        <v>-0.6333333333333333</v>
      </c>
      <c r="L1118" s="42">
        <f t="shared" ref="L1118:L1124" si="1221">($E1118-23)/30</f>
        <v>-0.76666666666666672</v>
      </c>
      <c r="M1118" s="42">
        <f t="shared" ref="M1118:M1124" si="1222">($E1118-29)/30</f>
        <v>-0.96666666666666667</v>
      </c>
      <c r="O1118" s="43" t="str">
        <f t="shared" si="1212"/>
        <v/>
      </c>
    </row>
    <row r="1119" spans="1:15" x14ac:dyDescent="0.45">
      <c r="D1119" s="27">
        <f t="shared" si="1213"/>
        <v>0</v>
      </c>
      <c r="E1119" s="28">
        <f t="shared" si="1214"/>
        <v>0</v>
      </c>
      <c r="F1119" s="42">
        <f t="shared" si="1215"/>
        <v>-3.3333333333333333E-2</v>
      </c>
      <c r="G1119" s="42">
        <f t="shared" si="1216"/>
        <v>-0.23333333333333334</v>
      </c>
      <c r="H1119" s="42">
        <f t="shared" si="1217"/>
        <v>-0.36666666666666664</v>
      </c>
      <c r="I1119" s="42">
        <f t="shared" si="1218"/>
        <v>-0.43333333333333335</v>
      </c>
      <c r="J1119" s="42">
        <f t="shared" si="1219"/>
        <v>-0.56666666666666665</v>
      </c>
      <c r="K1119" s="42">
        <f t="shared" si="1220"/>
        <v>-0.6333333333333333</v>
      </c>
      <c r="L1119" s="42">
        <f t="shared" si="1221"/>
        <v>-0.76666666666666672</v>
      </c>
      <c r="M1119" s="42">
        <f t="shared" si="1222"/>
        <v>-0.96666666666666667</v>
      </c>
      <c r="O1119" s="43" t="str">
        <f t="shared" si="1212"/>
        <v/>
      </c>
    </row>
    <row r="1120" spans="1:15" x14ac:dyDescent="0.45">
      <c r="D1120" s="27">
        <f t="shared" si="1213"/>
        <v>0</v>
      </c>
      <c r="E1120" s="28">
        <f t="shared" si="1214"/>
        <v>0</v>
      </c>
      <c r="F1120" s="42">
        <f t="shared" si="1215"/>
        <v>-3.3333333333333333E-2</v>
      </c>
      <c r="G1120" s="42">
        <f t="shared" si="1216"/>
        <v>-0.23333333333333334</v>
      </c>
      <c r="H1120" s="42">
        <f t="shared" si="1217"/>
        <v>-0.36666666666666664</v>
      </c>
      <c r="I1120" s="42">
        <f t="shared" si="1218"/>
        <v>-0.43333333333333335</v>
      </c>
      <c r="J1120" s="42">
        <f t="shared" si="1219"/>
        <v>-0.56666666666666665</v>
      </c>
      <c r="K1120" s="42">
        <f t="shared" si="1220"/>
        <v>-0.6333333333333333</v>
      </c>
      <c r="L1120" s="42">
        <f t="shared" si="1221"/>
        <v>-0.76666666666666672</v>
      </c>
      <c r="M1120" s="42">
        <f t="shared" si="1222"/>
        <v>-0.96666666666666667</v>
      </c>
      <c r="O1120" s="43" t="str">
        <f t="shared" si="1212"/>
        <v/>
      </c>
    </row>
    <row r="1121" spans="1:15" x14ac:dyDescent="0.45">
      <c r="D1121" s="27">
        <f t="shared" si="1213"/>
        <v>0</v>
      </c>
      <c r="E1121" s="28">
        <f t="shared" si="1214"/>
        <v>0</v>
      </c>
      <c r="F1121" s="42">
        <f t="shared" si="1215"/>
        <v>-3.3333333333333333E-2</v>
      </c>
      <c r="G1121" s="42">
        <f t="shared" si="1216"/>
        <v>-0.23333333333333334</v>
      </c>
      <c r="H1121" s="42">
        <f t="shared" si="1217"/>
        <v>-0.36666666666666664</v>
      </c>
      <c r="I1121" s="42">
        <f t="shared" si="1218"/>
        <v>-0.43333333333333335</v>
      </c>
      <c r="J1121" s="42">
        <f t="shared" si="1219"/>
        <v>-0.56666666666666665</v>
      </c>
      <c r="K1121" s="42">
        <f t="shared" si="1220"/>
        <v>-0.6333333333333333</v>
      </c>
      <c r="L1121" s="42">
        <f t="shared" si="1221"/>
        <v>-0.76666666666666672</v>
      </c>
      <c r="M1121" s="42">
        <f t="shared" si="1222"/>
        <v>-0.96666666666666667</v>
      </c>
      <c r="O1121" s="43" t="str">
        <f t="shared" si="1212"/>
        <v/>
      </c>
    </row>
    <row r="1122" spans="1:15" x14ac:dyDescent="0.45">
      <c r="D1122" s="27">
        <f t="shared" si="1213"/>
        <v>0</v>
      </c>
      <c r="E1122" s="28">
        <f t="shared" si="1214"/>
        <v>0</v>
      </c>
      <c r="F1122" s="42">
        <f t="shared" si="1215"/>
        <v>-3.3333333333333333E-2</v>
      </c>
      <c r="G1122" s="42">
        <f t="shared" si="1216"/>
        <v>-0.23333333333333334</v>
      </c>
      <c r="H1122" s="42">
        <f t="shared" si="1217"/>
        <v>-0.36666666666666664</v>
      </c>
      <c r="I1122" s="42">
        <f t="shared" si="1218"/>
        <v>-0.43333333333333335</v>
      </c>
      <c r="J1122" s="42">
        <f t="shared" si="1219"/>
        <v>-0.56666666666666665</v>
      </c>
      <c r="K1122" s="42">
        <f t="shared" si="1220"/>
        <v>-0.6333333333333333</v>
      </c>
      <c r="L1122" s="42">
        <f t="shared" si="1221"/>
        <v>-0.76666666666666672</v>
      </c>
      <c r="M1122" s="42">
        <f t="shared" si="1222"/>
        <v>-0.96666666666666667</v>
      </c>
      <c r="O1122" s="43" t="str">
        <f t="shared" si="1212"/>
        <v/>
      </c>
    </row>
    <row r="1123" spans="1:15" x14ac:dyDescent="0.45">
      <c r="D1123" s="27">
        <f t="shared" si="1213"/>
        <v>0</v>
      </c>
      <c r="E1123" s="28">
        <f t="shared" si="1214"/>
        <v>0</v>
      </c>
      <c r="F1123" s="42">
        <f t="shared" si="1215"/>
        <v>-3.3333333333333333E-2</v>
      </c>
      <c r="G1123" s="42">
        <f t="shared" si="1216"/>
        <v>-0.23333333333333334</v>
      </c>
      <c r="H1123" s="42">
        <f t="shared" si="1217"/>
        <v>-0.36666666666666664</v>
      </c>
      <c r="I1123" s="42">
        <f t="shared" si="1218"/>
        <v>-0.43333333333333335</v>
      </c>
      <c r="J1123" s="42">
        <f t="shared" si="1219"/>
        <v>-0.56666666666666665</v>
      </c>
      <c r="K1123" s="42">
        <f t="shared" si="1220"/>
        <v>-0.6333333333333333</v>
      </c>
      <c r="L1123" s="42">
        <f t="shared" si="1221"/>
        <v>-0.76666666666666672</v>
      </c>
      <c r="M1123" s="42">
        <f t="shared" si="1222"/>
        <v>-0.96666666666666667</v>
      </c>
      <c r="O1123" s="43" t="str">
        <f t="shared" si="1212"/>
        <v/>
      </c>
    </row>
    <row r="1124" spans="1:15" x14ac:dyDescent="0.45">
      <c r="D1124" s="27">
        <f t="shared" si="1213"/>
        <v>0</v>
      </c>
      <c r="E1124" s="28">
        <f t="shared" si="1214"/>
        <v>0</v>
      </c>
      <c r="F1124" s="42">
        <f t="shared" si="1215"/>
        <v>-3.3333333333333333E-2</v>
      </c>
      <c r="G1124" s="42">
        <f t="shared" si="1216"/>
        <v>-0.23333333333333334</v>
      </c>
      <c r="H1124" s="42">
        <f t="shared" si="1217"/>
        <v>-0.36666666666666664</v>
      </c>
      <c r="I1124" s="42">
        <f t="shared" si="1218"/>
        <v>-0.43333333333333335</v>
      </c>
      <c r="J1124" s="42">
        <f t="shared" si="1219"/>
        <v>-0.56666666666666665</v>
      </c>
      <c r="K1124" s="42">
        <f t="shared" si="1220"/>
        <v>-0.6333333333333333</v>
      </c>
      <c r="L1124" s="42">
        <f t="shared" si="1221"/>
        <v>-0.76666666666666672</v>
      </c>
      <c r="M1124" s="42">
        <f t="shared" si="1222"/>
        <v>-0.96666666666666667</v>
      </c>
      <c r="O1124" s="43" t="str">
        <f t="shared" si="1212"/>
        <v/>
      </c>
    </row>
    <row r="1125" spans="1:15" ht="19.2" thickBot="1" x14ac:dyDescent="0.5">
      <c r="F1125" s="42"/>
      <c r="G1125" s="42"/>
      <c r="H1125" s="42"/>
      <c r="I1125" s="42"/>
      <c r="J1125" s="42"/>
      <c r="K1125" s="42"/>
      <c r="L1125" s="42"/>
      <c r="M1125" s="42"/>
    </row>
    <row r="1126" spans="1:15" ht="19.2" thickBot="1" x14ac:dyDescent="0.5">
      <c r="C1126" s="44"/>
      <c r="E1126" s="34">
        <f>E1107</f>
        <v>0</v>
      </c>
      <c r="F1126" s="45">
        <v>1</v>
      </c>
      <c r="G1126" s="46">
        <v>7</v>
      </c>
      <c r="H1126" s="46">
        <v>11</v>
      </c>
      <c r="I1126" s="46">
        <v>13</v>
      </c>
      <c r="J1126" s="46">
        <v>17</v>
      </c>
      <c r="K1126" s="46">
        <v>19</v>
      </c>
      <c r="L1126" s="46">
        <v>23</v>
      </c>
      <c r="M1126" s="47">
        <v>29</v>
      </c>
      <c r="O1126" s="27" t="s">
        <v>2</v>
      </c>
    </row>
    <row r="1127" spans="1:15" x14ac:dyDescent="0.45">
      <c r="A1127" s="29">
        <f>A1117+1</f>
        <v>112</v>
      </c>
      <c r="D1127" s="27">
        <f>C1117</f>
        <v>0</v>
      </c>
      <c r="E1127" s="28">
        <f>D1127*$E$6</f>
        <v>0</v>
      </c>
      <c r="F1127" s="42">
        <f>(E1127-1)/30</f>
        <v>-3.3333333333333333E-2</v>
      </c>
      <c r="G1127" s="42">
        <f>($E1127-7)/30</f>
        <v>-0.23333333333333334</v>
      </c>
      <c r="H1127" s="42">
        <f>($E1127-11)/30</f>
        <v>-0.36666666666666664</v>
      </c>
      <c r="I1127" s="42">
        <f>($E1127-13)/30</f>
        <v>-0.43333333333333335</v>
      </c>
      <c r="J1127" s="42">
        <f>($E1127-17)/30</f>
        <v>-0.56666666666666665</v>
      </c>
      <c r="K1127" s="42">
        <f>($E1127-19)/30</f>
        <v>-0.6333333333333333</v>
      </c>
      <c r="L1127" s="42">
        <f>($E1127-23)/30</f>
        <v>-0.76666666666666672</v>
      </c>
      <c r="M1127" s="42">
        <f>($E1127-29)/30</f>
        <v>-0.96666666666666667</v>
      </c>
      <c r="O1127" s="43" t="str">
        <f t="shared" ref="O1127:O1134" si="1223">FactorNumber(E1127)</f>
        <v/>
      </c>
    </row>
    <row r="1128" spans="1:15" x14ac:dyDescent="0.45">
      <c r="D1128" s="27">
        <f t="shared" ref="D1128:D1134" si="1224">C1118</f>
        <v>0</v>
      </c>
      <c r="E1128" s="28">
        <f t="shared" ref="E1128:E1134" si="1225">D1128*$E$6</f>
        <v>0</v>
      </c>
      <c r="F1128" s="42">
        <f t="shared" ref="F1128:F1134" si="1226">(E1128-1)/30</f>
        <v>-3.3333333333333333E-2</v>
      </c>
      <c r="G1128" s="42">
        <f t="shared" ref="G1128:G1134" si="1227">($E1128-7)/30</f>
        <v>-0.23333333333333334</v>
      </c>
      <c r="H1128" s="42">
        <f t="shared" ref="H1128:H1134" si="1228">($E1128-11)/30</f>
        <v>-0.36666666666666664</v>
      </c>
      <c r="I1128" s="42">
        <f t="shared" ref="I1128:I1134" si="1229">($E1128-13)/30</f>
        <v>-0.43333333333333335</v>
      </c>
      <c r="J1128" s="42">
        <f t="shared" ref="J1128:J1134" si="1230">($E1128-17)/30</f>
        <v>-0.56666666666666665</v>
      </c>
      <c r="K1128" s="42">
        <f t="shared" ref="K1128:K1134" si="1231">($E1128-19)/30</f>
        <v>-0.6333333333333333</v>
      </c>
      <c r="L1128" s="42">
        <f t="shared" ref="L1128:L1134" si="1232">($E1128-23)/30</f>
        <v>-0.76666666666666672</v>
      </c>
      <c r="M1128" s="42">
        <f t="shared" ref="M1128:M1134" si="1233">($E1128-29)/30</f>
        <v>-0.96666666666666667</v>
      </c>
      <c r="O1128" s="43" t="str">
        <f t="shared" si="1223"/>
        <v/>
      </c>
    </row>
    <row r="1129" spans="1:15" x14ac:dyDescent="0.45">
      <c r="D1129" s="27">
        <f t="shared" si="1224"/>
        <v>0</v>
      </c>
      <c r="E1129" s="28">
        <f t="shared" si="1225"/>
        <v>0</v>
      </c>
      <c r="F1129" s="42">
        <f t="shared" si="1226"/>
        <v>-3.3333333333333333E-2</v>
      </c>
      <c r="G1129" s="42">
        <f t="shared" si="1227"/>
        <v>-0.23333333333333334</v>
      </c>
      <c r="H1129" s="42">
        <f t="shared" si="1228"/>
        <v>-0.36666666666666664</v>
      </c>
      <c r="I1129" s="42">
        <f t="shared" si="1229"/>
        <v>-0.43333333333333335</v>
      </c>
      <c r="J1129" s="42">
        <f t="shared" si="1230"/>
        <v>-0.56666666666666665</v>
      </c>
      <c r="K1129" s="42">
        <f t="shared" si="1231"/>
        <v>-0.6333333333333333</v>
      </c>
      <c r="L1129" s="42">
        <f t="shared" si="1232"/>
        <v>-0.76666666666666672</v>
      </c>
      <c r="M1129" s="42">
        <f t="shared" si="1233"/>
        <v>-0.96666666666666667</v>
      </c>
      <c r="O1129" s="43" t="str">
        <f t="shared" si="1223"/>
        <v/>
      </c>
    </row>
    <row r="1130" spans="1:15" x14ac:dyDescent="0.45">
      <c r="D1130" s="27">
        <f t="shared" si="1224"/>
        <v>0</v>
      </c>
      <c r="E1130" s="28">
        <f t="shared" si="1225"/>
        <v>0</v>
      </c>
      <c r="F1130" s="42">
        <f t="shared" si="1226"/>
        <v>-3.3333333333333333E-2</v>
      </c>
      <c r="G1130" s="42">
        <f t="shared" si="1227"/>
        <v>-0.23333333333333334</v>
      </c>
      <c r="H1130" s="42">
        <f t="shared" si="1228"/>
        <v>-0.36666666666666664</v>
      </c>
      <c r="I1130" s="42">
        <f t="shared" si="1229"/>
        <v>-0.43333333333333335</v>
      </c>
      <c r="J1130" s="42">
        <f t="shared" si="1230"/>
        <v>-0.56666666666666665</v>
      </c>
      <c r="K1130" s="42">
        <f t="shared" si="1231"/>
        <v>-0.6333333333333333</v>
      </c>
      <c r="L1130" s="42">
        <f t="shared" si="1232"/>
        <v>-0.76666666666666672</v>
      </c>
      <c r="M1130" s="42">
        <f t="shared" si="1233"/>
        <v>-0.96666666666666667</v>
      </c>
      <c r="O1130" s="43" t="str">
        <f t="shared" si="1223"/>
        <v/>
      </c>
    </row>
    <row r="1131" spans="1:15" x14ac:dyDescent="0.45">
      <c r="D1131" s="27">
        <f t="shared" si="1224"/>
        <v>0</v>
      </c>
      <c r="E1131" s="28">
        <f t="shared" si="1225"/>
        <v>0</v>
      </c>
      <c r="F1131" s="42">
        <f t="shared" si="1226"/>
        <v>-3.3333333333333333E-2</v>
      </c>
      <c r="G1131" s="42">
        <f t="shared" si="1227"/>
        <v>-0.23333333333333334</v>
      </c>
      <c r="H1131" s="42">
        <f t="shared" si="1228"/>
        <v>-0.36666666666666664</v>
      </c>
      <c r="I1131" s="42">
        <f t="shared" si="1229"/>
        <v>-0.43333333333333335</v>
      </c>
      <c r="J1131" s="42">
        <f t="shared" si="1230"/>
        <v>-0.56666666666666665</v>
      </c>
      <c r="K1131" s="42">
        <f t="shared" si="1231"/>
        <v>-0.6333333333333333</v>
      </c>
      <c r="L1131" s="42">
        <f t="shared" si="1232"/>
        <v>-0.76666666666666672</v>
      </c>
      <c r="M1131" s="42">
        <f t="shared" si="1233"/>
        <v>-0.96666666666666667</v>
      </c>
      <c r="O1131" s="43" t="str">
        <f t="shared" si="1223"/>
        <v/>
      </c>
    </row>
    <row r="1132" spans="1:15" x14ac:dyDescent="0.45">
      <c r="D1132" s="27">
        <f t="shared" si="1224"/>
        <v>0</v>
      </c>
      <c r="E1132" s="28">
        <f t="shared" si="1225"/>
        <v>0</v>
      </c>
      <c r="F1132" s="42">
        <f t="shared" si="1226"/>
        <v>-3.3333333333333333E-2</v>
      </c>
      <c r="G1132" s="42">
        <f t="shared" si="1227"/>
        <v>-0.23333333333333334</v>
      </c>
      <c r="H1132" s="42">
        <f t="shared" si="1228"/>
        <v>-0.36666666666666664</v>
      </c>
      <c r="I1132" s="42">
        <f t="shared" si="1229"/>
        <v>-0.43333333333333335</v>
      </c>
      <c r="J1132" s="42">
        <f t="shared" si="1230"/>
        <v>-0.56666666666666665</v>
      </c>
      <c r="K1132" s="42">
        <f t="shared" si="1231"/>
        <v>-0.6333333333333333</v>
      </c>
      <c r="L1132" s="42">
        <f t="shared" si="1232"/>
        <v>-0.76666666666666672</v>
      </c>
      <c r="M1132" s="42">
        <f t="shared" si="1233"/>
        <v>-0.96666666666666667</v>
      </c>
      <c r="O1132" s="43" t="str">
        <f t="shared" si="1223"/>
        <v/>
      </c>
    </row>
    <row r="1133" spans="1:15" x14ac:dyDescent="0.45">
      <c r="D1133" s="27">
        <f t="shared" si="1224"/>
        <v>0</v>
      </c>
      <c r="E1133" s="28">
        <f t="shared" si="1225"/>
        <v>0</v>
      </c>
      <c r="F1133" s="42">
        <f t="shared" si="1226"/>
        <v>-3.3333333333333333E-2</v>
      </c>
      <c r="G1133" s="42">
        <f t="shared" si="1227"/>
        <v>-0.23333333333333334</v>
      </c>
      <c r="H1133" s="42">
        <f t="shared" si="1228"/>
        <v>-0.36666666666666664</v>
      </c>
      <c r="I1133" s="42">
        <f t="shared" si="1229"/>
        <v>-0.43333333333333335</v>
      </c>
      <c r="J1133" s="42">
        <f t="shared" si="1230"/>
        <v>-0.56666666666666665</v>
      </c>
      <c r="K1133" s="42">
        <f t="shared" si="1231"/>
        <v>-0.6333333333333333</v>
      </c>
      <c r="L1133" s="42">
        <f t="shared" si="1232"/>
        <v>-0.76666666666666672</v>
      </c>
      <c r="M1133" s="42">
        <f t="shared" si="1233"/>
        <v>-0.96666666666666667</v>
      </c>
      <c r="O1133" s="43" t="str">
        <f t="shared" si="1223"/>
        <v/>
      </c>
    </row>
    <row r="1134" spans="1:15" x14ac:dyDescent="0.45">
      <c r="D1134" s="27">
        <f t="shared" si="1224"/>
        <v>0</v>
      </c>
      <c r="E1134" s="28">
        <f t="shared" si="1225"/>
        <v>0</v>
      </c>
      <c r="F1134" s="42">
        <f t="shared" si="1226"/>
        <v>-3.3333333333333333E-2</v>
      </c>
      <c r="G1134" s="42">
        <f t="shared" si="1227"/>
        <v>-0.23333333333333334</v>
      </c>
      <c r="H1134" s="42">
        <f t="shared" si="1228"/>
        <v>-0.36666666666666664</v>
      </c>
      <c r="I1134" s="42">
        <f t="shared" si="1229"/>
        <v>-0.43333333333333335</v>
      </c>
      <c r="J1134" s="42">
        <f t="shared" si="1230"/>
        <v>-0.56666666666666665</v>
      </c>
      <c r="K1134" s="42">
        <f t="shared" si="1231"/>
        <v>-0.6333333333333333</v>
      </c>
      <c r="L1134" s="42">
        <f t="shared" si="1232"/>
        <v>-0.76666666666666672</v>
      </c>
      <c r="M1134" s="42">
        <f t="shared" si="1233"/>
        <v>-0.96666666666666667</v>
      </c>
      <c r="O1134" s="43" t="str">
        <f t="shared" si="1223"/>
        <v/>
      </c>
    </row>
    <row r="1135" spans="1:15" ht="19.2" thickBot="1" x14ac:dyDescent="0.5">
      <c r="F1135" s="42"/>
      <c r="G1135" s="42"/>
      <c r="H1135" s="42"/>
      <c r="I1135" s="42"/>
      <c r="J1135" s="42"/>
      <c r="K1135" s="42"/>
      <c r="L1135" s="42"/>
      <c r="M1135" s="42"/>
    </row>
    <row r="1136" spans="1:15" ht="19.2" thickBot="1" x14ac:dyDescent="0.5">
      <c r="C1136" s="44"/>
      <c r="E1136" s="34">
        <f>E1117</f>
        <v>0</v>
      </c>
      <c r="F1136" s="45">
        <v>1</v>
      </c>
      <c r="G1136" s="46">
        <v>7</v>
      </c>
      <c r="H1136" s="46">
        <v>11</v>
      </c>
      <c r="I1136" s="46">
        <v>13</v>
      </c>
      <c r="J1136" s="46">
        <v>17</v>
      </c>
      <c r="K1136" s="46">
        <v>19</v>
      </c>
      <c r="L1136" s="46">
        <v>23</v>
      </c>
      <c r="M1136" s="47">
        <v>29</v>
      </c>
      <c r="O1136" s="27" t="s">
        <v>2</v>
      </c>
    </row>
    <row r="1137" spans="1:15" x14ac:dyDescent="0.45">
      <c r="A1137" s="29">
        <f>A1127+1</f>
        <v>113</v>
      </c>
      <c r="D1137" s="27">
        <f>C1127</f>
        <v>0</v>
      </c>
      <c r="E1137" s="28">
        <f>D1137*$E$6</f>
        <v>0</v>
      </c>
      <c r="F1137" s="42">
        <f>(E1137-1)/30</f>
        <v>-3.3333333333333333E-2</v>
      </c>
      <c r="G1137" s="42">
        <f>($E1137-7)/30</f>
        <v>-0.23333333333333334</v>
      </c>
      <c r="H1137" s="42">
        <f>($E1137-11)/30</f>
        <v>-0.36666666666666664</v>
      </c>
      <c r="I1137" s="42">
        <f>($E1137-13)/30</f>
        <v>-0.43333333333333335</v>
      </c>
      <c r="J1137" s="42">
        <f>($E1137-17)/30</f>
        <v>-0.56666666666666665</v>
      </c>
      <c r="K1137" s="42">
        <f>($E1137-19)/30</f>
        <v>-0.6333333333333333</v>
      </c>
      <c r="L1137" s="42">
        <f>($E1137-23)/30</f>
        <v>-0.76666666666666672</v>
      </c>
      <c r="M1137" s="42">
        <f>($E1137-29)/30</f>
        <v>-0.96666666666666667</v>
      </c>
      <c r="O1137" s="43" t="str">
        <f t="shared" ref="O1137:O1144" si="1234">FactorNumber(E1137)</f>
        <v/>
      </c>
    </row>
    <row r="1138" spans="1:15" x14ac:dyDescent="0.45">
      <c r="D1138" s="27">
        <f t="shared" ref="D1138:D1144" si="1235">C1128</f>
        <v>0</v>
      </c>
      <c r="E1138" s="28">
        <f t="shared" ref="E1138:E1144" si="1236">D1138*$E$6</f>
        <v>0</v>
      </c>
      <c r="F1138" s="42">
        <f t="shared" ref="F1138:F1144" si="1237">(E1138-1)/30</f>
        <v>-3.3333333333333333E-2</v>
      </c>
      <c r="G1138" s="42">
        <f t="shared" ref="G1138:G1144" si="1238">($E1138-7)/30</f>
        <v>-0.23333333333333334</v>
      </c>
      <c r="H1138" s="42">
        <f t="shared" ref="H1138:H1144" si="1239">($E1138-11)/30</f>
        <v>-0.36666666666666664</v>
      </c>
      <c r="I1138" s="42">
        <f t="shared" ref="I1138:I1144" si="1240">($E1138-13)/30</f>
        <v>-0.43333333333333335</v>
      </c>
      <c r="J1138" s="42">
        <f t="shared" ref="J1138:J1144" si="1241">($E1138-17)/30</f>
        <v>-0.56666666666666665</v>
      </c>
      <c r="K1138" s="42">
        <f t="shared" ref="K1138:K1144" si="1242">($E1138-19)/30</f>
        <v>-0.6333333333333333</v>
      </c>
      <c r="L1138" s="42">
        <f t="shared" ref="L1138:L1144" si="1243">($E1138-23)/30</f>
        <v>-0.76666666666666672</v>
      </c>
      <c r="M1138" s="42">
        <f t="shared" ref="M1138:M1144" si="1244">($E1138-29)/30</f>
        <v>-0.96666666666666667</v>
      </c>
      <c r="O1138" s="43" t="str">
        <f t="shared" si="1234"/>
        <v/>
      </c>
    </row>
    <row r="1139" spans="1:15" x14ac:dyDescent="0.45">
      <c r="D1139" s="27">
        <f t="shared" si="1235"/>
        <v>0</v>
      </c>
      <c r="E1139" s="28">
        <f t="shared" si="1236"/>
        <v>0</v>
      </c>
      <c r="F1139" s="42">
        <f t="shared" si="1237"/>
        <v>-3.3333333333333333E-2</v>
      </c>
      <c r="G1139" s="42">
        <f t="shared" si="1238"/>
        <v>-0.23333333333333334</v>
      </c>
      <c r="H1139" s="42">
        <f t="shared" si="1239"/>
        <v>-0.36666666666666664</v>
      </c>
      <c r="I1139" s="42">
        <f t="shared" si="1240"/>
        <v>-0.43333333333333335</v>
      </c>
      <c r="J1139" s="42">
        <f t="shared" si="1241"/>
        <v>-0.56666666666666665</v>
      </c>
      <c r="K1139" s="42">
        <f t="shared" si="1242"/>
        <v>-0.6333333333333333</v>
      </c>
      <c r="L1139" s="42">
        <f t="shared" si="1243"/>
        <v>-0.76666666666666672</v>
      </c>
      <c r="M1139" s="42">
        <f t="shared" si="1244"/>
        <v>-0.96666666666666667</v>
      </c>
      <c r="O1139" s="43" t="str">
        <f t="shared" si="1234"/>
        <v/>
      </c>
    </row>
    <row r="1140" spans="1:15" x14ac:dyDescent="0.45">
      <c r="D1140" s="27">
        <f t="shared" si="1235"/>
        <v>0</v>
      </c>
      <c r="E1140" s="28">
        <f t="shared" si="1236"/>
        <v>0</v>
      </c>
      <c r="F1140" s="42">
        <f t="shared" si="1237"/>
        <v>-3.3333333333333333E-2</v>
      </c>
      <c r="G1140" s="42">
        <f t="shared" si="1238"/>
        <v>-0.23333333333333334</v>
      </c>
      <c r="H1140" s="42">
        <f t="shared" si="1239"/>
        <v>-0.36666666666666664</v>
      </c>
      <c r="I1140" s="42">
        <f t="shared" si="1240"/>
        <v>-0.43333333333333335</v>
      </c>
      <c r="J1140" s="42">
        <f t="shared" si="1241"/>
        <v>-0.56666666666666665</v>
      </c>
      <c r="K1140" s="42">
        <f t="shared" si="1242"/>
        <v>-0.6333333333333333</v>
      </c>
      <c r="L1140" s="42">
        <f t="shared" si="1243"/>
        <v>-0.76666666666666672</v>
      </c>
      <c r="M1140" s="42">
        <f t="shared" si="1244"/>
        <v>-0.96666666666666667</v>
      </c>
      <c r="O1140" s="43" t="str">
        <f t="shared" si="1234"/>
        <v/>
      </c>
    </row>
    <row r="1141" spans="1:15" x14ac:dyDescent="0.45">
      <c r="D1141" s="27">
        <f t="shared" si="1235"/>
        <v>0</v>
      </c>
      <c r="E1141" s="28">
        <f t="shared" si="1236"/>
        <v>0</v>
      </c>
      <c r="F1141" s="42">
        <f t="shared" si="1237"/>
        <v>-3.3333333333333333E-2</v>
      </c>
      <c r="G1141" s="42">
        <f t="shared" si="1238"/>
        <v>-0.23333333333333334</v>
      </c>
      <c r="H1141" s="42">
        <f t="shared" si="1239"/>
        <v>-0.36666666666666664</v>
      </c>
      <c r="I1141" s="42">
        <f t="shared" si="1240"/>
        <v>-0.43333333333333335</v>
      </c>
      <c r="J1141" s="42">
        <f t="shared" si="1241"/>
        <v>-0.56666666666666665</v>
      </c>
      <c r="K1141" s="42">
        <f t="shared" si="1242"/>
        <v>-0.6333333333333333</v>
      </c>
      <c r="L1141" s="42">
        <f t="shared" si="1243"/>
        <v>-0.76666666666666672</v>
      </c>
      <c r="M1141" s="42">
        <f t="shared" si="1244"/>
        <v>-0.96666666666666667</v>
      </c>
      <c r="O1141" s="43" t="str">
        <f t="shared" si="1234"/>
        <v/>
      </c>
    </row>
    <row r="1142" spans="1:15" x14ac:dyDescent="0.45">
      <c r="D1142" s="27">
        <f t="shared" si="1235"/>
        <v>0</v>
      </c>
      <c r="E1142" s="28">
        <f t="shared" si="1236"/>
        <v>0</v>
      </c>
      <c r="F1142" s="42">
        <f t="shared" si="1237"/>
        <v>-3.3333333333333333E-2</v>
      </c>
      <c r="G1142" s="42">
        <f t="shared" si="1238"/>
        <v>-0.23333333333333334</v>
      </c>
      <c r="H1142" s="42">
        <f t="shared" si="1239"/>
        <v>-0.36666666666666664</v>
      </c>
      <c r="I1142" s="42">
        <f t="shared" si="1240"/>
        <v>-0.43333333333333335</v>
      </c>
      <c r="J1142" s="42">
        <f t="shared" si="1241"/>
        <v>-0.56666666666666665</v>
      </c>
      <c r="K1142" s="42">
        <f t="shared" si="1242"/>
        <v>-0.6333333333333333</v>
      </c>
      <c r="L1142" s="42">
        <f t="shared" si="1243"/>
        <v>-0.76666666666666672</v>
      </c>
      <c r="M1142" s="42">
        <f t="shared" si="1244"/>
        <v>-0.96666666666666667</v>
      </c>
      <c r="O1142" s="43" t="str">
        <f t="shared" si="1234"/>
        <v/>
      </c>
    </row>
    <row r="1143" spans="1:15" x14ac:dyDescent="0.45">
      <c r="D1143" s="27">
        <f t="shared" si="1235"/>
        <v>0</v>
      </c>
      <c r="E1143" s="28">
        <f t="shared" si="1236"/>
        <v>0</v>
      </c>
      <c r="F1143" s="42">
        <f t="shared" si="1237"/>
        <v>-3.3333333333333333E-2</v>
      </c>
      <c r="G1143" s="42">
        <f t="shared" si="1238"/>
        <v>-0.23333333333333334</v>
      </c>
      <c r="H1143" s="42">
        <f t="shared" si="1239"/>
        <v>-0.36666666666666664</v>
      </c>
      <c r="I1143" s="42">
        <f t="shared" si="1240"/>
        <v>-0.43333333333333335</v>
      </c>
      <c r="J1143" s="42">
        <f t="shared" si="1241"/>
        <v>-0.56666666666666665</v>
      </c>
      <c r="K1143" s="42">
        <f t="shared" si="1242"/>
        <v>-0.6333333333333333</v>
      </c>
      <c r="L1143" s="42">
        <f t="shared" si="1243"/>
        <v>-0.76666666666666672</v>
      </c>
      <c r="M1143" s="42">
        <f t="shared" si="1244"/>
        <v>-0.96666666666666667</v>
      </c>
      <c r="O1143" s="43" t="str">
        <f t="shared" si="1234"/>
        <v/>
      </c>
    </row>
    <row r="1144" spans="1:15" x14ac:dyDescent="0.45">
      <c r="D1144" s="27">
        <f t="shared" si="1235"/>
        <v>0</v>
      </c>
      <c r="E1144" s="28">
        <f t="shared" si="1236"/>
        <v>0</v>
      </c>
      <c r="F1144" s="42">
        <f t="shared" si="1237"/>
        <v>-3.3333333333333333E-2</v>
      </c>
      <c r="G1144" s="42">
        <f t="shared" si="1238"/>
        <v>-0.23333333333333334</v>
      </c>
      <c r="H1144" s="42">
        <f t="shared" si="1239"/>
        <v>-0.36666666666666664</v>
      </c>
      <c r="I1144" s="42">
        <f t="shared" si="1240"/>
        <v>-0.43333333333333335</v>
      </c>
      <c r="J1144" s="42">
        <f t="shared" si="1241"/>
        <v>-0.56666666666666665</v>
      </c>
      <c r="K1144" s="42">
        <f t="shared" si="1242"/>
        <v>-0.6333333333333333</v>
      </c>
      <c r="L1144" s="42">
        <f t="shared" si="1243"/>
        <v>-0.76666666666666672</v>
      </c>
      <c r="M1144" s="42">
        <f t="shared" si="1244"/>
        <v>-0.96666666666666667</v>
      </c>
      <c r="O1144" s="43" t="str">
        <f t="shared" si="1234"/>
        <v/>
      </c>
    </row>
    <row r="1145" spans="1:15" ht="19.2" thickBot="1" x14ac:dyDescent="0.5">
      <c r="F1145" s="42"/>
      <c r="G1145" s="42"/>
      <c r="H1145" s="42"/>
      <c r="I1145" s="42"/>
      <c r="J1145" s="42"/>
      <c r="K1145" s="42"/>
      <c r="L1145" s="42"/>
      <c r="M1145" s="42"/>
    </row>
    <row r="1146" spans="1:15" ht="19.2" thickBot="1" x14ac:dyDescent="0.5">
      <c r="C1146" s="44"/>
      <c r="E1146" s="34">
        <f>E1127</f>
        <v>0</v>
      </c>
      <c r="F1146" s="45">
        <v>1</v>
      </c>
      <c r="G1146" s="46">
        <v>7</v>
      </c>
      <c r="H1146" s="46">
        <v>11</v>
      </c>
      <c r="I1146" s="46">
        <v>13</v>
      </c>
      <c r="J1146" s="46">
        <v>17</v>
      </c>
      <c r="K1146" s="46">
        <v>19</v>
      </c>
      <c r="L1146" s="46">
        <v>23</v>
      </c>
      <c r="M1146" s="47">
        <v>29</v>
      </c>
      <c r="O1146" s="27" t="s">
        <v>2</v>
      </c>
    </row>
    <row r="1147" spans="1:15" x14ac:dyDescent="0.45">
      <c r="A1147" s="29">
        <f>A1137+1</f>
        <v>114</v>
      </c>
      <c r="D1147" s="27">
        <f>C1137</f>
        <v>0</v>
      </c>
      <c r="E1147" s="28">
        <f>D1147*$E$6</f>
        <v>0</v>
      </c>
      <c r="F1147" s="42">
        <f>(E1147-1)/30</f>
        <v>-3.3333333333333333E-2</v>
      </c>
      <c r="G1147" s="42">
        <f>($E1147-7)/30</f>
        <v>-0.23333333333333334</v>
      </c>
      <c r="H1147" s="42">
        <f>($E1147-11)/30</f>
        <v>-0.36666666666666664</v>
      </c>
      <c r="I1147" s="42">
        <f>($E1147-13)/30</f>
        <v>-0.43333333333333335</v>
      </c>
      <c r="J1147" s="42">
        <f>($E1147-17)/30</f>
        <v>-0.56666666666666665</v>
      </c>
      <c r="K1147" s="42">
        <f>($E1147-19)/30</f>
        <v>-0.6333333333333333</v>
      </c>
      <c r="L1147" s="42">
        <f>($E1147-23)/30</f>
        <v>-0.76666666666666672</v>
      </c>
      <c r="M1147" s="42">
        <f>($E1147-29)/30</f>
        <v>-0.96666666666666667</v>
      </c>
      <c r="O1147" s="43" t="str">
        <f t="shared" ref="O1147:O1154" si="1245">FactorNumber(E1147)</f>
        <v/>
      </c>
    </row>
    <row r="1148" spans="1:15" x14ac:dyDescent="0.45">
      <c r="D1148" s="27">
        <f t="shared" ref="D1148:D1154" si="1246">C1138</f>
        <v>0</v>
      </c>
      <c r="E1148" s="28">
        <f t="shared" ref="E1148:E1154" si="1247">D1148*$E$6</f>
        <v>0</v>
      </c>
      <c r="F1148" s="42">
        <f t="shared" ref="F1148:F1154" si="1248">(E1148-1)/30</f>
        <v>-3.3333333333333333E-2</v>
      </c>
      <c r="G1148" s="42">
        <f t="shared" ref="G1148:G1154" si="1249">($E1148-7)/30</f>
        <v>-0.23333333333333334</v>
      </c>
      <c r="H1148" s="42">
        <f t="shared" ref="H1148:H1154" si="1250">($E1148-11)/30</f>
        <v>-0.36666666666666664</v>
      </c>
      <c r="I1148" s="42">
        <f t="shared" ref="I1148:I1154" si="1251">($E1148-13)/30</f>
        <v>-0.43333333333333335</v>
      </c>
      <c r="J1148" s="42">
        <f t="shared" ref="J1148:J1154" si="1252">($E1148-17)/30</f>
        <v>-0.56666666666666665</v>
      </c>
      <c r="K1148" s="42">
        <f t="shared" ref="K1148:K1154" si="1253">($E1148-19)/30</f>
        <v>-0.6333333333333333</v>
      </c>
      <c r="L1148" s="42">
        <f t="shared" ref="L1148:L1154" si="1254">($E1148-23)/30</f>
        <v>-0.76666666666666672</v>
      </c>
      <c r="M1148" s="42">
        <f t="shared" ref="M1148:M1154" si="1255">($E1148-29)/30</f>
        <v>-0.96666666666666667</v>
      </c>
      <c r="O1148" s="43" t="str">
        <f t="shared" si="1245"/>
        <v/>
      </c>
    </row>
    <row r="1149" spans="1:15" x14ac:dyDescent="0.45">
      <c r="D1149" s="27">
        <f t="shared" si="1246"/>
        <v>0</v>
      </c>
      <c r="E1149" s="28">
        <f t="shared" si="1247"/>
        <v>0</v>
      </c>
      <c r="F1149" s="42">
        <f t="shared" si="1248"/>
        <v>-3.3333333333333333E-2</v>
      </c>
      <c r="G1149" s="42">
        <f t="shared" si="1249"/>
        <v>-0.23333333333333334</v>
      </c>
      <c r="H1149" s="42">
        <f t="shared" si="1250"/>
        <v>-0.36666666666666664</v>
      </c>
      <c r="I1149" s="42">
        <f t="shared" si="1251"/>
        <v>-0.43333333333333335</v>
      </c>
      <c r="J1149" s="42">
        <f t="shared" si="1252"/>
        <v>-0.56666666666666665</v>
      </c>
      <c r="K1149" s="42">
        <f t="shared" si="1253"/>
        <v>-0.6333333333333333</v>
      </c>
      <c r="L1149" s="42">
        <f t="shared" si="1254"/>
        <v>-0.76666666666666672</v>
      </c>
      <c r="M1149" s="42">
        <f t="shared" si="1255"/>
        <v>-0.96666666666666667</v>
      </c>
      <c r="O1149" s="43" t="str">
        <f t="shared" si="1245"/>
        <v/>
      </c>
    </row>
    <row r="1150" spans="1:15" x14ac:dyDescent="0.45">
      <c r="D1150" s="27">
        <f t="shared" si="1246"/>
        <v>0</v>
      </c>
      <c r="E1150" s="28">
        <f t="shared" si="1247"/>
        <v>0</v>
      </c>
      <c r="F1150" s="42">
        <f t="shared" si="1248"/>
        <v>-3.3333333333333333E-2</v>
      </c>
      <c r="G1150" s="42">
        <f t="shared" si="1249"/>
        <v>-0.23333333333333334</v>
      </c>
      <c r="H1150" s="42">
        <f t="shared" si="1250"/>
        <v>-0.36666666666666664</v>
      </c>
      <c r="I1150" s="42">
        <f t="shared" si="1251"/>
        <v>-0.43333333333333335</v>
      </c>
      <c r="J1150" s="42">
        <f t="shared" si="1252"/>
        <v>-0.56666666666666665</v>
      </c>
      <c r="K1150" s="42">
        <f t="shared" si="1253"/>
        <v>-0.6333333333333333</v>
      </c>
      <c r="L1150" s="42">
        <f t="shared" si="1254"/>
        <v>-0.76666666666666672</v>
      </c>
      <c r="M1150" s="42">
        <f t="shared" si="1255"/>
        <v>-0.96666666666666667</v>
      </c>
      <c r="O1150" s="43" t="str">
        <f t="shared" si="1245"/>
        <v/>
      </c>
    </row>
    <row r="1151" spans="1:15" x14ac:dyDescent="0.45">
      <c r="D1151" s="27">
        <f t="shared" si="1246"/>
        <v>0</v>
      </c>
      <c r="E1151" s="28">
        <f t="shared" si="1247"/>
        <v>0</v>
      </c>
      <c r="F1151" s="42">
        <f t="shared" si="1248"/>
        <v>-3.3333333333333333E-2</v>
      </c>
      <c r="G1151" s="42">
        <f t="shared" si="1249"/>
        <v>-0.23333333333333334</v>
      </c>
      <c r="H1151" s="42">
        <f t="shared" si="1250"/>
        <v>-0.36666666666666664</v>
      </c>
      <c r="I1151" s="42">
        <f t="shared" si="1251"/>
        <v>-0.43333333333333335</v>
      </c>
      <c r="J1151" s="42">
        <f t="shared" si="1252"/>
        <v>-0.56666666666666665</v>
      </c>
      <c r="K1151" s="42">
        <f t="shared" si="1253"/>
        <v>-0.6333333333333333</v>
      </c>
      <c r="L1151" s="42">
        <f t="shared" si="1254"/>
        <v>-0.76666666666666672</v>
      </c>
      <c r="M1151" s="42">
        <f t="shared" si="1255"/>
        <v>-0.96666666666666667</v>
      </c>
      <c r="O1151" s="43" t="str">
        <f t="shared" si="1245"/>
        <v/>
      </c>
    </row>
    <row r="1152" spans="1:15" x14ac:dyDescent="0.45">
      <c r="D1152" s="27">
        <f t="shared" si="1246"/>
        <v>0</v>
      </c>
      <c r="E1152" s="28">
        <f t="shared" si="1247"/>
        <v>0</v>
      </c>
      <c r="F1152" s="42">
        <f t="shared" si="1248"/>
        <v>-3.3333333333333333E-2</v>
      </c>
      <c r="G1152" s="42">
        <f t="shared" si="1249"/>
        <v>-0.23333333333333334</v>
      </c>
      <c r="H1152" s="42">
        <f t="shared" si="1250"/>
        <v>-0.36666666666666664</v>
      </c>
      <c r="I1152" s="42">
        <f t="shared" si="1251"/>
        <v>-0.43333333333333335</v>
      </c>
      <c r="J1152" s="42">
        <f t="shared" si="1252"/>
        <v>-0.56666666666666665</v>
      </c>
      <c r="K1152" s="42">
        <f t="shared" si="1253"/>
        <v>-0.6333333333333333</v>
      </c>
      <c r="L1152" s="42">
        <f t="shared" si="1254"/>
        <v>-0.76666666666666672</v>
      </c>
      <c r="M1152" s="42">
        <f t="shared" si="1255"/>
        <v>-0.96666666666666667</v>
      </c>
      <c r="O1152" s="43" t="str">
        <f t="shared" si="1245"/>
        <v/>
      </c>
    </row>
    <row r="1153" spans="1:15" x14ac:dyDescent="0.45">
      <c r="D1153" s="27">
        <f t="shared" si="1246"/>
        <v>0</v>
      </c>
      <c r="E1153" s="28">
        <f t="shared" si="1247"/>
        <v>0</v>
      </c>
      <c r="F1153" s="42">
        <f t="shared" si="1248"/>
        <v>-3.3333333333333333E-2</v>
      </c>
      <c r="G1153" s="42">
        <f t="shared" si="1249"/>
        <v>-0.23333333333333334</v>
      </c>
      <c r="H1153" s="42">
        <f t="shared" si="1250"/>
        <v>-0.36666666666666664</v>
      </c>
      <c r="I1153" s="42">
        <f t="shared" si="1251"/>
        <v>-0.43333333333333335</v>
      </c>
      <c r="J1153" s="42">
        <f t="shared" si="1252"/>
        <v>-0.56666666666666665</v>
      </c>
      <c r="K1153" s="42">
        <f t="shared" si="1253"/>
        <v>-0.6333333333333333</v>
      </c>
      <c r="L1153" s="42">
        <f t="shared" si="1254"/>
        <v>-0.76666666666666672</v>
      </c>
      <c r="M1153" s="42">
        <f t="shared" si="1255"/>
        <v>-0.96666666666666667</v>
      </c>
      <c r="O1153" s="43" t="str">
        <f t="shared" si="1245"/>
        <v/>
      </c>
    </row>
    <row r="1154" spans="1:15" x14ac:dyDescent="0.45">
      <c r="D1154" s="27">
        <f t="shared" si="1246"/>
        <v>0</v>
      </c>
      <c r="E1154" s="28">
        <f t="shared" si="1247"/>
        <v>0</v>
      </c>
      <c r="F1154" s="42">
        <f t="shared" si="1248"/>
        <v>-3.3333333333333333E-2</v>
      </c>
      <c r="G1154" s="42">
        <f t="shared" si="1249"/>
        <v>-0.23333333333333334</v>
      </c>
      <c r="H1154" s="42">
        <f t="shared" si="1250"/>
        <v>-0.36666666666666664</v>
      </c>
      <c r="I1154" s="42">
        <f t="shared" si="1251"/>
        <v>-0.43333333333333335</v>
      </c>
      <c r="J1154" s="42">
        <f t="shared" si="1252"/>
        <v>-0.56666666666666665</v>
      </c>
      <c r="K1154" s="42">
        <f t="shared" si="1253"/>
        <v>-0.6333333333333333</v>
      </c>
      <c r="L1154" s="42">
        <f t="shared" si="1254"/>
        <v>-0.76666666666666672</v>
      </c>
      <c r="M1154" s="42">
        <f t="shared" si="1255"/>
        <v>-0.96666666666666667</v>
      </c>
      <c r="O1154" s="43" t="str">
        <f t="shared" si="1245"/>
        <v/>
      </c>
    </row>
    <row r="1155" spans="1:15" ht="19.2" thickBot="1" x14ac:dyDescent="0.5">
      <c r="F1155" s="42"/>
      <c r="G1155" s="42"/>
      <c r="H1155" s="42"/>
      <c r="I1155" s="42"/>
      <c r="J1155" s="42"/>
      <c r="K1155" s="42"/>
      <c r="L1155" s="42"/>
      <c r="M1155" s="42"/>
    </row>
    <row r="1156" spans="1:15" ht="19.2" thickBot="1" x14ac:dyDescent="0.5">
      <c r="C1156" s="44"/>
      <c r="E1156" s="34">
        <f>E1137</f>
        <v>0</v>
      </c>
      <c r="F1156" s="45">
        <v>1</v>
      </c>
      <c r="G1156" s="46">
        <v>7</v>
      </c>
      <c r="H1156" s="46">
        <v>11</v>
      </c>
      <c r="I1156" s="46">
        <v>13</v>
      </c>
      <c r="J1156" s="46">
        <v>17</v>
      </c>
      <c r="K1156" s="46">
        <v>19</v>
      </c>
      <c r="L1156" s="46">
        <v>23</v>
      </c>
      <c r="M1156" s="47">
        <v>29</v>
      </c>
      <c r="O1156" s="27" t="s">
        <v>2</v>
      </c>
    </row>
    <row r="1157" spans="1:15" x14ac:dyDescent="0.45">
      <c r="A1157" s="29">
        <f>A1147+1</f>
        <v>115</v>
      </c>
      <c r="D1157" s="27">
        <f>C1147</f>
        <v>0</v>
      </c>
      <c r="E1157" s="28">
        <f>D1157*$E$6</f>
        <v>0</v>
      </c>
      <c r="F1157" s="42">
        <f>(E1157-1)/30</f>
        <v>-3.3333333333333333E-2</v>
      </c>
      <c r="G1157" s="42">
        <f>($E1157-7)/30</f>
        <v>-0.23333333333333334</v>
      </c>
      <c r="H1157" s="42">
        <f>($E1157-11)/30</f>
        <v>-0.36666666666666664</v>
      </c>
      <c r="I1157" s="42">
        <f>($E1157-13)/30</f>
        <v>-0.43333333333333335</v>
      </c>
      <c r="J1157" s="42">
        <f>($E1157-17)/30</f>
        <v>-0.56666666666666665</v>
      </c>
      <c r="K1157" s="42">
        <f>($E1157-19)/30</f>
        <v>-0.6333333333333333</v>
      </c>
      <c r="L1157" s="42">
        <f>($E1157-23)/30</f>
        <v>-0.76666666666666672</v>
      </c>
      <c r="M1157" s="42">
        <f>($E1157-29)/30</f>
        <v>-0.96666666666666667</v>
      </c>
      <c r="O1157" s="43" t="str">
        <f t="shared" ref="O1157:O1164" si="1256">FactorNumber(E1157)</f>
        <v/>
      </c>
    </row>
    <row r="1158" spans="1:15" x14ac:dyDescent="0.45">
      <c r="D1158" s="27">
        <f t="shared" ref="D1158:D1164" si="1257">C1148</f>
        <v>0</v>
      </c>
      <c r="E1158" s="28">
        <f t="shared" ref="E1158:E1164" si="1258">D1158*$E$6</f>
        <v>0</v>
      </c>
      <c r="F1158" s="42">
        <f t="shared" ref="F1158:F1164" si="1259">(E1158-1)/30</f>
        <v>-3.3333333333333333E-2</v>
      </c>
      <c r="G1158" s="42">
        <f t="shared" ref="G1158:G1164" si="1260">($E1158-7)/30</f>
        <v>-0.23333333333333334</v>
      </c>
      <c r="H1158" s="42">
        <f t="shared" ref="H1158:H1164" si="1261">($E1158-11)/30</f>
        <v>-0.36666666666666664</v>
      </c>
      <c r="I1158" s="42">
        <f t="shared" ref="I1158:I1164" si="1262">($E1158-13)/30</f>
        <v>-0.43333333333333335</v>
      </c>
      <c r="J1158" s="42">
        <f t="shared" ref="J1158:J1164" si="1263">($E1158-17)/30</f>
        <v>-0.56666666666666665</v>
      </c>
      <c r="K1158" s="42">
        <f t="shared" ref="K1158:K1164" si="1264">($E1158-19)/30</f>
        <v>-0.6333333333333333</v>
      </c>
      <c r="L1158" s="42">
        <f t="shared" ref="L1158:L1164" si="1265">($E1158-23)/30</f>
        <v>-0.76666666666666672</v>
      </c>
      <c r="M1158" s="42">
        <f t="shared" ref="M1158:M1164" si="1266">($E1158-29)/30</f>
        <v>-0.96666666666666667</v>
      </c>
      <c r="O1158" s="43" t="str">
        <f t="shared" si="1256"/>
        <v/>
      </c>
    </row>
    <row r="1159" spans="1:15" x14ac:dyDescent="0.45">
      <c r="D1159" s="27">
        <f t="shared" si="1257"/>
        <v>0</v>
      </c>
      <c r="E1159" s="28">
        <f t="shared" si="1258"/>
        <v>0</v>
      </c>
      <c r="F1159" s="42">
        <f t="shared" si="1259"/>
        <v>-3.3333333333333333E-2</v>
      </c>
      <c r="G1159" s="42">
        <f t="shared" si="1260"/>
        <v>-0.23333333333333334</v>
      </c>
      <c r="H1159" s="42">
        <f t="shared" si="1261"/>
        <v>-0.36666666666666664</v>
      </c>
      <c r="I1159" s="42">
        <f t="shared" si="1262"/>
        <v>-0.43333333333333335</v>
      </c>
      <c r="J1159" s="42">
        <f t="shared" si="1263"/>
        <v>-0.56666666666666665</v>
      </c>
      <c r="K1159" s="42">
        <f t="shared" si="1264"/>
        <v>-0.6333333333333333</v>
      </c>
      <c r="L1159" s="42">
        <f t="shared" si="1265"/>
        <v>-0.76666666666666672</v>
      </c>
      <c r="M1159" s="42">
        <f t="shared" si="1266"/>
        <v>-0.96666666666666667</v>
      </c>
      <c r="O1159" s="43" t="str">
        <f t="shared" si="1256"/>
        <v/>
      </c>
    </row>
    <row r="1160" spans="1:15" x14ac:dyDescent="0.45">
      <c r="D1160" s="27">
        <f t="shared" si="1257"/>
        <v>0</v>
      </c>
      <c r="E1160" s="28">
        <f t="shared" si="1258"/>
        <v>0</v>
      </c>
      <c r="F1160" s="42">
        <f t="shared" si="1259"/>
        <v>-3.3333333333333333E-2</v>
      </c>
      <c r="G1160" s="42">
        <f t="shared" si="1260"/>
        <v>-0.23333333333333334</v>
      </c>
      <c r="H1160" s="42">
        <f t="shared" si="1261"/>
        <v>-0.36666666666666664</v>
      </c>
      <c r="I1160" s="42">
        <f t="shared" si="1262"/>
        <v>-0.43333333333333335</v>
      </c>
      <c r="J1160" s="42">
        <f t="shared" si="1263"/>
        <v>-0.56666666666666665</v>
      </c>
      <c r="K1160" s="42">
        <f t="shared" si="1264"/>
        <v>-0.6333333333333333</v>
      </c>
      <c r="L1160" s="42">
        <f t="shared" si="1265"/>
        <v>-0.76666666666666672</v>
      </c>
      <c r="M1160" s="42">
        <f t="shared" si="1266"/>
        <v>-0.96666666666666667</v>
      </c>
      <c r="O1160" s="43" t="str">
        <f t="shared" si="1256"/>
        <v/>
      </c>
    </row>
    <row r="1161" spans="1:15" x14ac:dyDescent="0.45">
      <c r="D1161" s="27">
        <f t="shared" si="1257"/>
        <v>0</v>
      </c>
      <c r="E1161" s="28">
        <f t="shared" si="1258"/>
        <v>0</v>
      </c>
      <c r="F1161" s="42">
        <f t="shared" si="1259"/>
        <v>-3.3333333333333333E-2</v>
      </c>
      <c r="G1161" s="42">
        <f t="shared" si="1260"/>
        <v>-0.23333333333333334</v>
      </c>
      <c r="H1161" s="42">
        <f t="shared" si="1261"/>
        <v>-0.36666666666666664</v>
      </c>
      <c r="I1161" s="42">
        <f t="shared" si="1262"/>
        <v>-0.43333333333333335</v>
      </c>
      <c r="J1161" s="42">
        <f t="shared" si="1263"/>
        <v>-0.56666666666666665</v>
      </c>
      <c r="K1161" s="42">
        <f t="shared" si="1264"/>
        <v>-0.6333333333333333</v>
      </c>
      <c r="L1161" s="42">
        <f t="shared" si="1265"/>
        <v>-0.76666666666666672</v>
      </c>
      <c r="M1161" s="42">
        <f t="shared" si="1266"/>
        <v>-0.96666666666666667</v>
      </c>
      <c r="O1161" s="43" t="str">
        <f t="shared" si="1256"/>
        <v/>
      </c>
    </row>
    <row r="1162" spans="1:15" x14ac:dyDescent="0.45">
      <c r="D1162" s="27">
        <f t="shared" si="1257"/>
        <v>0</v>
      </c>
      <c r="E1162" s="28">
        <f t="shared" si="1258"/>
        <v>0</v>
      </c>
      <c r="F1162" s="42">
        <f t="shared" si="1259"/>
        <v>-3.3333333333333333E-2</v>
      </c>
      <c r="G1162" s="42">
        <f t="shared" si="1260"/>
        <v>-0.23333333333333334</v>
      </c>
      <c r="H1162" s="42">
        <f t="shared" si="1261"/>
        <v>-0.36666666666666664</v>
      </c>
      <c r="I1162" s="42">
        <f t="shared" si="1262"/>
        <v>-0.43333333333333335</v>
      </c>
      <c r="J1162" s="42">
        <f t="shared" si="1263"/>
        <v>-0.56666666666666665</v>
      </c>
      <c r="K1162" s="42">
        <f t="shared" si="1264"/>
        <v>-0.6333333333333333</v>
      </c>
      <c r="L1162" s="42">
        <f t="shared" si="1265"/>
        <v>-0.76666666666666672</v>
      </c>
      <c r="M1162" s="42">
        <f t="shared" si="1266"/>
        <v>-0.96666666666666667</v>
      </c>
      <c r="O1162" s="43" t="str">
        <f t="shared" si="1256"/>
        <v/>
      </c>
    </row>
    <row r="1163" spans="1:15" x14ac:dyDescent="0.45">
      <c r="D1163" s="27">
        <f t="shared" si="1257"/>
        <v>0</v>
      </c>
      <c r="E1163" s="28">
        <f t="shared" si="1258"/>
        <v>0</v>
      </c>
      <c r="F1163" s="42">
        <f t="shared" si="1259"/>
        <v>-3.3333333333333333E-2</v>
      </c>
      <c r="G1163" s="42">
        <f t="shared" si="1260"/>
        <v>-0.23333333333333334</v>
      </c>
      <c r="H1163" s="42">
        <f t="shared" si="1261"/>
        <v>-0.36666666666666664</v>
      </c>
      <c r="I1163" s="42">
        <f t="shared" si="1262"/>
        <v>-0.43333333333333335</v>
      </c>
      <c r="J1163" s="42">
        <f t="shared" si="1263"/>
        <v>-0.56666666666666665</v>
      </c>
      <c r="K1163" s="42">
        <f t="shared" si="1264"/>
        <v>-0.6333333333333333</v>
      </c>
      <c r="L1163" s="42">
        <f t="shared" si="1265"/>
        <v>-0.76666666666666672</v>
      </c>
      <c r="M1163" s="42">
        <f t="shared" si="1266"/>
        <v>-0.96666666666666667</v>
      </c>
      <c r="O1163" s="43" t="str">
        <f t="shared" si="1256"/>
        <v/>
      </c>
    </row>
    <row r="1164" spans="1:15" x14ac:dyDescent="0.45">
      <c r="D1164" s="27">
        <f t="shared" si="1257"/>
        <v>0</v>
      </c>
      <c r="E1164" s="28">
        <f t="shared" si="1258"/>
        <v>0</v>
      </c>
      <c r="F1164" s="42">
        <f t="shared" si="1259"/>
        <v>-3.3333333333333333E-2</v>
      </c>
      <c r="G1164" s="42">
        <f t="shared" si="1260"/>
        <v>-0.23333333333333334</v>
      </c>
      <c r="H1164" s="42">
        <f t="shared" si="1261"/>
        <v>-0.36666666666666664</v>
      </c>
      <c r="I1164" s="42">
        <f t="shared" si="1262"/>
        <v>-0.43333333333333335</v>
      </c>
      <c r="J1164" s="42">
        <f t="shared" si="1263"/>
        <v>-0.56666666666666665</v>
      </c>
      <c r="K1164" s="42">
        <f t="shared" si="1264"/>
        <v>-0.6333333333333333</v>
      </c>
      <c r="L1164" s="42">
        <f t="shared" si="1265"/>
        <v>-0.76666666666666672</v>
      </c>
      <c r="M1164" s="42">
        <f t="shared" si="1266"/>
        <v>-0.96666666666666667</v>
      </c>
      <c r="O1164" s="43" t="str">
        <f t="shared" si="1256"/>
        <v/>
      </c>
    </row>
    <row r="1165" spans="1:15" ht="19.2" thickBot="1" x14ac:dyDescent="0.5">
      <c r="F1165" s="42"/>
      <c r="G1165" s="42"/>
      <c r="H1165" s="42"/>
      <c r="I1165" s="42"/>
      <c r="J1165" s="42"/>
      <c r="K1165" s="42"/>
      <c r="L1165" s="42"/>
      <c r="M1165" s="42"/>
    </row>
    <row r="1166" spans="1:15" ht="19.2" thickBot="1" x14ac:dyDescent="0.5">
      <c r="C1166" s="44"/>
      <c r="E1166" s="34">
        <f>E1147</f>
        <v>0</v>
      </c>
      <c r="F1166" s="45">
        <v>1</v>
      </c>
      <c r="G1166" s="46">
        <v>7</v>
      </c>
      <c r="H1166" s="46">
        <v>11</v>
      </c>
      <c r="I1166" s="46">
        <v>13</v>
      </c>
      <c r="J1166" s="46">
        <v>17</v>
      </c>
      <c r="K1166" s="46">
        <v>19</v>
      </c>
      <c r="L1166" s="46">
        <v>23</v>
      </c>
      <c r="M1166" s="47">
        <v>29</v>
      </c>
      <c r="O1166" s="27" t="s">
        <v>2</v>
      </c>
    </row>
    <row r="1167" spans="1:15" x14ac:dyDescent="0.45">
      <c r="A1167" s="29">
        <f>A1157+1</f>
        <v>116</v>
      </c>
      <c r="D1167" s="27">
        <f>C1157</f>
        <v>0</v>
      </c>
      <c r="E1167" s="28">
        <f>D1167*$E$6</f>
        <v>0</v>
      </c>
      <c r="F1167" s="42">
        <f>(E1167-1)/30</f>
        <v>-3.3333333333333333E-2</v>
      </c>
      <c r="G1167" s="42">
        <f>($E1167-7)/30</f>
        <v>-0.23333333333333334</v>
      </c>
      <c r="H1167" s="42">
        <f>($E1167-11)/30</f>
        <v>-0.36666666666666664</v>
      </c>
      <c r="I1167" s="42">
        <f>($E1167-13)/30</f>
        <v>-0.43333333333333335</v>
      </c>
      <c r="J1167" s="42">
        <f>($E1167-17)/30</f>
        <v>-0.56666666666666665</v>
      </c>
      <c r="K1167" s="42">
        <f>($E1167-19)/30</f>
        <v>-0.6333333333333333</v>
      </c>
      <c r="L1167" s="42">
        <f>($E1167-23)/30</f>
        <v>-0.76666666666666672</v>
      </c>
      <c r="M1167" s="42">
        <f>($E1167-29)/30</f>
        <v>-0.96666666666666667</v>
      </c>
      <c r="O1167" s="43" t="str">
        <f t="shared" ref="O1167:O1174" si="1267">FactorNumber(E1167)</f>
        <v/>
      </c>
    </row>
    <row r="1168" spans="1:15" x14ac:dyDescent="0.45">
      <c r="D1168" s="27">
        <f t="shared" ref="D1168:D1174" si="1268">C1158</f>
        <v>0</v>
      </c>
      <c r="E1168" s="28">
        <f t="shared" ref="E1168:E1174" si="1269">D1168*$E$6</f>
        <v>0</v>
      </c>
      <c r="F1168" s="42">
        <f t="shared" ref="F1168:F1174" si="1270">(E1168-1)/30</f>
        <v>-3.3333333333333333E-2</v>
      </c>
      <c r="G1168" s="42">
        <f t="shared" ref="G1168:G1174" si="1271">($E1168-7)/30</f>
        <v>-0.23333333333333334</v>
      </c>
      <c r="H1168" s="42">
        <f t="shared" ref="H1168:H1174" si="1272">($E1168-11)/30</f>
        <v>-0.36666666666666664</v>
      </c>
      <c r="I1168" s="42">
        <f t="shared" ref="I1168:I1174" si="1273">($E1168-13)/30</f>
        <v>-0.43333333333333335</v>
      </c>
      <c r="J1168" s="42">
        <f t="shared" ref="J1168:J1174" si="1274">($E1168-17)/30</f>
        <v>-0.56666666666666665</v>
      </c>
      <c r="K1168" s="42">
        <f t="shared" ref="K1168:K1174" si="1275">($E1168-19)/30</f>
        <v>-0.6333333333333333</v>
      </c>
      <c r="L1168" s="42">
        <f t="shared" ref="L1168:L1174" si="1276">($E1168-23)/30</f>
        <v>-0.76666666666666672</v>
      </c>
      <c r="M1168" s="42">
        <f t="shared" ref="M1168:M1174" si="1277">($E1168-29)/30</f>
        <v>-0.96666666666666667</v>
      </c>
      <c r="O1168" s="43" t="str">
        <f t="shared" si="1267"/>
        <v/>
      </c>
    </row>
    <row r="1169" spans="1:15" x14ac:dyDescent="0.45">
      <c r="D1169" s="27">
        <f t="shared" si="1268"/>
        <v>0</v>
      </c>
      <c r="E1169" s="28">
        <f t="shared" si="1269"/>
        <v>0</v>
      </c>
      <c r="F1169" s="42">
        <f t="shared" si="1270"/>
        <v>-3.3333333333333333E-2</v>
      </c>
      <c r="G1169" s="42">
        <f t="shared" si="1271"/>
        <v>-0.23333333333333334</v>
      </c>
      <c r="H1169" s="42">
        <f t="shared" si="1272"/>
        <v>-0.36666666666666664</v>
      </c>
      <c r="I1169" s="42">
        <f t="shared" si="1273"/>
        <v>-0.43333333333333335</v>
      </c>
      <c r="J1169" s="42">
        <f t="shared" si="1274"/>
        <v>-0.56666666666666665</v>
      </c>
      <c r="K1169" s="42">
        <f t="shared" si="1275"/>
        <v>-0.6333333333333333</v>
      </c>
      <c r="L1169" s="42">
        <f t="shared" si="1276"/>
        <v>-0.76666666666666672</v>
      </c>
      <c r="M1169" s="42">
        <f t="shared" si="1277"/>
        <v>-0.96666666666666667</v>
      </c>
      <c r="O1169" s="43" t="str">
        <f t="shared" si="1267"/>
        <v/>
      </c>
    </row>
    <row r="1170" spans="1:15" x14ac:dyDescent="0.45">
      <c r="D1170" s="27">
        <f t="shared" si="1268"/>
        <v>0</v>
      </c>
      <c r="E1170" s="28">
        <f t="shared" si="1269"/>
        <v>0</v>
      </c>
      <c r="F1170" s="42">
        <f t="shared" si="1270"/>
        <v>-3.3333333333333333E-2</v>
      </c>
      <c r="G1170" s="42">
        <f t="shared" si="1271"/>
        <v>-0.23333333333333334</v>
      </c>
      <c r="H1170" s="42">
        <f t="shared" si="1272"/>
        <v>-0.36666666666666664</v>
      </c>
      <c r="I1170" s="42">
        <f t="shared" si="1273"/>
        <v>-0.43333333333333335</v>
      </c>
      <c r="J1170" s="42">
        <f t="shared" si="1274"/>
        <v>-0.56666666666666665</v>
      </c>
      <c r="K1170" s="42">
        <f t="shared" si="1275"/>
        <v>-0.6333333333333333</v>
      </c>
      <c r="L1170" s="42">
        <f t="shared" si="1276"/>
        <v>-0.76666666666666672</v>
      </c>
      <c r="M1170" s="42">
        <f t="shared" si="1277"/>
        <v>-0.96666666666666667</v>
      </c>
      <c r="O1170" s="43" t="str">
        <f t="shared" si="1267"/>
        <v/>
      </c>
    </row>
    <row r="1171" spans="1:15" x14ac:dyDescent="0.45">
      <c r="D1171" s="27">
        <f t="shared" si="1268"/>
        <v>0</v>
      </c>
      <c r="E1171" s="28">
        <f t="shared" si="1269"/>
        <v>0</v>
      </c>
      <c r="F1171" s="42">
        <f t="shared" si="1270"/>
        <v>-3.3333333333333333E-2</v>
      </c>
      <c r="G1171" s="42">
        <f t="shared" si="1271"/>
        <v>-0.23333333333333334</v>
      </c>
      <c r="H1171" s="42">
        <f t="shared" si="1272"/>
        <v>-0.36666666666666664</v>
      </c>
      <c r="I1171" s="42">
        <f t="shared" si="1273"/>
        <v>-0.43333333333333335</v>
      </c>
      <c r="J1171" s="42">
        <f t="shared" si="1274"/>
        <v>-0.56666666666666665</v>
      </c>
      <c r="K1171" s="42">
        <f t="shared" si="1275"/>
        <v>-0.6333333333333333</v>
      </c>
      <c r="L1171" s="42">
        <f t="shared" si="1276"/>
        <v>-0.76666666666666672</v>
      </c>
      <c r="M1171" s="42">
        <f t="shared" si="1277"/>
        <v>-0.96666666666666667</v>
      </c>
      <c r="O1171" s="43" t="str">
        <f t="shared" si="1267"/>
        <v/>
      </c>
    </row>
    <row r="1172" spans="1:15" x14ac:dyDescent="0.45">
      <c r="D1172" s="27">
        <f t="shared" si="1268"/>
        <v>0</v>
      </c>
      <c r="E1172" s="28">
        <f t="shared" si="1269"/>
        <v>0</v>
      </c>
      <c r="F1172" s="42">
        <f t="shared" si="1270"/>
        <v>-3.3333333333333333E-2</v>
      </c>
      <c r="G1172" s="42">
        <f t="shared" si="1271"/>
        <v>-0.23333333333333334</v>
      </c>
      <c r="H1172" s="42">
        <f t="shared" si="1272"/>
        <v>-0.36666666666666664</v>
      </c>
      <c r="I1172" s="42">
        <f t="shared" si="1273"/>
        <v>-0.43333333333333335</v>
      </c>
      <c r="J1172" s="42">
        <f t="shared" si="1274"/>
        <v>-0.56666666666666665</v>
      </c>
      <c r="K1172" s="42">
        <f t="shared" si="1275"/>
        <v>-0.6333333333333333</v>
      </c>
      <c r="L1172" s="42">
        <f t="shared" si="1276"/>
        <v>-0.76666666666666672</v>
      </c>
      <c r="M1172" s="42">
        <f t="shared" si="1277"/>
        <v>-0.96666666666666667</v>
      </c>
      <c r="O1172" s="43" t="str">
        <f t="shared" si="1267"/>
        <v/>
      </c>
    </row>
    <row r="1173" spans="1:15" x14ac:dyDescent="0.45">
      <c r="D1173" s="27">
        <f t="shared" si="1268"/>
        <v>0</v>
      </c>
      <c r="E1173" s="28">
        <f t="shared" si="1269"/>
        <v>0</v>
      </c>
      <c r="F1173" s="42">
        <f t="shared" si="1270"/>
        <v>-3.3333333333333333E-2</v>
      </c>
      <c r="G1173" s="42">
        <f t="shared" si="1271"/>
        <v>-0.23333333333333334</v>
      </c>
      <c r="H1173" s="42">
        <f t="shared" si="1272"/>
        <v>-0.36666666666666664</v>
      </c>
      <c r="I1173" s="42">
        <f t="shared" si="1273"/>
        <v>-0.43333333333333335</v>
      </c>
      <c r="J1173" s="42">
        <f t="shared" si="1274"/>
        <v>-0.56666666666666665</v>
      </c>
      <c r="K1173" s="42">
        <f t="shared" si="1275"/>
        <v>-0.6333333333333333</v>
      </c>
      <c r="L1173" s="42">
        <f t="shared" si="1276"/>
        <v>-0.76666666666666672</v>
      </c>
      <c r="M1173" s="42">
        <f t="shared" si="1277"/>
        <v>-0.96666666666666667</v>
      </c>
      <c r="O1173" s="43" t="str">
        <f t="shared" si="1267"/>
        <v/>
      </c>
    </row>
    <row r="1174" spans="1:15" x14ac:dyDescent="0.45">
      <c r="D1174" s="27">
        <f t="shared" si="1268"/>
        <v>0</v>
      </c>
      <c r="E1174" s="28">
        <f t="shared" si="1269"/>
        <v>0</v>
      </c>
      <c r="F1174" s="42">
        <f t="shared" si="1270"/>
        <v>-3.3333333333333333E-2</v>
      </c>
      <c r="G1174" s="42">
        <f t="shared" si="1271"/>
        <v>-0.23333333333333334</v>
      </c>
      <c r="H1174" s="42">
        <f t="shared" si="1272"/>
        <v>-0.36666666666666664</v>
      </c>
      <c r="I1174" s="42">
        <f t="shared" si="1273"/>
        <v>-0.43333333333333335</v>
      </c>
      <c r="J1174" s="42">
        <f t="shared" si="1274"/>
        <v>-0.56666666666666665</v>
      </c>
      <c r="K1174" s="42">
        <f t="shared" si="1275"/>
        <v>-0.6333333333333333</v>
      </c>
      <c r="L1174" s="42">
        <f t="shared" si="1276"/>
        <v>-0.76666666666666672</v>
      </c>
      <c r="M1174" s="42">
        <f t="shared" si="1277"/>
        <v>-0.96666666666666667</v>
      </c>
      <c r="O1174" s="43" t="str">
        <f t="shared" si="1267"/>
        <v/>
      </c>
    </row>
    <row r="1175" spans="1:15" ht="19.2" thickBot="1" x14ac:dyDescent="0.5">
      <c r="F1175" s="42"/>
      <c r="G1175" s="42"/>
      <c r="H1175" s="42"/>
      <c r="I1175" s="42"/>
      <c r="J1175" s="42"/>
      <c r="K1175" s="42"/>
      <c r="L1175" s="42"/>
      <c r="M1175" s="42"/>
    </row>
    <row r="1176" spans="1:15" ht="19.2" thickBot="1" x14ac:dyDescent="0.5">
      <c r="C1176" s="44"/>
      <c r="E1176" s="34">
        <f>E1157</f>
        <v>0</v>
      </c>
      <c r="F1176" s="45">
        <v>1</v>
      </c>
      <c r="G1176" s="46">
        <v>7</v>
      </c>
      <c r="H1176" s="46">
        <v>11</v>
      </c>
      <c r="I1176" s="46">
        <v>13</v>
      </c>
      <c r="J1176" s="46">
        <v>17</v>
      </c>
      <c r="K1176" s="46">
        <v>19</v>
      </c>
      <c r="L1176" s="46">
        <v>23</v>
      </c>
      <c r="M1176" s="47">
        <v>29</v>
      </c>
      <c r="O1176" s="27" t="s">
        <v>2</v>
      </c>
    </row>
    <row r="1177" spans="1:15" x14ac:dyDescent="0.45">
      <c r="A1177" s="29">
        <f>A1167+1</f>
        <v>117</v>
      </c>
      <c r="D1177" s="27">
        <f>C1167</f>
        <v>0</v>
      </c>
      <c r="E1177" s="28">
        <f>D1177*$E$6</f>
        <v>0</v>
      </c>
      <c r="F1177" s="42">
        <f>(E1177-1)/30</f>
        <v>-3.3333333333333333E-2</v>
      </c>
      <c r="G1177" s="42">
        <f>($E1177-7)/30</f>
        <v>-0.23333333333333334</v>
      </c>
      <c r="H1177" s="42">
        <f>($E1177-11)/30</f>
        <v>-0.36666666666666664</v>
      </c>
      <c r="I1177" s="42">
        <f>($E1177-13)/30</f>
        <v>-0.43333333333333335</v>
      </c>
      <c r="J1177" s="42">
        <f>($E1177-17)/30</f>
        <v>-0.56666666666666665</v>
      </c>
      <c r="K1177" s="42">
        <f>($E1177-19)/30</f>
        <v>-0.6333333333333333</v>
      </c>
      <c r="L1177" s="42">
        <f>($E1177-23)/30</f>
        <v>-0.76666666666666672</v>
      </c>
      <c r="M1177" s="42">
        <f>($E1177-29)/30</f>
        <v>-0.96666666666666667</v>
      </c>
      <c r="O1177" s="43" t="str">
        <f t="shared" ref="O1177:O1184" si="1278">FactorNumber(E1177)</f>
        <v/>
      </c>
    </row>
    <row r="1178" spans="1:15" x14ac:dyDescent="0.45">
      <c r="D1178" s="27">
        <f t="shared" ref="D1178:D1184" si="1279">C1168</f>
        <v>0</v>
      </c>
      <c r="E1178" s="28">
        <f t="shared" ref="E1178:E1184" si="1280">D1178*$E$6</f>
        <v>0</v>
      </c>
      <c r="F1178" s="42">
        <f t="shared" ref="F1178:F1184" si="1281">(E1178-1)/30</f>
        <v>-3.3333333333333333E-2</v>
      </c>
      <c r="G1178" s="42">
        <f t="shared" ref="G1178:G1184" si="1282">($E1178-7)/30</f>
        <v>-0.23333333333333334</v>
      </c>
      <c r="H1178" s="42">
        <f t="shared" ref="H1178:H1184" si="1283">($E1178-11)/30</f>
        <v>-0.36666666666666664</v>
      </c>
      <c r="I1178" s="42">
        <f t="shared" ref="I1178:I1184" si="1284">($E1178-13)/30</f>
        <v>-0.43333333333333335</v>
      </c>
      <c r="J1178" s="42">
        <f t="shared" ref="J1178:J1184" si="1285">($E1178-17)/30</f>
        <v>-0.56666666666666665</v>
      </c>
      <c r="K1178" s="42">
        <f t="shared" ref="K1178:K1184" si="1286">($E1178-19)/30</f>
        <v>-0.6333333333333333</v>
      </c>
      <c r="L1178" s="42">
        <f t="shared" ref="L1178:L1184" si="1287">($E1178-23)/30</f>
        <v>-0.76666666666666672</v>
      </c>
      <c r="M1178" s="42">
        <f t="shared" ref="M1178:M1184" si="1288">($E1178-29)/30</f>
        <v>-0.96666666666666667</v>
      </c>
      <c r="O1178" s="43" t="str">
        <f t="shared" si="1278"/>
        <v/>
      </c>
    </row>
    <row r="1179" spans="1:15" x14ac:dyDescent="0.45">
      <c r="D1179" s="27">
        <f t="shared" si="1279"/>
        <v>0</v>
      </c>
      <c r="E1179" s="28">
        <f t="shared" si="1280"/>
        <v>0</v>
      </c>
      <c r="F1179" s="42">
        <f t="shared" si="1281"/>
        <v>-3.3333333333333333E-2</v>
      </c>
      <c r="G1179" s="42">
        <f t="shared" si="1282"/>
        <v>-0.23333333333333334</v>
      </c>
      <c r="H1179" s="42">
        <f t="shared" si="1283"/>
        <v>-0.36666666666666664</v>
      </c>
      <c r="I1179" s="42">
        <f t="shared" si="1284"/>
        <v>-0.43333333333333335</v>
      </c>
      <c r="J1179" s="42">
        <f t="shared" si="1285"/>
        <v>-0.56666666666666665</v>
      </c>
      <c r="K1179" s="42">
        <f t="shared" si="1286"/>
        <v>-0.6333333333333333</v>
      </c>
      <c r="L1179" s="42">
        <f t="shared" si="1287"/>
        <v>-0.76666666666666672</v>
      </c>
      <c r="M1179" s="42">
        <f t="shared" si="1288"/>
        <v>-0.96666666666666667</v>
      </c>
      <c r="O1179" s="43" t="str">
        <f t="shared" si="1278"/>
        <v/>
      </c>
    </row>
    <row r="1180" spans="1:15" x14ac:dyDescent="0.45">
      <c r="D1180" s="27">
        <f t="shared" si="1279"/>
        <v>0</v>
      </c>
      <c r="E1180" s="28">
        <f t="shared" si="1280"/>
        <v>0</v>
      </c>
      <c r="F1180" s="42">
        <f t="shared" si="1281"/>
        <v>-3.3333333333333333E-2</v>
      </c>
      <c r="G1180" s="42">
        <f t="shared" si="1282"/>
        <v>-0.23333333333333334</v>
      </c>
      <c r="H1180" s="42">
        <f t="shared" si="1283"/>
        <v>-0.36666666666666664</v>
      </c>
      <c r="I1180" s="42">
        <f t="shared" si="1284"/>
        <v>-0.43333333333333335</v>
      </c>
      <c r="J1180" s="42">
        <f t="shared" si="1285"/>
        <v>-0.56666666666666665</v>
      </c>
      <c r="K1180" s="42">
        <f t="shared" si="1286"/>
        <v>-0.6333333333333333</v>
      </c>
      <c r="L1180" s="42">
        <f t="shared" si="1287"/>
        <v>-0.76666666666666672</v>
      </c>
      <c r="M1180" s="42">
        <f t="shared" si="1288"/>
        <v>-0.96666666666666667</v>
      </c>
      <c r="O1180" s="43" t="str">
        <f t="shared" si="1278"/>
        <v/>
      </c>
    </row>
    <row r="1181" spans="1:15" x14ac:dyDescent="0.45">
      <c r="D1181" s="27">
        <f t="shared" si="1279"/>
        <v>0</v>
      </c>
      <c r="E1181" s="28">
        <f t="shared" si="1280"/>
        <v>0</v>
      </c>
      <c r="F1181" s="42">
        <f t="shared" si="1281"/>
        <v>-3.3333333333333333E-2</v>
      </c>
      <c r="G1181" s="42">
        <f t="shared" si="1282"/>
        <v>-0.23333333333333334</v>
      </c>
      <c r="H1181" s="42">
        <f t="shared" si="1283"/>
        <v>-0.36666666666666664</v>
      </c>
      <c r="I1181" s="42">
        <f t="shared" si="1284"/>
        <v>-0.43333333333333335</v>
      </c>
      <c r="J1181" s="42">
        <f t="shared" si="1285"/>
        <v>-0.56666666666666665</v>
      </c>
      <c r="K1181" s="42">
        <f t="shared" si="1286"/>
        <v>-0.6333333333333333</v>
      </c>
      <c r="L1181" s="42">
        <f t="shared" si="1287"/>
        <v>-0.76666666666666672</v>
      </c>
      <c r="M1181" s="42">
        <f t="shared" si="1288"/>
        <v>-0.96666666666666667</v>
      </c>
      <c r="O1181" s="43" t="str">
        <f t="shared" si="1278"/>
        <v/>
      </c>
    </row>
    <row r="1182" spans="1:15" x14ac:dyDescent="0.45">
      <c r="D1182" s="27">
        <f t="shared" si="1279"/>
        <v>0</v>
      </c>
      <c r="E1182" s="28">
        <f t="shared" si="1280"/>
        <v>0</v>
      </c>
      <c r="F1182" s="42">
        <f t="shared" si="1281"/>
        <v>-3.3333333333333333E-2</v>
      </c>
      <c r="G1182" s="42">
        <f t="shared" si="1282"/>
        <v>-0.23333333333333334</v>
      </c>
      <c r="H1182" s="42">
        <f t="shared" si="1283"/>
        <v>-0.36666666666666664</v>
      </c>
      <c r="I1182" s="42">
        <f t="shared" si="1284"/>
        <v>-0.43333333333333335</v>
      </c>
      <c r="J1182" s="42">
        <f t="shared" si="1285"/>
        <v>-0.56666666666666665</v>
      </c>
      <c r="K1182" s="42">
        <f t="shared" si="1286"/>
        <v>-0.6333333333333333</v>
      </c>
      <c r="L1182" s="42">
        <f t="shared" si="1287"/>
        <v>-0.76666666666666672</v>
      </c>
      <c r="M1182" s="42">
        <f t="shared" si="1288"/>
        <v>-0.96666666666666667</v>
      </c>
      <c r="O1182" s="43" t="str">
        <f t="shared" si="1278"/>
        <v/>
      </c>
    </row>
    <row r="1183" spans="1:15" x14ac:dyDescent="0.45">
      <c r="D1183" s="27">
        <f t="shared" si="1279"/>
        <v>0</v>
      </c>
      <c r="E1183" s="28">
        <f t="shared" si="1280"/>
        <v>0</v>
      </c>
      <c r="F1183" s="42">
        <f t="shared" si="1281"/>
        <v>-3.3333333333333333E-2</v>
      </c>
      <c r="G1183" s="42">
        <f t="shared" si="1282"/>
        <v>-0.23333333333333334</v>
      </c>
      <c r="H1183" s="42">
        <f t="shared" si="1283"/>
        <v>-0.36666666666666664</v>
      </c>
      <c r="I1183" s="42">
        <f t="shared" si="1284"/>
        <v>-0.43333333333333335</v>
      </c>
      <c r="J1183" s="42">
        <f t="shared" si="1285"/>
        <v>-0.56666666666666665</v>
      </c>
      <c r="K1183" s="42">
        <f t="shared" si="1286"/>
        <v>-0.6333333333333333</v>
      </c>
      <c r="L1183" s="42">
        <f t="shared" si="1287"/>
        <v>-0.76666666666666672</v>
      </c>
      <c r="M1183" s="42">
        <f t="shared" si="1288"/>
        <v>-0.96666666666666667</v>
      </c>
      <c r="O1183" s="43" t="str">
        <f t="shared" si="1278"/>
        <v/>
      </c>
    </row>
    <row r="1184" spans="1:15" x14ac:dyDescent="0.45">
      <c r="D1184" s="27">
        <f t="shared" si="1279"/>
        <v>0</v>
      </c>
      <c r="E1184" s="28">
        <f t="shared" si="1280"/>
        <v>0</v>
      </c>
      <c r="F1184" s="42">
        <f t="shared" si="1281"/>
        <v>-3.3333333333333333E-2</v>
      </c>
      <c r="G1184" s="42">
        <f t="shared" si="1282"/>
        <v>-0.23333333333333334</v>
      </c>
      <c r="H1184" s="42">
        <f t="shared" si="1283"/>
        <v>-0.36666666666666664</v>
      </c>
      <c r="I1184" s="42">
        <f t="shared" si="1284"/>
        <v>-0.43333333333333335</v>
      </c>
      <c r="J1184" s="42">
        <f t="shared" si="1285"/>
        <v>-0.56666666666666665</v>
      </c>
      <c r="K1184" s="42">
        <f t="shared" si="1286"/>
        <v>-0.6333333333333333</v>
      </c>
      <c r="L1184" s="42">
        <f t="shared" si="1287"/>
        <v>-0.76666666666666672</v>
      </c>
      <c r="M1184" s="42">
        <f t="shared" si="1288"/>
        <v>-0.96666666666666667</v>
      </c>
      <c r="O1184" s="43" t="str">
        <f t="shared" si="1278"/>
        <v/>
      </c>
    </row>
    <row r="1185" spans="1:15" ht="19.2" thickBot="1" x14ac:dyDescent="0.5">
      <c r="F1185" s="42"/>
      <c r="G1185" s="42"/>
      <c r="H1185" s="42"/>
      <c r="I1185" s="42"/>
      <c r="J1185" s="42"/>
      <c r="K1185" s="42"/>
      <c r="L1185" s="42"/>
      <c r="M1185" s="42"/>
    </row>
    <row r="1186" spans="1:15" ht="19.2" thickBot="1" x14ac:dyDescent="0.5">
      <c r="C1186" s="44"/>
      <c r="E1186" s="34">
        <f>E1167</f>
        <v>0</v>
      </c>
      <c r="F1186" s="45">
        <v>1</v>
      </c>
      <c r="G1186" s="46">
        <v>7</v>
      </c>
      <c r="H1186" s="46">
        <v>11</v>
      </c>
      <c r="I1186" s="46">
        <v>13</v>
      </c>
      <c r="J1186" s="46">
        <v>17</v>
      </c>
      <c r="K1186" s="46">
        <v>19</v>
      </c>
      <c r="L1186" s="46">
        <v>23</v>
      </c>
      <c r="M1186" s="47">
        <v>29</v>
      </c>
      <c r="O1186" s="27" t="s">
        <v>2</v>
      </c>
    </row>
    <row r="1187" spans="1:15" x14ac:dyDescent="0.45">
      <c r="A1187" s="29">
        <f>A1177+1</f>
        <v>118</v>
      </c>
      <c r="D1187" s="27">
        <f>C1177</f>
        <v>0</v>
      </c>
      <c r="E1187" s="28">
        <f>D1187*$E$6</f>
        <v>0</v>
      </c>
      <c r="F1187" s="42">
        <f>(E1187-1)/30</f>
        <v>-3.3333333333333333E-2</v>
      </c>
      <c r="G1187" s="42">
        <f>($E1187-7)/30</f>
        <v>-0.23333333333333334</v>
      </c>
      <c r="H1187" s="42">
        <f>($E1187-11)/30</f>
        <v>-0.36666666666666664</v>
      </c>
      <c r="I1187" s="42">
        <f>($E1187-13)/30</f>
        <v>-0.43333333333333335</v>
      </c>
      <c r="J1187" s="42">
        <f>($E1187-17)/30</f>
        <v>-0.56666666666666665</v>
      </c>
      <c r="K1187" s="42">
        <f>($E1187-19)/30</f>
        <v>-0.6333333333333333</v>
      </c>
      <c r="L1187" s="42">
        <f>($E1187-23)/30</f>
        <v>-0.76666666666666672</v>
      </c>
      <c r="M1187" s="42">
        <f>($E1187-29)/30</f>
        <v>-0.96666666666666667</v>
      </c>
      <c r="O1187" s="43" t="str">
        <f t="shared" ref="O1187:O1194" si="1289">FactorNumber(E1187)</f>
        <v/>
      </c>
    </row>
    <row r="1188" spans="1:15" x14ac:dyDescent="0.45">
      <c r="D1188" s="27">
        <f t="shared" ref="D1188:D1194" si="1290">C1178</f>
        <v>0</v>
      </c>
      <c r="E1188" s="28">
        <f t="shared" ref="E1188:E1194" si="1291">D1188*$E$6</f>
        <v>0</v>
      </c>
      <c r="F1188" s="42">
        <f t="shared" ref="F1188:F1194" si="1292">(E1188-1)/30</f>
        <v>-3.3333333333333333E-2</v>
      </c>
      <c r="G1188" s="42">
        <f t="shared" ref="G1188:G1194" si="1293">($E1188-7)/30</f>
        <v>-0.23333333333333334</v>
      </c>
      <c r="H1188" s="42">
        <f t="shared" ref="H1188:H1194" si="1294">($E1188-11)/30</f>
        <v>-0.36666666666666664</v>
      </c>
      <c r="I1188" s="42">
        <f t="shared" ref="I1188:I1194" si="1295">($E1188-13)/30</f>
        <v>-0.43333333333333335</v>
      </c>
      <c r="J1188" s="42">
        <f t="shared" ref="J1188:J1194" si="1296">($E1188-17)/30</f>
        <v>-0.56666666666666665</v>
      </c>
      <c r="K1188" s="42">
        <f t="shared" ref="K1188:K1194" si="1297">($E1188-19)/30</f>
        <v>-0.6333333333333333</v>
      </c>
      <c r="L1188" s="42">
        <f t="shared" ref="L1188:L1194" si="1298">($E1188-23)/30</f>
        <v>-0.76666666666666672</v>
      </c>
      <c r="M1188" s="42">
        <f t="shared" ref="M1188:M1194" si="1299">($E1188-29)/30</f>
        <v>-0.96666666666666667</v>
      </c>
      <c r="O1188" s="43" t="str">
        <f t="shared" si="1289"/>
        <v/>
      </c>
    </row>
    <row r="1189" spans="1:15" x14ac:dyDescent="0.45">
      <c r="D1189" s="27">
        <f t="shared" si="1290"/>
        <v>0</v>
      </c>
      <c r="E1189" s="28">
        <f t="shared" si="1291"/>
        <v>0</v>
      </c>
      <c r="F1189" s="42">
        <f t="shared" si="1292"/>
        <v>-3.3333333333333333E-2</v>
      </c>
      <c r="G1189" s="42">
        <f t="shared" si="1293"/>
        <v>-0.23333333333333334</v>
      </c>
      <c r="H1189" s="42">
        <f t="shared" si="1294"/>
        <v>-0.36666666666666664</v>
      </c>
      <c r="I1189" s="42">
        <f t="shared" si="1295"/>
        <v>-0.43333333333333335</v>
      </c>
      <c r="J1189" s="42">
        <f t="shared" si="1296"/>
        <v>-0.56666666666666665</v>
      </c>
      <c r="K1189" s="42">
        <f t="shared" si="1297"/>
        <v>-0.6333333333333333</v>
      </c>
      <c r="L1189" s="42">
        <f t="shared" si="1298"/>
        <v>-0.76666666666666672</v>
      </c>
      <c r="M1189" s="42">
        <f t="shared" si="1299"/>
        <v>-0.96666666666666667</v>
      </c>
      <c r="O1189" s="43" t="str">
        <f t="shared" si="1289"/>
        <v/>
      </c>
    </row>
    <row r="1190" spans="1:15" x14ac:dyDescent="0.45">
      <c r="D1190" s="27">
        <f t="shared" si="1290"/>
        <v>0</v>
      </c>
      <c r="E1190" s="28">
        <f t="shared" si="1291"/>
        <v>0</v>
      </c>
      <c r="F1190" s="42">
        <f t="shared" si="1292"/>
        <v>-3.3333333333333333E-2</v>
      </c>
      <c r="G1190" s="42">
        <f t="shared" si="1293"/>
        <v>-0.23333333333333334</v>
      </c>
      <c r="H1190" s="42">
        <f t="shared" si="1294"/>
        <v>-0.36666666666666664</v>
      </c>
      <c r="I1190" s="42">
        <f t="shared" si="1295"/>
        <v>-0.43333333333333335</v>
      </c>
      <c r="J1190" s="42">
        <f t="shared" si="1296"/>
        <v>-0.56666666666666665</v>
      </c>
      <c r="K1190" s="42">
        <f t="shared" si="1297"/>
        <v>-0.6333333333333333</v>
      </c>
      <c r="L1190" s="42">
        <f t="shared" si="1298"/>
        <v>-0.76666666666666672</v>
      </c>
      <c r="M1190" s="42">
        <f t="shared" si="1299"/>
        <v>-0.96666666666666667</v>
      </c>
      <c r="O1190" s="43" t="str">
        <f t="shared" si="1289"/>
        <v/>
      </c>
    </row>
    <row r="1191" spans="1:15" x14ac:dyDescent="0.45">
      <c r="D1191" s="27">
        <f t="shared" si="1290"/>
        <v>0</v>
      </c>
      <c r="E1191" s="28">
        <f t="shared" si="1291"/>
        <v>0</v>
      </c>
      <c r="F1191" s="42">
        <f t="shared" si="1292"/>
        <v>-3.3333333333333333E-2</v>
      </c>
      <c r="G1191" s="42">
        <f t="shared" si="1293"/>
        <v>-0.23333333333333334</v>
      </c>
      <c r="H1191" s="42">
        <f t="shared" si="1294"/>
        <v>-0.36666666666666664</v>
      </c>
      <c r="I1191" s="42">
        <f t="shared" si="1295"/>
        <v>-0.43333333333333335</v>
      </c>
      <c r="J1191" s="42">
        <f t="shared" si="1296"/>
        <v>-0.56666666666666665</v>
      </c>
      <c r="K1191" s="42">
        <f t="shared" si="1297"/>
        <v>-0.6333333333333333</v>
      </c>
      <c r="L1191" s="42">
        <f t="shared" si="1298"/>
        <v>-0.76666666666666672</v>
      </c>
      <c r="M1191" s="42">
        <f t="shared" si="1299"/>
        <v>-0.96666666666666667</v>
      </c>
      <c r="O1191" s="43" t="str">
        <f t="shared" si="1289"/>
        <v/>
      </c>
    </row>
    <row r="1192" spans="1:15" x14ac:dyDescent="0.45">
      <c r="D1192" s="27">
        <f t="shared" si="1290"/>
        <v>0</v>
      </c>
      <c r="E1192" s="28">
        <f t="shared" si="1291"/>
        <v>0</v>
      </c>
      <c r="F1192" s="42">
        <f t="shared" si="1292"/>
        <v>-3.3333333333333333E-2</v>
      </c>
      <c r="G1192" s="42">
        <f t="shared" si="1293"/>
        <v>-0.23333333333333334</v>
      </c>
      <c r="H1192" s="42">
        <f t="shared" si="1294"/>
        <v>-0.36666666666666664</v>
      </c>
      <c r="I1192" s="42">
        <f t="shared" si="1295"/>
        <v>-0.43333333333333335</v>
      </c>
      <c r="J1192" s="42">
        <f t="shared" si="1296"/>
        <v>-0.56666666666666665</v>
      </c>
      <c r="K1192" s="42">
        <f t="shared" si="1297"/>
        <v>-0.6333333333333333</v>
      </c>
      <c r="L1192" s="42">
        <f t="shared" si="1298"/>
        <v>-0.76666666666666672</v>
      </c>
      <c r="M1192" s="42">
        <f t="shared" si="1299"/>
        <v>-0.96666666666666667</v>
      </c>
      <c r="O1192" s="43" t="str">
        <f t="shared" si="1289"/>
        <v/>
      </c>
    </row>
    <row r="1193" spans="1:15" x14ac:dyDescent="0.45">
      <c r="D1193" s="27">
        <f t="shared" si="1290"/>
        <v>0</v>
      </c>
      <c r="E1193" s="28">
        <f t="shared" si="1291"/>
        <v>0</v>
      </c>
      <c r="F1193" s="42">
        <f t="shared" si="1292"/>
        <v>-3.3333333333333333E-2</v>
      </c>
      <c r="G1193" s="42">
        <f t="shared" si="1293"/>
        <v>-0.23333333333333334</v>
      </c>
      <c r="H1193" s="42">
        <f t="shared" si="1294"/>
        <v>-0.36666666666666664</v>
      </c>
      <c r="I1193" s="42">
        <f t="shared" si="1295"/>
        <v>-0.43333333333333335</v>
      </c>
      <c r="J1193" s="42">
        <f t="shared" si="1296"/>
        <v>-0.56666666666666665</v>
      </c>
      <c r="K1193" s="42">
        <f t="shared" si="1297"/>
        <v>-0.6333333333333333</v>
      </c>
      <c r="L1193" s="42">
        <f t="shared" si="1298"/>
        <v>-0.76666666666666672</v>
      </c>
      <c r="M1193" s="42">
        <f t="shared" si="1299"/>
        <v>-0.96666666666666667</v>
      </c>
      <c r="O1193" s="43" t="str">
        <f t="shared" si="1289"/>
        <v/>
      </c>
    </row>
    <row r="1194" spans="1:15" x14ac:dyDescent="0.45">
      <c r="D1194" s="27">
        <f t="shared" si="1290"/>
        <v>0</v>
      </c>
      <c r="E1194" s="28">
        <f t="shared" si="1291"/>
        <v>0</v>
      </c>
      <c r="F1194" s="42">
        <f t="shared" si="1292"/>
        <v>-3.3333333333333333E-2</v>
      </c>
      <c r="G1194" s="42">
        <f t="shared" si="1293"/>
        <v>-0.23333333333333334</v>
      </c>
      <c r="H1194" s="42">
        <f t="shared" si="1294"/>
        <v>-0.36666666666666664</v>
      </c>
      <c r="I1194" s="42">
        <f t="shared" si="1295"/>
        <v>-0.43333333333333335</v>
      </c>
      <c r="J1194" s="42">
        <f t="shared" si="1296"/>
        <v>-0.56666666666666665</v>
      </c>
      <c r="K1194" s="42">
        <f t="shared" si="1297"/>
        <v>-0.6333333333333333</v>
      </c>
      <c r="L1194" s="42">
        <f t="shared" si="1298"/>
        <v>-0.76666666666666672</v>
      </c>
      <c r="M1194" s="42">
        <f t="shared" si="1299"/>
        <v>-0.96666666666666667</v>
      </c>
      <c r="O1194" s="43" t="str">
        <f t="shared" si="1289"/>
        <v/>
      </c>
    </row>
    <row r="1195" spans="1:15" ht="19.2" thickBot="1" x14ac:dyDescent="0.5">
      <c r="F1195" s="42"/>
      <c r="G1195" s="42"/>
      <c r="H1195" s="42"/>
      <c r="I1195" s="42"/>
      <c r="J1195" s="42"/>
      <c r="K1195" s="42"/>
      <c r="L1195" s="42"/>
      <c r="M1195" s="42"/>
    </row>
    <row r="1196" spans="1:15" ht="19.2" thickBot="1" x14ac:dyDescent="0.5">
      <c r="C1196" s="44"/>
      <c r="E1196" s="34">
        <f>E1177</f>
        <v>0</v>
      </c>
      <c r="F1196" s="45">
        <v>1</v>
      </c>
      <c r="G1196" s="46">
        <v>7</v>
      </c>
      <c r="H1196" s="46">
        <v>11</v>
      </c>
      <c r="I1196" s="46">
        <v>13</v>
      </c>
      <c r="J1196" s="46">
        <v>17</v>
      </c>
      <c r="K1196" s="46">
        <v>19</v>
      </c>
      <c r="L1196" s="46">
        <v>23</v>
      </c>
      <c r="M1196" s="47">
        <v>29</v>
      </c>
      <c r="O1196" s="27" t="s">
        <v>2</v>
      </c>
    </row>
    <row r="1197" spans="1:15" x14ac:dyDescent="0.45">
      <c r="A1197" s="29">
        <f>A1187+1</f>
        <v>119</v>
      </c>
      <c r="D1197" s="27">
        <f>C1187</f>
        <v>0</v>
      </c>
      <c r="E1197" s="28">
        <f>D1197*$E$6</f>
        <v>0</v>
      </c>
      <c r="F1197" s="42">
        <f>(E1197-1)/30</f>
        <v>-3.3333333333333333E-2</v>
      </c>
      <c r="G1197" s="42">
        <f>($E1197-7)/30</f>
        <v>-0.23333333333333334</v>
      </c>
      <c r="H1197" s="42">
        <f>($E1197-11)/30</f>
        <v>-0.36666666666666664</v>
      </c>
      <c r="I1197" s="42">
        <f>($E1197-13)/30</f>
        <v>-0.43333333333333335</v>
      </c>
      <c r="J1197" s="42">
        <f>($E1197-17)/30</f>
        <v>-0.56666666666666665</v>
      </c>
      <c r="K1197" s="42">
        <f>($E1197-19)/30</f>
        <v>-0.6333333333333333</v>
      </c>
      <c r="L1197" s="42">
        <f>($E1197-23)/30</f>
        <v>-0.76666666666666672</v>
      </c>
      <c r="M1197" s="42">
        <f>($E1197-29)/30</f>
        <v>-0.96666666666666667</v>
      </c>
      <c r="O1197" s="43" t="str">
        <f t="shared" ref="O1197:O1204" si="1300">FactorNumber(E1197)</f>
        <v/>
      </c>
    </row>
    <row r="1198" spans="1:15" x14ac:dyDescent="0.45">
      <c r="D1198" s="27">
        <f t="shared" ref="D1198:D1204" si="1301">C1188</f>
        <v>0</v>
      </c>
      <c r="E1198" s="28">
        <f t="shared" ref="E1198:E1204" si="1302">D1198*$E$6</f>
        <v>0</v>
      </c>
      <c r="F1198" s="42">
        <f t="shared" ref="F1198:F1204" si="1303">(E1198-1)/30</f>
        <v>-3.3333333333333333E-2</v>
      </c>
      <c r="G1198" s="42">
        <f t="shared" ref="G1198:G1204" si="1304">($E1198-7)/30</f>
        <v>-0.23333333333333334</v>
      </c>
      <c r="H1198" s="42">
        <f t="shared" ref="H1198:H1204" si="1305">($E1198-11)/30</f>
        <v>-0.36666666666666664</v>
      </c>
      <c r="I1198" s="42">
        <f t="shared" ref="I1198:I1204" si="1306">($E1198-13)/30</f>
        <v>-0.43333333333333335</v>
      </c>
      <c r="J1198" s="42">
        <f t="shared" ref="J1198:J1204" si="1307">($E1198-17)/30</f>
        <v>-0.56666666666666665</v>
      </c>
      <c r="K1198" s="42">
        <f t="shared" ref="K1198:K1204" si="1308">($E1198-19)/30</f>
        <v>-0.6333333333333333</v>
      </c>
      <c r="L1198" s="42">
        <f t="shared" ref="L1198:L1204" si="1309">($E1198-23)/30</f>
        <v>-0.76666666666666672</v>
      </c>
      <c r="M1198" s="42">
        <f t="shared" ref="M1198:M1204" si="1310">($E1198-29)/30</f>
        <v>-0.96666666666666667</v>
      </c>
      <c r="O1198" s="43" t="str">
        <f t="shared" si="1300"/>
        <v/>
      </c>
    </row>
    <row r="1199" spans="1:15" x14ac:dyDescent="0.45">
      <c r="D1199" s="27">
        <f t="shared" si="1301"/>
        <v>0</v>
      </c>
      <c r="E1199" s="28">
        <f t="shared" si="1302"/>
        <v>0</v>
      </c>
      <c r="F1199" s="42">
        <f t="shared" si="1303"/>
        <v>-3.3333333333333333E-2</v>
      </c>
      <c r="G1199" s="42">
        <f t="shared" si="1304"/>
        <v>-0.23333333333333334</v>
      </c>
      <c r="H1199" s="42">
        <f t="shared" si="1305"/>
        <v>-0.36666666666666664</v>
      </c>
      <c r="I1199" s="42">
        <f t="shared" si="1306"/>
        <v>-0.43333333333333335</v>
      </c>
      <c r="J1199" s="42">
        <f t="shared" si="1307"/>
        <v>-0.56666666666666665</v>
      </c>
      <c r="K1199" s="42">
        <f t="shared" si="1308"/>
        <v>-0.6333333333333333</v>
      </c>
      <c r="L1199" s="42">
        <f t="shared" si="1309"/>
        <v>-0.76666666666666672</v>
      </c>
      <c r="M1199" s="42">
        <f t="shared" si="1310"/>
        <v>-0.96666666666666667</v>
      </c>
      <c r="O1199" s="43" t="str">
        <f t="shared" si="1300"/>
        <v/>
      </c>
    </row>
    <row r="1200" spans="1:15" x14ac:dyDescent="0.45">
      <c r="D1200" s="27">
        <f t="shared" si="1301"/>
        <v>0</v>
      </c>
      <c r="E1200" s="28">
        <f t="shared" si="1302"/>
        <v>0</v>
      </c>
      <c r="F1200" s="42">
        <f t="shared" si="1303"/>
        <v>-3.3333333333333333E-2</v>
      </c>
      <c r="G1200" s="42">
        <f t="shared" si="1304"/>
        <v>-0.23333333333333334</v>
      </c>
      <c r="H1200" s="42">
        <f t="shared" si="1305"/>
        <v>-0.36666666666666664</v>
      </c>
      <c r="I1200" s="42">
        <f t="shared" si="1306"/>
        <v>-0.43333333333333335</v>
      </c>
      <c r="J1200" s="42">
        <f t="shared" si="1307"/>
        <v>-0.56666666666666665</v>
      </c>
      <c r="K1200" s="42">
        <f t="shared" si="1308"/>
        <v>-0.6333333333333333</v>
      </c>
      <c r="L1200" s="42">
        <f t="shared" si="1309"/>
        <v>-0.76666666666666672</v>
      </c>
      <c r="M1200" s="42">
        <f t="shared" si="1310"/>
        <v>-0.96666666666666667</v>
      </c>
      <c r="O1200" s="43" t="str">
        <f t="shared" si="1300"/>
        <v/>
      </c>
    </row>
    <row r="1201" spans="1:15" x14ac:dyDescent="0.45">
      <c r="D1201" s="27">
        <f t="shared" si="1301"/>
        <v>0</v>
      </c>
      <c r="E1201" s="28">
        <f t="shared" si="1302"/>
        <v>0</v>
      </c>
      <c r="F1201" s="42">
        <f t="shared" si="1303"/>
        <v>-3.3333333333333333E-2</v>
      </c>
      <c r="G1201" s="42">
        <f t="shared" si="1304"/>
        <v>-0.23333333333333334</v>
      </c>
      <c r="H1201" s="42">
        <f t="shared" si="1305"/>
        <v>-0.36666666666666664</v>
      </c>
      <c r="I1201" s="42">
        <f t="shared" si="1306"/>
        <v>-0.43333333333333335</v>
      </c>
      <c r="J1201" s="42">
        <f t="shared" si="1307"/>
        <v>-0.56666666666666665</v>
      </c>
      <c r="K1201" s="42">
        <f t="shared" si="1308"/>
        <v>-0.6333333333333333</v>
      </c>
      <c r="L1201" s="42">
        <f t="shared" si="1309"/>
        <v>-0.76666666666666672</v>
      </c>
      <c r="M1201" s="42">
        <f t="shared" si="1310"/>
        <v>-0.96666666666666667</v>
      </c>
      <c r="O1201" s="43" t="str">
        <f t="shared" si="1300"/>
        <v/>
      </c>
    </row>
    <row r="1202" spans="1:15" x14ac:dyDescent="0.45">
      <c r="D1202" s="27">
        <f t="shared" si="1301"/>
        <v>0</v>
      </c>
      <c r="E1202" s="28">
        <f t="shared" si="1302"/>
        <v>0</v>
      </c>
      <c r="F1202" s="42">
        <f t="shared" si="1303"/>
        <v>-3.3333333333333333E-2</v>
      </c>
      <c r="G1202" s="42">
        <f t="shared" si="1304"/>
        <v>-0.23333333333333334</v>
      </c>
      <c r="H1202" s="42">
        <f t="shared" si="1305"/>
        <v>-0.36666666666666664</v>
      </c>
      <c r="I1202" s="42">
        <f t="shared" si="1306"/>
        <v>-0.43333333333333335</v>
      </c>
      <c r="J1202" s="42">
        <f t="shared" si="1307"/>
        <v>-0.56666666666666665</v>
      </c>
      <c r="K1202" s="42">
        <f t="shared" si="1308"/>
        <v>-0.6333333333333333</v>
      </c>
      <c r="L1202" s="42">
        <f t="shared" si="1309"/>
        <v>-0.76666666666666672</v>
      </c>
      <c r="M1202" s="42">
        <f t="shared" si="1310"/>
        <v>-0.96666666666666667</v>
      </c>
      <c r="O1202" s="43" t="str">
        <f t="shared" si="1300"/>
        <v/>
      </c>
    </row>
    <row r="1203" spans="1:15" x14ac:dyDescent="0.45">
      <c r="D1203" s="27">
        <f t="shared" si="1301"/>
        <v>0</v>
      </c>
      <c r="E1203" s="28">
        <f t="shared" si="1302"/>
        <v>0</v>
      </c>
      <c r="F1203" s="42">
        <f t="shared" si="1303"/>
        <v>-3.3333333333333333E-2</v>
      </c>
      <c r="G1203" s="42">
        <f t="shared" si="1304"/>
        <v>-0.23333333333333334</v>
      </c>
      <c r="H1203" s="42">
        <f t="shared" si="1305"/>
        <v>-0.36666666666666664</v>
      </c>
      <c r="I1203" s="42">
        <f t="shared" si="1306"/>
        <v>-0.43333333333333335</v>
      </c>
      <c r="J1203" s="42">
        <f t="shared" si="1307"/>
        <v>-0.56666666666666665</v>
      </c>
      <c r="K1203" s="42">
        <f t="shared" si="1308"/>
        <v>-0.6333333333333333</v>
      </c>
      <c r="L1203" s="42">
        <f t="shared" si="1309"/>
        <v>-0.76666666666666672</v>
      </c>
      <c r="M1203" s="42">
        <f t="shared" si="1310"/>
        <v>-0.96666666666666667</v>
      </c>
      <c r="O1203" s="43" t="str">
        <f t="shared" si="1300"/>
        <v/>
      </c>
    </row>
    <row r="1204" spans="1:15" x14ac:dyDescent="0.45">
      <c r="D1204" s="27">
        <f t="shared" si="1301"/>
        <v>0</v>
      </c>
      <c r="E1204" s="28">
        <f t="shared" si="1302"/>
        <v>0</v>
      </c>
      <c r="F1204" s="42">
        <f t="shared" si="1303"/>
        <v>-3.3333333333333333E-2</v>
      </c>
      <c r="G1204" s="42">
        <f t="shared" si="1304"/>
        <v>-0.23333333333333334</v>
      </c>
      <c r="H1204" s="42">
        <f t="shared" si="1305"/>
        <v>-0.36666666666666664</v>
      </c>
      <c r="I1204" s="42">
        <f t="shared" si="1306"/>
        <v>-0.43333333333333335</v>
      </c>
      <c r="J1204" s="42">
        <f t="shared" si="1307"/>
        <v>-0.56666666666666665</v>
      </c>
      <c r="K1204" s="42">
        <f t="shared" si="1308"/>
        <v>-0.6333333333333333</v>
      </c>
      <c r="L1204" s="42">
        <f t="shared" si="1309"/>
        <v>-0.76666666666666672</v>
      </c>
      <c r="M1204" s="42">
        <f t="shared" si="1310"/>
        <v>-0.96666666666666667</v>
      </c>
      <c r="O1204" s="43" t="str">
        <f t="shared" si="1300"/>
        <v/>
      </c>
    </row>
    <row r="1205" spans="1:15" ht="19.2" thickBot="1" x14ac:dyDescent="0.5">
      <c r="F1205" s="42"/>
      <c r="G1205" s="42"/>
      <c r="H1205" s="42"/>
      <c r="I1205" s="42"/>
      <c r="J1205" s="42"/>
      <c r="K1205" s="42"/>
      <c r="L1205" s="42"/>
      <c r="M1205" s="42"/>
    </row>
    <row r="1206" spans="1:15" ht="19.2" thickBot="1" x14ac:dyDescent="0.5">
      <c r="C1206" s="44"/>
      <c r="E1206" s="34">
        <f>E1187</f>
        <v>0</v>
      </c>
      <c r="F1206" s="45">
        <v>1</v>
      </c>
      <c r="G1206" s="46">
        <v>7</v>
      </c>
      <c r="H1206" s="46">
        <v>11</v>
      </c>
      <c r="I1206" s="46">
        <v>13</v>
      </c>
      <c r="J1206" s="46">
        <v>17</v>
      </c>
      <c r="K1206" s="46">
        <v>19</v>
      </c>
      <c r="L1206" s="46">
        <v>23</v>
      </c>
      <c r="M1206" s="47">
        <v>29</v>
      </c>
      <c r="O1206" s="27" t="s">
        <v>2</v>
      </c>
    </row>
    <row r="1207" spans="1:15" x14ac:dyDescent="0.45">
      <c r="A1207" s="29">
        <f>A1197+1</f>
        <v>120</v>
      </c>
      <c r="D1207" s="27">
        <f>C1197</f>
        <v>0</v>
      </c>
      <c r="E1207" s="28">
        <f>D1207*$E$6</f>
        <v>0</v>
      </c>
      <c r="F1207" s="42">
        <f>(E1207-1)/30</f>
        <v>-3.3333333333333333E-2</v>
      </c>
      <c r="G1207" s="42">
        <f>($E1207-7)/30</f>
        <v>-0.23333333333333334</v>
      </c>
      <c r="H1207" s="42">
        <f>($E1207-11)/30</f>
        <v>-0.36666666666666664</v>
      </c>
      <c r="I1207" s="42">
        <f>($E1207-13)/30</f>
        <v>-0.43333333333333335</v>
      </c>
      <c r="J1207" s="42">
        <f>($E1207-17)/30</f>
        <v>-0.56666666666666665</v>
      </c>
      <c r="K1207" s="42">
        <f>($E1207-19)/30</f>
        <v>-0.6333333333333333</v>
      </c>
      <c r="L1207" s="42">
        <f>($E1207-23)/30</f>
        <v>-0.76666666666666672</v>
      </c>
      <c r="M1207" s="42">
        <f>($E1207-29)/30</f>
        <v>-0.96666666666666667</v>
      </c>
      <c r="O1207" s="43" t="str">
        <f t="shared" ref="O1207:O1214" si="1311">FactorNumber(E1207)</f>
        <v/>
      </c>
    </row>
    <row r="1208" spans="1:15" x14ac:dyDescent="0.45">
      <c r="D1208" s="27">
        <f t="shared" ref="D1208:D1214" si="1312">C1198</f>
        <v>0</v>
      </c>
      <c r="E1208" s="28">
        <f t="shared" ref="E1208:E1214" si="1313">D1208*$E$6</f>
        <v>0</v>
      </c>
      <c r="F1208" s="42">
        <f t="shared" ref="F1208:F1214" si="1314">(E1208-1)/30</f>
        <v>-3.3333333333333333E-2</v>
      </c>
      <c r="G1208" s="42">
        <f t="shared" ref="G1208:G1214" si="1315">($E1208-7)/30</f>
        <v>-0.23333333333333334</v>
      </c>
      <c r="H1208" s="42">
        <f t="shared" ref="H1208:H1214" si="1316">($E1208-11)/30</f>
        <v>-0.36666666666666664</v>
      </c>
      <c r="I1208" s="42">
        <f t="shared" ref="I1208:I1214" si="1317">($E1208-13)/30</f>
        <v>-0.43333333333333335</v>
      </c>
      <c r="J1208" s="42">
        <f t="shared" ref="J1208:J1214" si="1318">($E1208-17)/30</f>
        <v>-0.56666666666666665</v>
      </c>
      <c r="K1208" s="42">
        <f t="shared" ref="K1208:K1214" si="1319">($E1208-19)/30</f>
        <v>-0.6333333333333333</v>
      </c>
      <c r="L1208" s="42">
        <f t="shared" ref="L1208:L1214" si="1320">($E1208-23)/30</f>
        <v>-0.76666666666666672</v>
      </c>
      <c r="M1208" s="42">
        <f t="shared" ref="M1208:M1214" si="1321">($E1208-29)/30</f>
        <v>-0.96666666666666667</v>
      </c>
      <c r="O1208" s="43" t="str">
        <f t="shared" si="1311"/>
        <v/>
      </c>
    </row>
    <row r="1209" spans="1:15" x14ac:dyDescent="0.45">
      <c r="D1209" s="27">
        <f t="shared" si="1312"/>
        <v>0</v>
      </c>
      <c r="E1209" s="28">
        <f t="shared" si="1313"/>
        <v>0</v>
      </c>
      <c r="F1209" s="42">
        <f t="shared" si="1314"/>
        <v>-3.3333333333333333E-2</v>
      </c>
      <c r="G1209" s="42">
        <f t="shared" si="1315"/>
        <v>-0.23333333333333334</v>
      </c>
      <c r="H1209" s="42">
        <f t="shared" si="1316"/>
        <v>-0.36666666666666664</v>
      </c>
      <c r="I1209" s="42">
        <f t="shared" si="1317"/>
        <v>-0.43333333333333335</v>
      </c>
      <c r="J1209" s="42">
        <f t="shared" si="1318"/>
        <v>-0.56666666666666665</v>
      </c>
      <c r="K1209" s="42">
        <f t="shared" si="1319"/>
        <v>-0.6333333333333333</v>
      </c>
      <c r="L1209" s="42">
        <f t="shared" si="1320"/>
        <v>-0.76666666666666672</v>
      </c>
      <c r="M1209" s="42">
        <f t="shared" si="1321"/>
        <v>-0.96666666666666667</v>
      </c>
      <c r="O1209" s="43" t="str">
        <f t="shared" si="1311"/>
        <v/>
      </c>
    </row>
    <row r="1210" spans="1:15" x14ac:dyDescent="0.45">
      <c r="D1210" s="27">
        <f t="shared" si="1312"/>
        <v>0</v>
      </c>
      <c r="E1210" s="28">
        <f t="shared" si="1313"/>
        <v>0</v>
      </c>
      <c r="F1210" s="42">
        <f t="shared" si="1314"/>
        <v>-3.3333333333333333E-2</v>
      </c>
      <c r="G1210" s="42">
        <f t="shared" si="1315"/>
        <v>-0.23333333333333334</v>
      </c>
      <c r="H1210" s="42">
        <f t="shared" si="1316"/>
        <v>-0.36666666666666664</v>
      </c>
      <c r="I1210" s="42">
        <f t="shared" si="1317"/>
        <v>-0.43333333333333335</v>
      </c>
      <c r="J1210" s="42">
        <f t="shared" si="1318"/>
        <v>-0.56666666666666665</v>
      </c>
      <c r="K1210" s="42">
        <f t="shared" si="1319"/>
        <v>-0.6333333333333333</v>
      </c>
      <c r="L1210" s="42">
        <f t="shared" si="1320"/>
        <v>-0.76666666666666672</v>
      </c>
      <c r="M1210" s="42">
        <f t="shared" si="1321"/>
        <v>-0.96666666666666667</v>
      </c>
      <c r="O1210" s="43" t="str">
        <f t="shared" si="1311"/>
        <v/>
      </c>
    </row>
    <row r="1211" spans="1:15" x14ac:dyDescent="0.45">
      <c r="D1211" s="27">
        <f t="shared" si="1312"/>
        <v>0</v>
      </c>
      <c r="E1211" s="28">
        <f t="shared" si="1313"/>
        <v>0</v>
      </c>
      <c r="F1211" s="42">
        <f t="shared" si="1314"/>
        <v>-3.3333333333333333E-2</v>
      </c>
      <c r="G1211" s="42">
        <f t="shared" si="1315"/>
        <v>-0.23333333333333334</v>
      </c>
      <c r="H1211" s="42">
        <f t="shared" si="1316"/>
        <v>-0.36666666666666664</v>
      </c>
      <c r="I1211" s="42">
        <f t="shared" si="1317"/>
        <v>-0.43333333333333335</v>
      </c>
      <c r="J1211" s="42">
        <f t="shared" si="1318"/>
        <v>-0.56666666666666665</v>
      </c>
      <c r="K1211" s="42">
        <f t="shared" si="1319"/>
        <v>-0.6333333333333333</v>
      </c>
      <c r="L1211" s="42">
        <f t="shared" si="1320"/>
        <v>-0.76666666666666672</v>
      </c>
      <c r="M1211" s="42">
        <f t="shared" si="1321"/>
        <v>-0.96666666666666667</v>
      </c>
      <c r="O1211" s="43" t="str">
        <f t="shared" si="1311"/>
        <v/>
      </c>
    </row>
    <row r="1212" spans="1:15" x14ac:dyDescent="0.45">
      <c r="D1212" s="27">
        <f t="shared" si="1312"/>
        <v>0</v>
      </c>
      <c r="E1212" s="28">
        <f t="shared" si="1313"/>
        <v>0</v>
      </c>
      <c r="F1212" s="42">
        <f t="shared" si="1314"/>
        <v>-3.3333333333333333E-2</v>
      </c>
      <c r="G1212" s="42">
        <f t="shared" si="1315"/>
        <v>-0.23333333333333334</v>
      </c>
      <c r="H1212" s="42">
        <f t="shared" si="1316"/>
        <v>-0.36666666666666664</v>
      </c>
      <c r="I1212" s="42">
        <f t="shared" si="1317"/>
        <v>-0.43333333333333335</v>
      </c>
      <c r="J1212" s="42">
        <f t="shared" si="1318"/>
        <v>-0.56666666666666665</v>
      </c>
      <c r="K1212" s="42">
        <f t="shared" si="1319"/>
        <v>-0.6333333333333333</v>
      </c>
      <c r="L1212" s="42">
        <f t="shared" si="1320"/>
        <v>-0.76666666666666672</v>
      </c>
      <c r="M1212" s="42">
        <f t="shared" si="1321"/>
        <v>-0.96666666666666667</v>
      </c>
      <c r="O1212" s="43" t="str">
        <f t="shared" si="1311"/>
        <v/>
      </c>
    </row>
    <row r="1213" spans="1:15" x14ac:dyDescent="0.45">
      <c r="D1213" s="27">
        <f t="shared" si="1312"/>
        <v>0</v>
      </c>
      <c r="E1213" s="28">
        <f t="shared" si="1313"/>
        <v>0</v>
      </c>
      <c r="F1213" s="42">
        <f t="shared" si="1314"/>
        <v>-3.3333333333333333E-2</v>
      </c>
      <c r="G1213" s="42">
        <f t="shared" si="1315"/>
        <v>-0.23333333333333334</v>
      </c>
      <c r="H1213" s="42">
        <f t="shared" si="1316"/>
        <v>-0.36666666666666664</v>
      </c>
      <c r="I1213" s="42">
        <f t="shared" si="1317"/>
        <v>-0.43333333333333335</v>
      </c>
      <c r="J1213" s="42">
        <f t="shared" si="1318"/>
        <v>-0.56666666666666665</v>
      </c>
      <c r="K1213" s="42">
        <f t="shared" si="1319"/>
        <v>-0.6333333333333333</v>
      </c>
      <c r="L1213" s="42">
        <f t="shared" si="1320"/>
        <v>-0.76666666666666672</v>
      </c>
      <c r="M1213" s="42">
        <f t="shared" si="1321"/>
        <v>-0.96666666666666667</v>
      </c>
      <c r="O1213" s="43" t="str">
        <f t="shared" si="1311"/>
        <v/>
      </c>
    </row>
    <row r="1214" spans="1:15" x14ac:dyDescent="0.45">
      <c r="D1214" s="27">
        <f t="shared" si="1312"/>
        <v>0</v>
      </c>
      <c r="E1214" s="28">
        <f t="shared" si="1313"/>
        <v>0</v>
      </c>
      <c r="F1214" s="42">
        <f t="shared" si="1314"/>
        <v>-3.3333333333333333E-2</v>
      </c>
      <c r="G1214" s="42">
        <f t="shared" si="1315"/>
        <v>-0.23333333333333334</v>
      </c>
      <c r="H1214" s="42">
        <f t="shared" si="1316"/>
        <v>-0.36666666666666664</v>
      </c>
      <c r="I1214" s="42">
        <f t="shared" si="1317"/>
        <v>-0.43333333333333335</v>
      </c>
      <c r="J1214" s="42">
        <f t="shared" si="1318"/>
        <v>-0.56666666666666665</v>
      </c>
      <c r="K1214" s="42">
        <f t="shared" si="1319"/>
        <v>-0.6333333333333333</v>
      </c>
      <c r="L1214" s="42">
        <f t="shared" si="1320"/>
        <v>-0.76666666666666672</v>
      </c>
      <c r="M1214" s="42">
        <f t="shared" si="1321"/>
        <v>-0.96666666666666667</v>
      </c>
      <c r="O1214" s="43" t="str">
        <f t="shared" si="1311"/>
        <v/>
      </c>
    </row>
    <row r="1215" spans="1:15" ht="19.2" thickBot="1" x14ac:dyDescent="0.5">
      <c r="F1215" s="42"/>
      <c r="G1215" s="42"/>
      <c r="H1215" s="42"/>
      <c r="I1215" s="42"/>
      <c r="J1215" s="42"/>
      <c r="K1215" s="42"/>
      <c r="L1215" s="42"/>
      <c r="M1215" s="42"/>
    </row>
    <row r="1216" spans="1:15" ht="19.2" thickBot="1" x14ac:dyDescent="0.5">
      <c r="C1216" s="44"/>
      <c r="E1216" s="34">
        <f>E1197</f>
        <v>0</v>
      </c>
      <c r="F1216" s="45">
        <v>1</v>
      </c>
      <c r="G1216" s="46">
        <v>7</v>
      </c>
      <c r="H1216" s="46">
        <v>11</v>
      </c>
      <c r="I1216" s="46">
        <v>13</v>
      </c>
      <c r="J1216" s="46">
        <v>17</v>
      </c>
      <c r="K1216" s="46">
        <v>19</v>
      </c>
      <c r="L1216" s="46">
        <v>23</v>
      </c>
      <c r="M1216" s="47">
        <v>29</v>
      </c>
      <c r="O1216" s="27" t="s">
        <v>2</v>
      </c>
    </row>
    <row r="1217" spans="1:15" x14ac:dyDescent="0.45">
      <c r="A1217" s="29">
        <f>A1207+1</f>
        <v>121</v>
      </c>
      <c r="D1217" s="27">
        <f>C1207</f>
        <v>0</v>
      </c>
      <c r="E1217" s="28">
        <f>D1217*$E$6</f>
        <v>0</v>
      </c>
      <c r="F1217" s="42">
        <f>(E1217-1)/30</f>
        <v>-3.3333333333333333E-2</v>
      </c>
      <c r="G1217" s="42">
        <f>($E1217-7)/30</f>
        <v>-0.23333333333333334</v>
      </c>
      <c r="H1217" s="42">
        <f>($E1217-11)/30</f>
        <v>-0.36666666666666664</v>
      </c>
      <c r="I1217" s="42">
        <f>($E1217-13)/30</f>
        <v>-0.43333333333333335</v>
      </c>
      <c r="J1217" s="42">
        <f>($E1217-17)/30</f>
        <v>-0.56666666666666665</v>
      </c>
      <c r="K1217" s="42">
        <f>($E1217-19)/30</f>
        <v>-0.6333333333333333</v>
      </c>
      <c r="L1217" s="42">
        <f>($E1217-23)/30</f>
        <v>-0.76666666666666672</v>
      </c>
      <c r="M1217" s="42">
        <f>($E1217-29)/30</f>
        <v>-0.96666666666666667</v>
      </c>
      <c r="O1217" s="43" t="str">
        <f t="shared" ref="O1217:O1224" si="1322">FactorNumber(E1217)</f>
        <v/>
      </c>
    </row>
    <row r="1218" spans="1:15" x14ac:dyDescent="0.45">
      <c r="D1218" s="27">
        <f t="shared" ref="D1218:D1224" si="1323">C1208</f>
        <v>0</v>
      </c>
      <c r="E1218" s="28">
        <f t="shared" ref="E1218:E1224" si="1324">D1218*$E$6</f>
        <v>0</v>
      </c>
      <c r="F1218" s="42">
        <f t="shared" ref="F1218:F1224" si="1325">(E1218-1)/30</f>
        <v>-3.3333333333333333E-2</v>
      </c>
      <c r="G1218" s="42">
        <f t="shared" ref="G1218:G1224" si="1326">($E1218-7)/30</f>
        <v>-0.23333333333333334</v>
      </c>
      <c r="H1218" s="42">
        <f t="shared" ref="H1218:H1224" si="1327">($E1218-11)/30</f>
        <v>-0.36666666666666664</v>
      </c>
      <c r="I1218" s="42">
        <f t="shared" ref="I1218:I1224" si="1328">($E1218-13)/30</f>
        <v>-0.43333333333333335</v>
      </c>
      <c r="J1218" s="42">
        <f t="shared" ref="J1218:J1224" si="1329">($E1218-17)/30</f>
        <v>-0.56666666666666665</v>
      </c>
      <c r="K1218" s="42">
        <f t="shared" ref="K1218:K1224" si="1330">($E1218-19)/30</f>
        <v>-0.6333333333333333</v>
      </c>
      <c r="L1218" s="42">
        <f t="shared" ref="L1218:L1224" si="1331">($E1218-23)/30</f>
        <v>-0.76666666666666672</v>
      </c>
      <c r="M1218" s="42">
        <f t="shared" ref="M1218:M1224" si="1332">($E1218-29)/30</f>
        <v>-0.96666666666666667</v>
      </c>
      <c r="O1218" s="43" t="str">
        <f t="shared" si="1322"/>
        <v/>
      </c>
    </row>
    <row r="1219" spans="1:15" x14ac:dyDescent="0.45">
      <c r="D1219" s="27">
        <f t="shared" si="1323"/>
        <v>0</v>
      </c>
      <c r="E1219" s="28">
        <f t="shared" si="1324"/>
        <v>0</v>
      </c>
      <c r="F1219" s="42">
        <f t="shared" si="1325"/>
        <v>-3.3333333333333333E-2</v>
      </c>
      <c r="G1219" s="42">
        <f t="shared" si="1326"/>
        <v>-0.23333333333333334</v>
      </c>
      <c r="H1219" s="42">
        <f t="shared" si="1327"/>
        <v>-0.36666666666666664</v>
      </c>
      <c r="I1219" s="42">
        <f t="shared" si="1328"/>
        <v>-0.43333333333333335</v>
      </c>
      <c r="J1219" s="42">
        <f t="shared" si="1329"/>
        <v>-0.56666666666666665</v>
      </c>
      <c r="K1219" s="42">
        <f t="shared" si="1330"/>
        <v>-0.6333333333333333</v>
      </c>
      <c r="L1219" s="42">
        <f t="shared" si="1331"/>
        <v>-0.76666666666666672</v>
      </c>
      <c r="M1219" s="42">
        <f t="shared" si="1332"/>
        <v>-0.96666666666666667</v>
      </c>
      <c r="O1219" s="43" t="str">
        <f t="shared" si="1322"/>
        <v/>
      </c>
    </row>
    <row r="1220" spans="1:15" x14ac:dyDescent="0.45">
      <c r="D1220" s="27">
        <f t="shared" si="1323"/>
        <v>0</v>
      </c>
      <c r="E1220" s="28">
        <f t="shared" si="1324"/>
        <v>0</v>
      </c>
      <c r="F1220" s="42">
        <f t="shared" si="1325"/>
        <v>-3.3333333333333333E-2</v>
      </c>
      <c r="G1220" s="42">
        <f t="shared" si="1326"/>
        <v>-0.23333333333333334</v>
      </c>
      <c r="H1220" s="42">
        <f t="shared" si="1327"/>
        <v>-0.36666666666666664</v>
      </c>
      <c r="I1220" s="42">
        <f t="shared" si="1328"/>
        <v>-0.43333333333333335</v>
      </c>
      <c r="J1220" s="42">
        <f t="shared" si="1329"/>
        <v>-0.56666666666666665</v>
      </c>
      <c r="K1220" s="42">
        <f t="shared" si="1330"/>
        <v>-0.6333333333333333</v>
      </c>
      <c r="L1220" s="42">
        <f t="shared" si="1331"/>
        <v>-0.76666666666666672</v>
      </c>
      <c r="M1220" s="42">
        <f t="shared" si="1332"/>
        <v>-0.96666666666666667</v>
      </c>
      <c r="O1220" s="43" t="str">
        <f t="shared" si="1322"/>
        <v/>
      </c>
    </row>
    <row r="1221" spans="1:15" x14ac:dyDescent="0.45">
      <c r="D1221" s="27">
        <f t="shared" si="1323"/>
        <v>0</v>
      </c>
      <c r="E1221" s="28">
        <f t="shared" si="1324"/>
        <v>0</v>
      </c>
      <c r="F1221" s="42">
        <f t="shared" si="1325"/>
        <v>-3.3333333333333333E-2</v>
      </c>
      <c r="G1221" s="42">
        <f t="shared" si="1326"/>
        <v>-0.23333333333333334</v>
      </c>
      <c r="H1221" s="42">
        <f t="shared" si="1327"/>
        <v>-0.36666666666666664</v>
      </c>
      <c r="I1221" s="42">
        <f t="shared" si="1328"/>
        <v>-0.43333333333333335</v>
      </c>
      <c r="J1221" s="42">
        <f t="shared" si="1329"/>
        <v>-0.56666666666666665</v>
      </c>
      <c r="K1221" s="42">
        <f t="shared" si="1330"/>
        <v>-0.6333333333333333</v>
      </c>
      <c r="L1221" s="42">
        <f t="shared" si="1331"/>
        <v>-0.76666666666666672</v>
      </c>
      <c r="M1221" s="42">
        <f t="shared" si="1332"/>
        <v>-0.96666666666666667</v>
      </c>
      <c r="O1221" s="43" t="str">
        <f t="shared" si="1322"/>
        <v/>
      </c>
    </row>
    <row r="1222" spans="1:15" x14ac:dyDescent="0.45">
      <c r="D1222" s="27">
        <f t="shared" si="1323"/>
        <v>0</v>
      </c>
      <c r="E1222" s="28">
        <f t="shared" si="1324"/>
        <v>0</v>
      </c>
      <c r="F1222" s="42">
        <f t="shared" si="1325"/>
        <v>-3.3333333333333333E-2</v>
      </c>
      <c r="G1222" s="42">
        <f t="shared" si="1326"/>
        <v>-0.23333333333333334</v>
      </c>
      <c r="H1222" s="42">
        <f t="shared" si="1327"/>
        <v>-0.36666666666666664</v>
      </c>
      <c r="I1222" s="42">
        <f t="shared" si="1328"/>
        <v>-0.43333333333333335</v>
      </c>
      <c r="J1222" s="42">
        <f t="shared" si="1329"/>
        <v>-0.56666666666666665</v>
      </c>
      <c r="K1222" s="42">
        <f t="shared" si="1330"/>
        <v>-0.6333333333333333</v>
      </c>
      <c r="L1222" s="42">
        <f t="shared" si="1331"/>
        <v>-0.76666666666666672</v>
      </c>
      <c r="M1222" s="42">
        <f t="shared" si="1332"/>
        <v>-0.96666666666666667</v>
      </c>
      <c r="O1222" s="43" t="str">
        <f t="shared" si="1322"/>
        <v/>
      </c>
    </row>
    <row r="1223" spans="1:15" x14ac:dyDescent="0.45">
      <c r="D1223" s="27">
        <f t="shared" si="1323"/>
        <v>0</v>
      </c>
      <c r="E1223" s="28">
        <f t="shared" si="1324"/>
        <v>0</v>
      </c>
      <c r="F1223" s="42">
        <f t="shared" si="1325"/>
        <v>-3.3333333333333333E-2</v>
      </c>
      <c r="G1223" s="42">
        <f t="shared" si="1326"/>
        <v>-0.23333333333333334</v>
      </c>
      <c r="H1223" s="42">
        <f t="shared" si="1327"/>
        <v>-0.36666666666666664</v>
      </c>
      <c r="I1223" s="42">
        <f t="shared" si="1328"/>
        <v>-0.43333333333333335</v>
      </c>
      <c r="J1223" s="42">
        <f t="shared" si="1329"/>
        <v>-0.56666666666666665</v>
      </c>
      <c r="K1223" s="42">
        <f t="shared" si="1330"/>
        <v>-0.6333333333333333</v>
      </c>
      <c r="L1223" s="42">
        <f t="shared" si="1331"/>
        <v>-0.76666666666666672</v>
      </c>
      <c r="M1223" s="42">
        <f t="shared" si="1332"/>
        <v>-0.96666666666666667</v>
      </c>
      <c r="O1223" s="43" t="str">
        <f t="shared" si="1322"/>
        <v/>
      </c>
    </row>
    <row r="1224" spans="1:15" x14ac:dyDescent="0.45">
      <c r="D1224" s="27">
        <f t="shared" si="1323"/>
        <v>0</v>
      </c>
      <c r="E1224" s="28">
        <f t="shared" si="1324"/>
        <v>0</v>
      </c>
      <c r="F1224" s="42">
        <f t="shared" si="1325"/>
        <v>-3.3333333333333333E-2</v>
      </c>
      <c r="G1224" s="42">
        <f t="shared" si="1326"/>
        <v>-0.23333333333333334</v>
      </c>
      <c r="H1224" s="42">
        <f t="shared" si="1327"/>
        <v>-0.36666666666666664</v>
      </c>
      <c r="I1224" s="42">
        <f t="shared" si="1328"/>
        <v>-0.43333333333333335</v>
      </c>
      <c r="J1224" s="42">
        <f t="shared" si="1329"/>
        <v>-0.56666666666666665</v>
      </c>
      <c r="K1224" s="42">
        <f t="shared" si="1330"/>
        <v>-0.6333333333333333</v>
      </c>
      <c r="L1224" s="42">
        <f t="shared" si="1331"/>
        <v>-0.76666666666666672</v>
      </c>
      <c r="M1224" s="42">
        <f t="shared" si="1332"/>
        <v>-0.96666666666666667</v>
      </c>
      <c r="O1224" s="43" t="str">
        <f t="shared" si="1322"/>
        <v/>
      </c>
    </row>
    <row r="1225" spans="1:15" ht="19.2" thickBot="1" x14ac:dyDescent="0.5">
      <c r="F1225" s="42"/>
      <c r="G1225" s="42"/>
      <c r="H1225" s="42"/>
      <c r="I1225" s="42"/>
      <c r="J1225" s="42"/>
      <c r="K1225" s="42"/>
      <c r="L1225" s="42"/>
      <c r="M1225" s="42"/>
    </row>
    <row r="1226" spans="1:15" ht="19.2" thickBot="1" x14ac:dyDescent="0.5">
      <c r="C1226" s="44"/>
      <c r="E1226" s="34">
        <f>E1207</f>
        <v>0</v>
      </c>
      <c r="F1226" s="45">
        <v>1</v>
      </c>
      <c r="G1226" s="46">
        <v>7</v>
      </c>
      <c r="H1226" s="46">
        <v>11</v>
      </c>
      <c r="I1226" s="46">
        <v>13</v>
      </c>
      <c r="J1226" s="46">
        <v>17</v>
      </c>
      <c r="K1226" s="46">
        <v>19</v>
      </c>
      <c r="L1226" s="46">
        <v>23</v>
      </c>
      <c r="M1226" s="47">
        <v>29</v>
      </c>
      <c r="O1226" s="27" t="s">
        <v>2</v>
      </c>
    </row>
    <row r="1227" spans="1:15" x14ac:dyDescent="0.45">
      <c r="A1227" s="29">
        <f>A1217+1</f>
        <v>122</v>
      </c>
      <c r="D1227" s="27">
        <f>C1217</f>
        <v>0</v>
      </c>
      <c r="E1227" s="28">
        <f>D1227*$E$6</f>
        <v>0</v>
      </c>
      <c r="F1227" s="42">
        <f>(E1227-1)/30</f>
        <v>-3.3333333333333333E-2</v>
      </c>
      <c r="G1227" s="42">
        <f>($E1227-7)/30</f>
        <v>-0.23333333333333334</v>
      </c>
      <c r="H1227" s="42">
        <f>($E1227-11)/30</f>
        <v>-0.36666666666666664</v>
      </c>
      <c r="I1227" s="42">
        <f>($E1227-13)/30</f>
        <v>-0.43333333333333335</v>
      </c>
      <c r="J1227" s="42">
        <f>($E1227-17)/30</f>
        <v>-0.56666666666666665</v>
      </c>
      <c r="K1227" s="42">
        <f>($E1227-19)/30</f>
        <v>-0.6333333333333333</v>
      </c>
      <c r="L1227" s="42">
        <f>($E1227-23)/30</f>
        <v>-0.76666666666666672</v>
      </c>
      <c r="M1227" s="42">
        <f>($E1227-29)/30</f>
        <v>-0.96666666666666667</v>
      </c>
      <c r="O1227" s="43" t="str">
        <f t="shared" ref="O1227:O1234" si="1333">FactorNumber(E1227)</f>
        <v/>
      </c>
    </row>
    <row r="1228" spans="1:15" x14ac:dyDescent="0.45">
      <c r="D1228" s="27">
        <f t="shared" ref="D1228:D1234" si="1334">C1218</f>
        <v>0</v>
      </c>
      <c r="E1228" s="28">
        <f t="shared" ref="E1228:E1234" si="1335">D1228*$E$6</f>
        <v>0</v>
      </c>
      <c r="F1228" s="42">
        <f t="shared" ref="F1228:F1234" si="1336">(E1228-1)/30</f>
        <v>-3.3333333333333333E-2</v>
      </c>
      <c r="G1228" s="42">
        <f t="shared" ref="G1228:G1234" si="1337">($E1228-7)/30</f>
        <v>-0.23333333333333334</v>
      </c>
      <c r="H1228" s="42">
        <f t="shared" ref="H1228:H1234" si="1338">($E1228-11)/30</f>
        <v>-0.36666666666666664</v>
      </c>
      <c r="I1228" s="42">
        <f t="shared" ref="I1228:I1234" si="1339">($E1228-13)/30</f>
        <v>-0.43333333333333335</v>
      </c>
      <c r="J1228" s="42">
        <f t="shared" ref="J1228:J1234" si="1340">($E1228-17)/30</f>
        <v>-0.56666666666666665</v>
      </c>
      <c r="K1228" s="42">
        <f t="shared" ref="K1228:K1234" si="1341">($E1228-19)/30</f>
        <v>-0.6333333333333333</v>
      </c>
      <c r="L1228" s="42">
        <f t="shared" ref="L1228:L1234" si="1342">($E1228-23)/30</f>
        <v>-0.76666666666666672</v>
      </c>
      <c r="M1228" s="42">
        <f t="shared" ref="M1228:M1234" si="1343">($E1228-29)/30</f>
        <v>-0.96666666666666667</v>
      </c>
      <c r="O1228" s="43" t="str">
        <f t="shared" si="1333"/>
        <v/>
      </c>
    </row>
    <row r="1229" spans="1:15" x14ac:dyDescent="0.45">
      <c r="D1229" s="27">
        <f t="shared" si="1334"/>
        <v>0</v>
      </c>
      <c r="E1229" s="28">
        <f t="shared" si="1335"/>
        <v>0</v>
      </c>
      <c r="F1229" s="42">
        <f t="shared" si="1336"/>
        <v>-3.3333333333333333E-2</v>
      </c>
      <c r="G1229" s="42">
        <f t="shared" si="1337"/>
        <v>-0.23333333333333334</v>
      </c>
      <c r="H1229" s="42">
        <f t="shared" si="1338"/>
        <v>-0.36666666666666664</v>
      </c>
      <c r="I1229" s="42">
        <f t="shared" si="1339"/>
        <v>-0.43333333333333335</v>
      </c>
      <c r="J1229" s="42">
        <f t="shared" si="1340"/>
        <v>-0.56666666666666665</v>
      </c>
      <c r="K1229" s="42">
        <f t="shared" si="1341"/>
        <v>-0.6333333333333333</v>
      </c>
      <c r="L1229" s="42">
        <f t="shared" si="1342"/>
        <v>-0.76666666666666672</v>
      </c>
      <c r="M1229" s="42">
        <f t="shared" si="1343"/>
        <v>-0.96666666666666667</v>
      </c>
      <c r="O1229" s="43" t="str">
        <f t="shared" si="1333"/>
        <v/>
      </c>
    </row>
    <row r="1230" spans="1:15" x14ac:dyDescent="0.45">
      <c r="D1230" s="27">
        <f t="shared" si="1334"/>
        <v>0</v>
      </c>
      <c r="E1230" s="28">
        <f t="shared" si="1335"/>
        <v>0</v>
      </c>
      <c r="F1230" s="42">
        <f t="shared" si="1336"/>
        <v>-3.3333333333333333E-2</v>
      </c>
      <c r="G1230" s="42">
        <f t="shared" si="1337"/>
        <v>-0.23333333333333334</v>
      </c>
      <c r="H1230" s="42">
        <f t="shared" si="1338"/>
        <v>-0.36666666666666664</v>
      </c>
      <c r="I1230" s="42">
        <f t="shared" si="1339"/>
        <v>-0.43333333333333335</v>
      </c>
      <c r="J1230" s="42">
        <f t="shared" si="1340"/>
        <v>-0.56666666666666665</v>
      </c>
      <c r="K1230" s="42">
        <f t="shared" si="1341"/>
        <v>-0.6333333333333333</v>
      </c>
      <c r="L1230" s="42">
        <f t="shared" si="1342"/>
        <v>-0.76666666666666672</v>
      </c>
      <c r="M1230" s="42">
        <f t="shared" si="1343"/>
        <v>-0.96666666666666667</v>
      </c>
      <c r="O1230" s="43" t="str">
        <f t="shared" si="1333"/>
        <v/>
      </c>
    </row>
    <row r="1231" spans="1:15" x14ac:dyDescent="0.45">
      <c r="D1231" s="27">
        <f t="shared" si="1334"/>
        <v>0</v>
      </c>
      <c r="E1231" s="28">
        <f t="shared" si="1335"/>
        <v>0</v>
      </c>
      <c r="F1231" s="42">
        <f t="shared" si="1336"/>
        <v>-3.3333333333333333E-2</v>
      </c>
      <c r="G1231" s="42">
        <f t="shared" si="1337"/>
        <v>-0.23333333333333334</v>
      </c>
      <c r="H1231" s="42">
        <f t="shared" si="1338"/>
        <v>-0.36666666666666664</v>
      </c>
      <c r="I1231" s="42">
        <f t="shared" si="1339"/>
        <v>-0.43333333333333335</v>
      </c>
      <c r="J1231" s="42">
        <f t="shared" si="1340"/>
        <v>-0.56666666666666665</v>
      </c>
      <c r="K1231" s="42">
        <f t="shared" si="1341"/>
        <v>-0.6333333333333333</v>
      </c>
      <c r="L1231" s="42">
        <f t="shared" si="1342"/>
        <v>-0.76666666666666672</v>
      </c>
      <c r="M1231" s="42">
        <f t="shared" si="1343"/>
        <v>-0.96666666666666667</v>
      </c>
      <c r="O1231" s="43" t="str">
        <f t="shared" si="1333"/>
        <v/>
      </c>
    </row>
    <row r="1232" spans="1:15" x14ac:dyDescent="0.45">
      <c r="D1232" s="27">
        <f t="shared" si="1334"/>
        <v>0</v>
      </c>
      <c r="E1232" s="28">
        <f t="shared" si="1335"/>
        <v>0</v>
      </c>
      <c r="F1232" s="42">
        <f t="shared" si="1336"/>
        <v>-3.3333333333333333E-2</v>
      </c>
      <c r="G1232" s="42">
        <f t="shared" si="1337"/>
        <v>-0.23333333333333334</v>
      </c>
      <c r="H1232" s="42">
        <f t="shared" si="1338"/>
        <v>-0.36666666666666664</v>
      </c>
      <c r="I1232" s="42">
        <f t="shared" si="1339"/>
        <v>-0.43333333333333335</v>
      </c>
      <c r="J1232" s="42">
        <f t="shared" si="1340"/>
        <v>-0.56666666666666665</v>
      </c>
      <c r="K1232" s="42">
        <f t="shared" si="1341"/>
        <v>-0.6333333333333333</v>
      </c>
      <c r="L1232" s="42">
        <f t="shared" si="1342"/>
        <v>-0.76666666666666672</v>
      </c>
      <c r="M1232" s="42">
        <f t="shared" si="1343"/>
        <v>-0.96666666666666667</v>
      </c>
      <c r="O1232" s="43" t="str">
        <f t="shared" si="1333"/>
        <v/>
      </c>
    </row>
    <row r="1233" spans="1:15" x14ac:dyDescent="0.45">
      <c r="D1233" s="27">
        <f t="shared" si="1334"/>
        <v>0</v>
      </c>
      <c r="E1233" s="28">
        <f t="shared" si="1335"/>
        <v>0</v>
      </c>
      <c r="F1233" s="42">
        <f t="shared" si="1336"/>
        <v>-3.3333333333333333E-2</v>
      </c>
      <c r="G1233" s="42">
        <f t="shared" si="1337"/>
        <v>-0.23333333333333334</v>
      </c>
      <c r="H1233" s="42">
        <f t="shared" si="1338"/>
        <v>-0.36666666666666664</v>
      </c>
      <c r="I1233" s="42">
        <f t="shared" si="1339"/>
        <v>-0.43333333333333335</v>
      </c>
      <c r="J1233" s="42">
        <f t="shared" si="1340"/>
        <v>-0.56666666666666665</v>
      </c>
      <c r="K1233" s="42">
        <f t="shared" si="1341"/>
        <v>-0.6333333333333333</v>
      </c>
      <c r="L1233" s="42">
        <f t="shared" si="1342"/>
        <v>-0.76666666666666672</v>
      </c>
      <c r="M1233" s="42">
        <f t="shared" si="1343"/>
        <v>-0.96666666666666667</v>
      </c>
      <c r="O1233" s="43" t="str">
        <f t="shared" si="1333"/>
        <v/>
      </c>
    </row>
    <row r="1234" spans="1:15" x14ac:dyDescent="0.45">
      <c r="D1234" s="27">
        <f t="shared" si="1334"/>
        <v>0</v>
      </c>
      <c r="E1234" s="28">
        <f t="shared" si="1335"/>
        <v>0</v>
      </c>
      <c r="F1234" s="42">
        <f t="shared" si="1336"/>
        <v>-3.3333333333333333E-2</v>
      </c>
      <c r="G1234" s="42">
        <f t="shared" si="1337"/>
        <v>-0.23333333333333334</v>
      </c>
      <c r="H1234" s="42">
        <f t="shared" si="1338"/>
        <v>-0.36666666666666664</v>
      </c>
      <c r="I1234" s="42">
        <f t="shared" si="1339"/>
        <v>-0.43333333333333335</v>
      </c>
      <c r="J1234" s="42">
        <f t="shared" si="1340"/>
        <v>-0.56666666666666665</v>
      </c>
      <c r="K1234" s="42">
        <f t="shared" si="1341"/>
        <v>-0.6333333333333333</v>
      </c>
      <c r="L1234" s="42">
        <f t="shared" si="1342"/>
        <v>-0.76666666666666672</v>
      </c>
      <c r="M1234" s="42">
        <f t="shared" si="1343"/>
        <v>-0.96666666666666667</v>
      </c>
      <c r="O1234" s="43" t="str">
        <f t="shared" si="1333"/>
        <v/>
      </c>
    </row>
    <row r="1235" spans="1:15" ht="19.2" thickBot="1" x14ac:dyDescent="0.5">
      <c r="F1235" s="42"/>
      <c r="G1235" s="42"/>
      <c r="H1235" s="42"/>
      <c r="I1235" s="42"/>
      <c r="J1235" s="42"/>
      <c r="K1235" s="42"/>
      <c r="L1235" s="42"/>
      <c r="M1235" s="42"/>
    </row>
    <row r="1236" spans="1:15" ht="19.2" thickBot="1" x14ac:dyDescent="0.5">
      <c r="C1236" s="44"/>
      <c r="E1236" s="34">
        <f>E1217</f>
        <v>0</v>
      </c>
      <c r="F1236" s="45">
        <v>1</v>
      </c>
      <c r="G1236" s="46">
        <v>7</v>
      </c>
      <c r="H1236" s="46">
        <v>11</v>
      </c>
      <c r="I1236" s="46">
        <v>13</v>
      </c>
      <c r="J1236" s="46">
        <v>17</v>
      </c>
      <c r="K1236" s="46">
        <v>19</v>
      </c>
      <c r="L1236" s="46">
        <v>23</v>
      </c>
      <c r="M1236" s="47">
        <v>29</v>
      </c>
      <c r="O1236" s="27" t="s">
        <v>2</v>
      </c>
    </row>
    <row r="1237" spans="1:15" x14ac:dyDescent="0.45">
      <c r="A1237" s="29">
        <f>A1227+1</f>
        <v>123</v>
      </c>
      <c r="D1237" s="27">
        <f>C1227</f>
        <v>0</v>
      </c>
      <c r="E1237" s="28">
        <f>D1237*$E$6</f>
        <v>0</v>
      </c>
      <c r="F1237" s="42">
        <f>(E1237-1)/30</f>
        <v>-3.3333333333333333E-2</v>
      </c>
      <c r="G1237" s="42">
        <f>($E1237-7)/30</f>
        <v>-0.23333333333333334</v>
      </c>
      <c r="H1237" s="42">
        <f>($E1237-11)/30</f>
        <v>-0.36666666666666664</v>
      </c>
      <c r="I1237" s="42">
        <f>($E1237-13)/30</f>
        <v>-0.43333333333333335</v>
      </c>
      <c r="J1237" s="42">
        <f>($E1237-17)/30</f>
        <v>-0.56666666666666665</v>
      </c>
      <c r="K1237" s="42">
        <f>($E1237-19)/30</f>
        <v>-0.6333333333333333</v>
      </c>
      <c r="L1237" s="42">
        <f>($E1237-23)/30</f>
        <v>-0.76666666666666672</v>
      </c>
      <c r="M1237" s="42">
        <f>($E1237-29)/30</f>
        <v>-0.96666666666666667</v>
      </c>
      <c r="O1237" s="43" t="str">
        <f t="shared" ref="O1237:O1244" si="1344">FactorNumber(E1237)</f>
        <v/>
      </c>
    </row>
    <row r="1238" spans="1:15" x14ac:dyDescent="0.45">
      <c r="D1238" s="27">
        <f t="shared" ref="D1238:D1244" si="1345">C1228</f>
        <v>0</v>
      </c>
      <c r="E1238" s="28">
        <f t="shared" ref="E1238:E1244" si="1346">D1238*$E$6</f>
        <v>0</v>
      </c>
      <c r="F1238" s="42">
        <f t="shared" ref="F1238:F1244" si="1347">(E1238-1)/30</f>
        <v>-3.3333333333333333E-2</v>
      </c>
      <c r="G1238" s="42">
        <f t="shared" ref="G1238:G1244" si="1348">($E1238-7)/30</f>
        <v>-0.23333333333333334</v>
      </c>
      <c r="H1238" s="42">
        <f t="shared" ref="H1238:H1244" si="1349">($E1238-11)/30</f>
        <v>-0.36666666666666664</v>
      </c>
      <c r="I1238" s="42">
        <f t="shared" ref="I1238:I1244" si="1350">($E1238-13)/30</f>
        <v>-0.43333333333333335</v>
      </c>
      <c r="J1238" s="42">
        <f t="shared" ref="J1238:J1244" si="1351">($E1238-17)/30</f>
        <v>-0.56666666666666665</v>
      </c>
      <c r="K1238" s="42">
        <f t="shared" ref="K1238:K1244" si="1352">($E1238-19)/30</f>
        <v>-0.6333333333333333</v>
      </c>
      <c r="L1238" s="42">
        <f t="shared" ref="L1238:L1244" si="1353">($E1238-23)/30</f>
        <v>-0.76666666666666672</v>
      </c>
      <c r="M1238" s="42">
        <f t="shared" ref="M1238:M1244" si="1354">($E1238-29)/30</f>
        <v>-0.96666666666666667</v>
      </c>
      <c r="O1238" s="43" t="str">
        <f t="shared" si="1344"/>
        <v/>
      </c>
    </row>
    <row r="1239" spans="1:15" x14ac:dyDescent="0.45">
      <c r="D1239" s="27">
        <f t="shared" si="1345"/>
        <v>0</v>
      </c>
      <c r="E1239" s="28">
        <f t="shared" si="1346"/>
        <v>0</v>
      </c>
      <c r="F1239" s="42">
        <f t="shared" si="1347"/>
        <v>-3.3333333333333333E-2</v>
      </c>
      <c r="G1239" s="42">
        <f t="shared" si="1348"/>
        <v>-0.23333333333333334</v>
      </c>
      <c r="H1239" s="42">
        <f t="shared" si="1349"/>
        <v>-0.36666666666666664</v>
      </c>
      <c r="I1239" s="42">
        <f t="shared" si="1350"/>
        <v>-0.43333333333333335</v>
      </c>
      <c r="J1239" s="42">
        <f t="shared" si="1351"/>
        <v>-0.56666666666666665</v>
      </c>
      <c r="K1239" s="42">
        <f t="shared" si="1352"/>
        <v>-0.6333333333333333</v>
      </c>
      <c r="L1239" s="42">
        <f t="shared" si="1353"/>
        <v>-0.76666666666666672</v>
      </c>
      <c r="M1239" s="42">
        <f t="shared" si="1354"/>
        <v>-0.96666666666666667</v>
      </c>
      <c r="O1239" s="43" t="str">
        <f t="shared" si="1344"/>
        <v/>
      </c>
    </row>
    <row r="1240" spans="1:15" x14ac:dyDescent="0.45">
      <c r="D1240" s="27">
        <f t="shared" si="1345"/>
        <v>0</v>
      </c>
      <c r="E1240" s="28">
        <f t="shared" si="1346"/>
        <v>0</v>
      </c>
      <c r="F1240" s="42">
        <f t="shared" si="1347"/>
        <v>-3.3333333333333333E-2</v>
      </c>
      <c r="G1240" s="42">
        <f t="shared" si="1348"/>
        <v>-0.23333333333333334</v>
      </c>
      <c r="H1240" s="42">
        <f t="shared" si="1349"/>
        <v>-0.36666666666666664</v>
      </c>
      <c r="I1240" s="42">
        <f t="shared" si="1350"/>
        <v>-0.43333333333333335</v>
      </c>
      <c r="J1240" s="42">
        <f t="shared" si="1351"/>
        <v>-0.56666666666666665</v>
      </c>
      <c r="K1240" s="42">
        <f t="shared" si="1352"/>
        <v>-0.6333333333333333</v>
      </c>
      <c r="L1240" s="42">
        <f t="shared" si="1353"/>
        <v>-0.76666666666666672</v>
      </c>
      <c r="M1240" s="42">
        <f t="shared" si="1354"/>
        <v>-0.96666666666666667</v>
      </c>
      <c r="O1240" s="43" t="str">
        <f t="shared" si="1344"/>
        <v/>
      </c>
    </row>
    <row r="1241" spans="1:15" x14ac:dyDescent="0.45">
      <c r="D1241" s="27">
        <f t="shared" si="1345"/>
        <v>0</v>
      </c>
      <c r="E1241" s="28">
        <f t="shared" si="1346"/>
        <v>0</v>
      </c>
      <c r="F1241" s="42">
        <f t="shared" si="1347"/>
        <v>-3.3333333333333333E-2</v>
      </c>
      <c r="G1241" s="42">
        <f t="shared" si="1348"/>
        <v>-0.23333333333333334</v>
      </c>
      <c r="H1241" s="42">
        <f t="shared" si="1349"/>
        <v>-0.36666666666666664</v>
      </c>
      <c r="I1241" s="42">
        <f t="shared" si="1350"/>
        <v>-0.43333333333333335</v>
      </c>
      <c r="J1241" s="42">
        <f t="shared" si="1351"/>
        <v>-0.56666666666666665</v>
      </c>
      <c r="K1241" s="42">
        <f t="shared" si="1352"/>
        <v>-0.6333333333333333</v>
      </c>
      <c r="L1241" s="42">
        <f t="shared" si="1353"/>
        <v>-0.76666666666666672</v>
      </c>
      <c r="M1241" s="42">
        <f t="shared" si="1354"/>
        <v>-0.96666666666666667</v>
      </c>
      <c r="O1241" s="43" t="str">
        <f t="shared" si="1344"/>
        <v/>
      </c>
    </row>
    <row r="1242" spans="1:15" x14ac:dyDescent="0.45">
      <c r="D1242" s="27">
        <f t="shared" si="1345"/>
        <v>0</v>
      </c>
      <c r="E1242" s="28">
        <f t="shared" si="1346"/>
        <v>0</v>
      </c>
      <c r="F1242" s="42">
        <f t="shared" si="1347"/>
        <v>-3.3333333333333333E-2</v>
      </c>
      <c r="G1242" s="42">
        <f t="shared" si="1348"/>
        <v>-0.23333333333333334</v>
      </c>
      <c r="H1242" s="42">
        <f t="shared" si="1349"/>
        <v>-0.36666666666666664</v>
      </c>
      <c r="I1242" s="42">
        <f t="shared" si="1350"/>
        <v>-0.43333333333333335</v>
      </c>
      <c r="J1242" s="42">
        <f t="shared" si="1351"/>
        <v>-0.56666666666666665</v>
      </c>
      <c r="K1242" s="42">
        <f t="shared" si="1352"/>
        <v>-0.6333333333333333</v>
      </c>
      <c r="L1242" s="42">
        <f t="shared" si="1353"/>
        <v>-0.76666666666666672</v>
      </c>
      <c r="M1242" s="42">
        <f t="shared" si="1354"/>
        <v>-0.96666666666666667</v>
      </c>
      <c r="O1242" s="43" t="str">
        <f t="shared" si="1344"/>
        <v/>
      </c>
    </row>
    <row r="1243" spans="1:15" x14ac:dyDescent="0.45">
      <c r="D1243" s="27">
        <f t="shared" si="1345"/>
        <v>0</v>
      </c>
      <c r="E1243" s="28">
        <f t="shared" si="1346"/>
        <v>0</v>
      </c>
      <c r="F1243" s="42">
        <f t="shared" si="1347"/>
        <v>-3.3333333333333333E-2</v>
      </c>
      <c r="G1243" s="42">
        <f t="shared" si="1348"/>
        <v>-0.23333333333333334</v>
      </c>
      <c r="H1243" s="42">
        <f t="shared" si="1349"/>
        <v>-0.36666666666666664</v>
      </c>
      <c r="I1243" s="42">
        <f t="shared" si="1350"/>
        <v>-0.43333333333333335</v>
      </c>
      <c r="J1243" s="42">
        <f t="shared" si="1351"/>
        <v>-0.56666666666666665</v>
      </c>
      <c r="K1243" s="42">
        <f t="shared" si="1352"/>
        <v>-0.6333333333333333</v>
      </c>
      <c r="L1243" s="42">
        <f t="shared" si="1353"/>
        <v>-0.76666666666666672</v>
      </c>
      <c r="M1243" s="42">
        <f t="shared" si="1354"/>
        <v>-0.96666666666666667</v>
      </c>
      <c r="O1243" s="43" t="str">
        <f t="shared" si="1344"/>
        <v/>
      </c>
    </row>
    <row r="1244" spans="1:15" x14ac:dyDescent="0.45">
      <c r="D1244" s="27">
        <f t="shared" si="1345"/>
        <v>0</v>
      </c>
      <c r="E1244" s="28">
        <f t="shared" si="1346"/>
        <v>0</v>
      </c>
      <c r="F1244" s="42">
        <f t="shared" si="1347"/>
        <v>-3.3333333333333333E-2</v>
      </c>
      <c r="G1244" s="42">
        <f t="shared" si="1348"/>
        <v>-0.23333333333333334</v>
      </c>
      <c r="H1244" s="42">
        <f t="shared" si="1349"/>
        <v>-0.36666666666666664</v>
      </c>
      <c r="I1244" s="42">
        <f t="shared" si="1350"/>
        <v>-0.43333333333333335</v>
      </c>
      <c r="J1244" s="42">
        <f t="shared" si="1351"/>
        <v>-0.56666666666666665</v>
      </c>
      <c r="K1244" s="42">
        <f t="shared" si="1352"/>
        <v>-0.6333333333333333</v>
      </c>
      <c r="L1244" s="42">
        <f t="shared" si="1353"/>
        <v>-0.76666666666666672</v>
      </c>
      <c r="M1244" s="42">
        <f t="shared" si="1354"/>
        <v>-0.96666666666666667</v>
      </c>
      <c r="O1244" s="43" t="str">
        <f t="shared" si="1344"/>
        <v/>
      </c>
    </row>
    <row r="1245" spans="1:15" ht="19.2" thickBot="1" x14ac:dyDescent="0.5">
      <c r="F1245" s="42"/>
      <c r="G1245" s="42"/>
      <c r="H1245" s="42"/>
      <c r="I1245" s="42"/>
      <c r="J1245" s="42"/>
      <c r="K1245" s="42"/>
      <c r="L1245" s="42"/>
      <c r="M1245" s="42"/>
    </row>
    <row r="1246" spans="1:15" ht="19.2" thickBot="1" x14ac:dyDescent="0.5">
      <c r="C1246" s="44"/>
      <c r="E1246" s="34">
        <f>E1227</f>
        <v>0</v>
      </c>
      <c r="F1246" s="45">
        <v>1</v>
      </c>
      <c r="G1246" s="46">
        <v>7</v>
      </c>
      <c r="H1246" s="46">
        <v>11</v>
      </c>
      <c r="I1246" s="46">
        <v>13</v>
      </c>
      <c r="J1246" s="46">
        <v>17</v>
      </c>
      <c r="K1246" s="46">
        <v>19</v>
      </c>
      <c r="L1246" s="46">
        <v>23</v>
      </c>
      <c r="M1246" s="47">
        <v>29</v>
      </c>
      <c r="O1246" s="27" t="s">
        <v>2</v>
      </c>
    </row>
    <row r="1247" spans="1:15" x14ac:dyDescent="0.45">
      <c r="A1247" s="29">
        <f>A1237+1</f>
        <v>124</v>
      </c>
      <c r="D1247" s="27">
        <f>C1237</f>
        <v>0</v>
      </c>
      <c r="E1247" s="28">
        <f>D1247*$E$6</f>
        <v>0</v>
      </c>
      <c r="F1247" s="42">
        <f>(E1247-1)/30</f>
        <v>-3.3333333333333333E-2</v>
      </c>
      <c r="G1247" s="42">
        <f>($E1247-7)/30</f>
        <v>-0.23333333333333334</v>
      </c>
      <c r="H1247" s="42">
        <f>($E1247-11)/30</f>
        <v>-0.36666666666666664</v>
      </c>
      <c r="I1247" s="42">
        <f>($E1247-13)/30</f>
        <v>-0.43333333333333335</v>
      </c>
      <c r="J1247" s="42">
        <f>($E1247-17)/30</f>
        <v>-0.56666666666666665</v>
      </c>
      <c r="K1247" s="42">
        <f>($E1247-19)/30</f>
        <v>-0.6333333333333333</v>
      </c>
      <c r="L1247" s="42">
        <f>($E1247-23)/30</f>
        <v>-0.76666666666666672</v>
      </c>
      <c r="M1247" s="42">
        <f>($E1247-29)/30</f>
        <v>-0.96666666666666667</v>
      </c>
      <c r="O1247" s="43" t="str">
        <f t="shared" ref="O1247:O1254" si="1355">FactorNumber(E1247)</f>
        <v/>
      </c>
    </row>
    <row r="1248" spans="1:15" x14ac:dyDescent="0.45">
      <c r="D1248" s="27">
        <f t="shared" ref="D1248:D1254" si="1356">C1238</f>
        <v>0</v>
      </c>
      <c r="E1248" s="28">
        <f t="shared" ref="E1248:E1254" si="1357">D1248*$E$6</f>
        <v>0</v>
      </c>
      <c r="F1248" s="42">
        <f t="shared" ref="F1248:F1254" si="1358">(E1248-1)/30</f>
        <v>-3.3333333333333333E-2</v>
      </c>
      <c r="G1248" s="42">
        <f t="shared" ref="G1248:G1254" si="1359">($E1248-7)/30</f>
        <v>-0.23333333333333334</v>
      </c>
      <c r="H1248" s="42">
        <f t="shared" ref="H1248:H1254" si="1360">($E1248-11)/30</f>
        <v>-0.36666666666666664</v>
      </c>
      <c r="I1248" s="42">
        <f t="shared" ref="I1248:I1254" si="1361">($E1248-13)/30</f>
        <v>-0.43333333333333335</v>
      </c>
      <c r="J1248" s="42">
        <f t="shared" ref="J1248:J1254" si="1362">($E1248-17)/30</f>
        <v>-0.56666666666666665</v>
      </c>
      <c r="K1248" s="42">
        <f t="shared" ref="K1248:K1254" si="1363">($E1248-19)/30</f>
        <v>-0.6333333333333333</v>
      </c>
      <c r="L1248" s="42">
        <f t="shared" ref="L1248:L1254" si="1364">($E1248-23)/30</f>
        <v>-0.76666666666666672</v>
      </c>
      <c r="M1248" s="42">
        <f t="shared" ref="M1248:M1254" si="1365">($E1248-29)/30</f>
        <v>-0.96666666666666667</v>
      </c>
      <c r="O1248" s="43" t="str">
        <f t="shared" si="1355"/>
        <v/>
      </c>
    </row>
    <row r="1249" spans="1:15" x14ac:dyDescent="0.45">
      <c r="D1249" s="27">
        <f t="shared" si="1356"/>
        <v>0</v>
      </c>
      <c r="E1249" s="28">
        <f t="shared" si="1357"/>
        <v>0</v>
      </c>
      <c r="F1249" s="42">
        <f t="shared" si="1358"/>
        <v>-3.3333333333333333E-2</v>
      </c>
      <c r="G1249" s="42">
        <f t="shared" si="1359"/>
        <v>-0.23333333333333334</v>
      </c>
      <c r="H1249" s="42">
        <f t="shared" si="1360"/>
        <v>-0.36666666666666664</v>
      </c>
      <c r="I1249" s="42">
        <f t="shared" si="1361"/>
        <v>-0.43333333333333335</v>
      </c>
      <c r="J1249" s="42">
        <f t="shared" si="1362"/>
        <v>-0.56666666666666665</v>
      </c>
      <c r="K1249" s="42">
        <f t="shared" si="1363"/>
        <v>-0.6333333333333333</v>
      </c>
      <c r="L1249" s="42">
        <f t="shared" si="1364"/>
        <v>-0.76666666666666672</v>
      </c>
      <c r="M1249" s="42">
        <f t="shared" si="1365"/>
        <v>-0.96666666666666667</v>
      </c>
      <c r="O1249" s="43" t="str">
        <f t="shared" si="1355"/>
        <v/>
      </c>
    </row>
    <row r="1250" spans="1:15" x14ac:dyDescent="0.45">
      <c r="D1250" s="27">
        <f t="shared" si="1356"/>
        <v>0</v>
      </c>
      <c r="E1250" s="28">
        <f t="shared" si="1357"/>
        <v>0</v>
      </c>
      <c r="F1250" s="42">
        <f t="shared" si="1358"/>
        <v>-3.3333333333333333E-2</v>
      </c>
      <c r="G1250" s="42">
        <f t="shared" si="1359"/>
        <v>-0.23333333333333334</v>
      </c>
      <c r="H1250" s="42">
        <f t="shared" si="1360"/>
        <v>-0.36666666666666664</v>
      </c>
      <c r="I1250" s="42">
        <f t="shared" si="1361"/>
        <v>-0.43333333333333335</v>
      </c>
      <c r="J1250" s="42">
        <f t="shared" si="1362"/>
        <v>-0.56666666666666665</v>
      </c>
      <c r="K1250" s="42">
        <f t="shared" si="1363"/>
        <v>-0.6333333333333333</v>
      </c>
      <c r="L1250" s="42">
        <f t="shared" si="1364"/>
        <v>-0.76666666666666672</v>
      </c>
      <c r="M1250" s="42">
        <f t="shared" si="1365"/>
        <v>-0.96666666666666667</v>
      </c>
      <c r="O1250" s="43" t="str">
        <f t="shared" si="1355"/>
        <v/>
      </c>
    </row>
    <row r="1251" spans="1:15" x14ac:dyDescent="0.45">
      <c r="D1251" s="27">
        <f t="shared" si="1356"/>
        <v>0</v>
      </c>
      <c r="E1251" s="28">
        <f t="shared" si="1357"/>
        <v>0</v>
      </c>
      <c r="F1251" s="42">
        <f t="shared" si="1358"/>
        <v>-3.3333333333333333E-2</v>
      </c>
      <c r="G1251" s="42">
        <f t="shared" si="1359"/>
        <v>-0.23333333333333334</v>
      </c>
      <c r="H1251" s="42">
        <f t="shared" si="1360"/>
        <v>-0.36666666666666664</v>
      </c>
      <c r="I1251" s="42">
        <f t="shared" si="1361"/>
        <v>-0.43333333333333335</v>
      </c>
      <c r="J1251" s="42">
        <f t="shared" si="1362"/>
        <v>-0.56666666666666665</v>
      </c>
      <c r="K1251" s="42">
        <f t="shared" si="1363"/>
        <v>-0.6333333333333333</v>
      </c>
      <c r="L1251" s="42">
        <f t="shared" si="1364"/>
        <v>-0.76666666666666672</v>
      </c>
      <c r="M1251" s="42">
        <f t="shared" si="1365"/>
        <v>-0.96666666666666667</v>
      </c>
      <c r="O1251" s="43" t="str">
        <f t="shared" si="1355"/>
        <v/>
      </c>
    </row>
    <row r="1252" spans="1:15" x14ac:dyDescent="0.45">
      <c r="D1252" s="27">
        <f t="shared" si="1356"/>
        <v>0</v>
      </c>
      <c r="E1252" s="28">
        <f t="shared" si="1357"/>
        <v>0</v>
      </c>
      <c r="F1252" s="42">
        <f t="shared" si="1358"/>
        <v>-3.3333333333333333E-2</v>
      </c>
      <c r="G1252" s="42">
        <f t="shared" si="1359"/>
        <v>-0.23333333333333334</v>
      </c>
      <c r="H1252" s="42">
        <f t="shared" si="1360"/>
        <v>-0.36666666666666664</v>
      </c>
      <c r="I1252" s="42">
        <f t="shared" si="1361"/>
        <v>-0.43333333333333335</v>
      </c>
      <c r="J1252" s="42">
        <f t="shared" si="1362"/>
        <v>-0.56666666666666665</v>
      </c>
      <c r="K1252" s="42">
        <f t="shared" si="1363"/>
        <v>-0.6333333333333333</v>
      </c>
      <c r="L1252" s="42">
        <f t="shared" si="1364"/>
        <v>-0.76666666666666672</v>
      </c>
      <c r="M1252" s="42">
        <f t="shared" si="1365"/>
        <v>-0.96666666666666667</v>
      </c>
      <c r="O1252" s="43" t="str">
        <f t="shared" si="1355"/>
        <v/>
      </c>
    </row>
    <row r="1253" spans="1:15" x14ac:dyDescent="0.45">
      <c r="D1253" s="27">
        <f t="shared" si="1356"/>
        <v>0</v>
      </c>
      <c r="E1253" s="28">
        <f t="shared" si="1357"/>
        <v>0</v>
      </c>
      <c r="F1253" s="42">
        <f t="shared" si="1358"/>
        <v>-3.3333333333333333E-2</v>
      </c>
      <c r="G1253" s="42">
        <f t="shared" si="1359"/>
        <v>-0.23333333333333334</v>
      </c>
      <c r="H1253" s="42">
        <f t="shared" si="1360"/>
        <v>-0.36666666666666664</v>
      </c>
      <c r="I1253" s="42">
        <f t="shared" si="1361"/>
        <v>-0.43333333333333335</v>
      </c>
      <c r="J1253" s="42">
        <f t="shared" si="1362"/>
        <v>-0.56666666666666665</v>
      </c>
      <c r="K1253" s="42">
        <f t="shared" si="1363"/>
        <v>-0.6333333333333333</v>
      </c>
      <c r="L1253" s="42">
        <f t="shared" si="1364"/>
        <v>-0.76666666666666672</v>
      </c>
      <c r="M1253" s="42">
        <f t="shared" si="1365"/>
        <v>-0.96666666666666667</v>
      </c>
      <c r="O1253" s="43" t="str">
        <f t="shared" si="1355"/>
        <v/>
      </c>
    </row>
    <row r="1254" spans="1:15" x14ac:dyDescent="0.45">
      <c r="D1254" s="27">
        <f t="shared" si="1356"/>
        <v>0</v>
      </c>
      <c r="E1254" s="28">
        <f t="shared" si="1357"/>
        <v>0</v>
      </c>
      <c r="F1254" s="42">
        <f t="shared" si="1358"/>
        <v>-3.3333333333333333E-2</v>
      </c>
      <c r="G1254" s="42">
        <f t="shared" si="1359"/>
        <v>-0.23333333333333334</v>
      </c>
      <c r="H1254" s="42">
        <f t="shared" si="1360"/>
        <v>-0.36666666666666664</v>
      </c>
      <c r="I1254" s="42">
        <f t="shared" si="1361"/>
        <v>-0.43333333333333335</v>
      </c>
      <c r="J1254" s="42">
        <f t="shared" si="1362"/>
        <v>-0.56666666666666665</v>
      </c>
      <c r="K1254" s="42">
        <f t="shared" si="1363"/>
        <v>-0.6333333333333333</v>
      </c>
      <c r="L1254" s="42">
        <f t="shared" si="1364"/>
        <v>-0.76666666666666672</v>
      </c>
      <c r="M1254" s="42">
        <f t="shared" si="1365"/>
        <v>-0.96666666666666667</v>
      </c>
      <c r="O1254" s="43" t="str">
        <f t="shared" si="1355"/>
        <v/>
      </c>
    </row>
    <row r="1255" spans="1:15" ht="19.2" thickBot="1" x14ac:dyDescent="0.5">
      <c r="F1255" s="42"/>
      <c r="G1255" s="42"/>
      <c r="H1255" s="42"/>
      <c r="I1255" s="42"/>
      <c r="J1255" s="42"/>
      <c r="K1255" s="42"/>
      <c r="L1255" s="42"/>
      <c r="M1255" s="42"/>
    </row>
    <row r="1256" spans="1:15" ht="19.2" thickBot="1" x14ac:dyDescent="0.5">
      <c r="C1256" s="44"/>
      <c r="E1256" s="34">
        <f>E1237</f>
        <v>0</v>
      </c>
      <c r="F1256" s="45">
        <v>1</v>
      </c>
      <c r="G1256" s="46">
        <v>7</v>
      </c>
      <c r="H1256" s="46">
        <v>11</v>
      </c>
      <c r="I1256" s="46">
        <v>13</v>
      </c>
      <c r="J1256" s="46">
        <v>17</v>
      </c>
      <c r="K1256" s="46">
        <v>19</v>
      </c>
      <c r="L1256" s="46">
        <v>23</v>
      </c>
      <c r="M1256" s="47">
        <v>29</v>
      </c>
      <c r="O1256" s="27" t="s">
        <v>2</v>
      </c>
    </row>
    <row r="1257" spans="1:15" x14ac:dyDescent="0.45">
      <c r="A1257" s="29">
        <f>A1247+1</f>
        <v>125</v>
      </c>
      <c r="D1257" s="27">
        <f>C1247</f>
        <v>0</v>
      </c>
      <c r="E1257" s="28">
        <f>D1257*$E$6</f>
        <v>0</v>
      </c>
      <c r="F1257" s="42">
        <f>(E1257-1)/30</f>
        <v>-3.3333333333333333E-2</v>
      </c>
      <c r="G1257" s="42">
        <f>($E1257-7)/30</f>
        <v>-0.23333333333333334</v>
      </c>
      <c r="H1257" s="42">
        <f>($E1257-11)/30</f>
        <v>-0.36666666666666664</v>
      </c>
      <c r="I1257" s="42">
        <f>($E1257-13)/30</f>
        <v>-0.43333333333333335</v>
      </c>
      <c r="J1257" s="42">
        <f>($E1257-17)/30</f>
        <v>-0.56666666666666665</v>
      </c>
      <c r="K1257" s="42">
        <f>($E1257-19)/30</f>
        <v>-0.6333333333333333</v>
      </c>
      <c r="L1257" s="42">
        <f>($E1257-23)/30</f>
        <v>-0.76666666666666672</v>
      </c>
      <c r="M1257" s="42">
        <f>($E1257-29)/30</f>
        <v>-0.96666666666666667</v>
      </c>
      <c r="O1257" s="43" t="str">
        <f t="shared" ref="O1257:O1264" si="1366">FactorNumber(E1257)</f>
        <v/>
      </c>
    </row>
    <row r="1258" spans="1:15" x14ac:dyDescent="0.45">
      <c r="D1258" s="27">
        <f t="shared" ref="D1258:D1264" si="1367">C1248</f>
        <v>0</v>
      </c>
      <c r="E1258" s="28">
        <f t="shared" ref="E1258:E1264" si="1368">D1258*$E$6</f>
        <v>0</v>
      </c>
      <c r="F1258" s="42">
        <f t="shared" ref="F1258:F1264" si="1369">(E1258-1)/30</f>
        <v>-3.3333333333333333E-2</v>
      </c>
      <c r="G1258" s="42">
        <f t="shared" ref="G1258:G1264" si="1370">($E1258-7)/30</f>
        <v>-0.23333333333333334</v>
      </c>
      <c r="H1258" s="42">
        <f t="shared" ref="H1258:H1264" si="1371">($E1258-11)/30</f>
        <v>-0.36666666666666664</v>
      </c>
      <c r="I1258" s="42">
        <f t="shared" ref="I1258:I1264" si="1372">($E1258-13)/30</f>
        <v>-0.43333333333333335</v>
      </c>
      <c r="J1258" s="42">
        <f t="shared" ref="J1258:J1264" si="1373">($E1258-17)/30</f>
        <v>-0.56666666666666665</v>
      </c>
      <c r="K1258" s="42">
        <f t="shared" ref="K1258:K1264" si="1374">($E1258-19)/30</f>
        <v>-0.6333333333333333</v>
      </c>
      <c r="L1258" s="42">
        <f t="shared" ref="L1258:L1264" si="1375">($E1258-23)/30</f>
        <v>-0.76666666666666672</v>
      </c>
      <c r="M1258" s="42">
        <f t="shared" ref="M1258:M1264" si="1376">($E1258-29)/30</f>
        <v>-0.96666666666666667</v>
      </c>
      <c r="O1258" s="43" t="str">
        <f t="shared" si="1366"/>
        <v/>
      </c>
    </row>
    <row r="1259" spans="1:15" x14ac:dyDescent="0.45">
      <c r="D1259" s="27">
        <f t="shared" si="1367"/>
        <v>0</v>
      </c>
      <c r="E1259" s="28">
        <f t="shared" si="1368"/>
        <v>0</v>
      </c>
      <c r="F1259" s="42">
        <f t="shared" si="1369"/>
        <v>-3.3333333333333333E-2</v>
      </c>
      <c r="G1259" s="42">
        <f t="shared" si="1370"/>
        <v>-0.23333333333333334</v>
      </c>
      <c r="H1259" s="42">
        <f t="shared" si="1371"/>
        <v>-0.36666666666666664</v>
      </c>
      <c r="I1259" s="42">
        <f t="shared" si="1372"/>
        <v>-0.43333333333333335</v>
      </c>
      <c r="J1259" s="42">
        <f t="shared" si="1373"/>
        <v>-0.56666666666666665</v>
      </c>
      <c r="K1259" s="42">
        <f t="shared" si="1374"/>
        <v>-0.6333333333333333</v>
      </c>
      <c r="L1259" s="42">
        <f t="shared" si="1375"/>
        <v>-0.76666666666666672</v>
      </c>
      <c r="M1259" s="42">
        <f t="shared" si="1376"/>
        <v>-0.96666666666666667</v>
      </c>
      <c r="O1259" s="43" t="str">
        <f t="shared" si="1366"/>
        <v/>
      </c>
    </row>
    <row r="1260" spans="1:15" x14ac:dyDescent="0.45">
      <c r="D1260" s="27">
        <f t="shared" si="1367"/>
        <v>0</v>
      </c>
      <c r="E1260" s="28">
        <f t="shared" si="1368"/>
        <v>0</v>
      </c>
      <c r="F1260" s="42">
        <f t="shared" si="1369"/>
        <v>-3.3333333333333333E-2</v>
      </c>
      <c r="G1260" s="42">
        <f t="shared" si="1370"/>
        <v>-0.23333333333333334</v>
      </c>
      <c r="H1260" s="42">
        <f t="shared" si="1371"/>
        <v>-0.36666666666666664</v>
      </c>
      <c r="I1260" s="42">
        <f t="shared" si="1372"/>
        <v>-0.43333333333333335</v>
      </c>
      <c r="J1260" s="42">
        <f t="shared" si="1373"/>
        <v>-0.56666666666666665</v>
      </c>
      <c r="K1260" s="42">
        <f t="shared" si="1374"/>
        <v>-0.6333333333333333</v>
      </c>
      <c r="L1260" s="42">
        <f t="shared" si="1375"/>
        <v>-0.76666666666666672</v>
      </c>
      <c r="M1260" s="42">
        <f t="shared" si="1376"/>
        <v>-0.96666666666666667</v>
      </c>
      <c r="O1260" s="43" t="str">
        <f t="shared" si="1366"/>
        <v/>
      </c>
    </row>
    <row r="1261" spans="1:15" x14ac:dyDescent="0.45">
      <c r="D1261" s="27">
        <f t="shared" si="1367"/>
        <v>0</v>
      </c>
      <c r="E1261" s="28">
        <f t="shared" si="1368"/>
        <v>0</v>
      </c>
      <c r="F1261" s="42">
        <f t="shared" si="1369"/>
        <v>-3.3333333333333333E-2</v>
      </c>
      <c r="G1261" s="42">
        <f t="shared" si="1370"/>
        <v>-0.23333333333333334</v>
      </c>
      <c r="H1261" s="42">
        <f t="shared" si="1371"/>
        <v>-0.36666666666666664</v>
      </c>
      <c r="I1261" s="42">
        <f t="shared" si="1372"/>
        <v>-0.43333333333333335</v>
      </c>
      <c r="J1261" s="42">
        <f t="shared" si="1373"/>
        <v>-0.56666666666666665</v>
      </c>
      <c r="K1261" s="42">
        <f t="shared" si="1374"/>
        <v>-0.6333333333333333</v>
      </c>
      <c r="L1261" s="42">
        <f t="shared" si="1375"/>
        <v>-0.76666666666666672</v>
      </c>
      <c r="M1261" s="42">
        <f t="shared" si="1376"/>
        <v>-0.96666666666666667</v>
      </c>
      <c r="O1261" s="43" t="str">
        <f t="shared" si="1366"/>
        <v/>
      </c>
    </row>
    <row r="1262" spans="1:15" x14ac:dyDescent="0.45">
      <c r="D1262" s="27">
        <f t="shared" si="1367"/>
        <v>0</v>
      </c>
      <c r="E1262" s="28">
        <f t="shared" si="1368"/>
        <v>0</v>
      </c>
      <c r="F1262" s="42">
        <f t="shared" si="1369"/>
        <v>-3.3333333333333333E-2</v>
      </c>
      <c r="G1262" s="42">
        <f t="shared" si="1370"/>
        <v>-0.23333333333333334</v>
      </c>
      <c r="H1262" s="42">
        <f t="shared" si="1371"/>
        <v>-0.36666666666666664</v>
      </c>
      <c r="I1262" s="42">
        <f t="shared" si="1372"/>
        <v>-0.43333333333333335</v>
      </c>
      <c r="J1262" s="42">
        <f t="shared" si="1373"/>
        <v>-0.56666666666666665</v>
      </c>
      <c r="K1262" s="42">
        <f t="shared" si="1374"/>
        <v>-0.6333333333333333</v>
      </c>
      <c r="L1262" s="42">
        <f t="shared" si="1375"/>
        <v>-0.76666666666666672</v>
      </c>
      <c r="M1262" s="42">
        <f t="shared" si="1376"/>
        <v>-0.96666666666666667</v>
      </c>
      <c r="O1262" s="43" t="str">
        <f t="shared" si="1366"/>
        <v/>
      </c>
    </row>
    <row r="1263" spans="1:15" x14ac:dyDescent="0.45">
      <c r="D1263" s="27">
        <f t="shared" si="1367"/>
        <v>0</v>
      </c>
      <c r="E1263" s="28">
        <f t="shared" si="1368"/>
        <v>0</v>
      </c>
      <c r="F1263" s="42">
        <f t="shared" si="1369"/>
        <v>-3.3333333333333333E-2</v>
      </c>
      <c r="G1263" s="42">
        <f t="shared" si="1370"/>
        <v>-0.23333333333333334</v>
      </c>
      <c r="H1263" s="42">
        <f t="shared" si="1371"/>
        <v>-0.36666666666666664</v>
      </c>
      <c r="I1263" s="42">
        <f t="shared" si="1372"/>
        <v>-0.43333333333333335</v>
      </c>
      <c r="J1263" s="42">
        <f t="shared" si="1373"/>
        <v>-0.56666666666666665</v>
      </c>
      <c r="K1263" s="42">
        <f t="shared" si="1374"/>
        <v>-0.6333333333333333</v>
      </c>
      <c r="L1263" s="42">
        <f t="shared" si="1375"/>
        <v>-0.76666666666666672</v>
      </c>
      <c r="M1263" s="42">
        <f t="shared" si="1376"/>
        <v>-0.96666666666666667</v>
      </c>
      <c r="O1263" s="43" t="str">
        <f t="shared" si="1366"/>
        <v/>
      </c>
    </row>
    <row r="1264" spans="1:15" x14ac:dyDescent="0.45">
      <c r="D1264" s="27">
        <f t="shared" si="1367"/>
        <v>0</v>
      </c>
      <c r="E1264" s="28">
        <f t="shared" si="1368"/>
        <v>0</v>
      </c>
      <c r="F1264" s="42">
        <f t="shared" si="1369"/>
        <v>-3.3333333333333333E-2</v>
      </c>
      <c r="G1264" s="42">
        <f t="shared" si="1370"/>
        <v>-0.23333333333333334</v>
      </c>
      <c r="H1264" s="42">
        <f t="shared" si="1371"/>
        <v>-0.36666666666666664</v>
      </c>
      <c r="I1264" s="42">
        <f t="shared" si="1372"/>
        <v>-0.43333333333333335</v>
      </c>
      <c r="J1264" s="42">
        <f t="shared" si="1373"/>
        <v>-0.56666666666666665</v>
      </c>
      <c r="K1264" s="42">
        <f t="shared" si="1374"/>
        <v>-0.6333333333333333</v>
      </c>
      <c r="L1264" s="42">
        <f t="shared" si="1375"/>
        <v>-0.76666666666666672</v>
      </c>
      <c r="M1264" s="42">
        <f t="shared" si="1376"/>
        <v>-0.96666666666666667</v>
      </c>
      <c r="O1264" s="43" t="str">
        <f t="shared" si="1366"/>
        <v/>
      </c>
    </row>
    <row r="1265" spans="1:15" ht="19.2" thickBot="1" x14ac:dyDescent="0.5">
      <c r="F1265" s="42"/>
      <c r="G1265" s="42"/>
      <c r="H1265" s="42"/>
      <c r="I1265" s="42"/>
      <c r="J1265" s="42"/>
      <c r="K1265" s="42"/>
      <c r="L1265" s="42"/>
      <c r="M1265" s="42"/>
    </row>
    <row r="1266" spans="1:15" ht="19.2" thickBot="1" x14ac:dyDescent="0.5">
      <c r="C1266" s="44"/>
      <c r="E1266" s="34">
        <f>E1247</f>
        <v>0</v>
      </c>
      <c r="F1266" s="45">
        <v>1</v>
      </c>
      <c r="G1266" s="46">
        <v>7</v>
      </c>
      <c r="H1266" s="46">
        <v>11</v>
      </c>
      <c r="I1266" s="46">
        <v>13</v>
      </c>
      <c r="J1266" s="46">
        <v>17</v>
      </c>
      <c r="K1266" s="46">
        <v>19</v>
      </c>
      <c r="L1266" s="46">
        <v>23</v>
      </c>
      <c r="M1266" s="47">
        <v>29</v>
      </c>
      <c r="O1266" s="27" t="s">
        <v>2</v>
      </c>
    </row>
    <row r="1267" spans="1:15" x14ac:dyDescent="0.45">
      <c r="A1267" s="29">
        <f>A1257+1</f>
        <v>126</v>
      </c>
      <c r="D1267" s="27">
        <f>C1257</f>
        <v>0</v>
      </c>
      <c r="E1267" s="28">
        <f>D1267*$E$6</f>
        <v>0</v>
      </c>
      <c r="F1267" s="42">
        <f>(E1267-1)/30</f>
        <v>-3.3333333333333333E-2</v>
      </c>
      <c r="G1267" s="42">
        <f>($E1267-7)/30</f>
        <v>-0.23333333333333334</v>
      </c>
      <c r="H1267" s="42">
        <f>($E1267-11)/30</f>
        <v>-0.36666666666666664</v>
      </c>
      <c r="I1267" s="42">
        <f>($E1267-13)/30</f>
        <v>-0.43333333333333335</v>
      </c>
      <c r="J1267" s="42">
        <f>($E1267-17)/30</f>
        <v>-0.56666666666666665</v>
      </c>
      <c r="K1267" s="42">
        <f>($E1267-19)/30</f>
        <v>-0.6333333333333333</v>
      </c>
      <c r="L1267" s="42">
        <f>($E1267-23)/30</f>
        <v>-0.76666666666666672</v>
      </c>
      <c r="M1267" s="42">
        <f>($E1267-29)/30</f>
        <v>-0.96666666666666667</v>
      </c>
      <c r="O1267" s="43" t="str">
        <f t="shared" ref="O1267:O1274" si="1377">FactorNumber(E1267)</f>
        <v/>
      </c>
    </row>
    <row r="1268" spans="1:15" x14ac:dyDescent="0.45">
      <c r="D1268" s="27">
        <f t="shared" ref="D1268:D1274" si="1378">C1258</f>
        <v>0</v>
      </c>
      <c r="E1268" s="28">
        <f t="shared" ref="E1268:E1274" si="1379">D1268*$E$6</f>
        <v>0</v>
      </c>
      <c r="F1268" s="42">
        <f t="shared" ref="F1268:F1274" si="1380">(E1268-1)/30</f>
        <v>-3.3333333333333333E-2</v>
      </c>
      <c r="G1268" s="42">
        <f t="shared" ref="G1268:G1274" si="1381">($E1268-7)/30</f>
        <v>-0.23333333333333334</v>
      </c>
      <c r="H1268" s="42">
        <f t="shared" ref="H1268:H1274" si="1382">($E1268-11)/30</f>
        <v>-0.36666666666666664</v>
      </c>
      <c r="I1268" s="42">
        <f t="shared" ref="I1268:I1274" si="1383">($E1268-13)/30</f>
        <v>-0.43333333333333335</v>
      </c>
      <c r="J1268" s="42">
        <f t="shared" ref="J1268:J1274" si="1384">($E1268-17)/30</f>
        <v>-0.56666666666666665</v>
      </c>
      <c r="K1268" s="42">
        <f t="shared" ref="K1268:K1274" si="1385">($E1268-19)/30</f>
        <v>-0.6333333333333333</v>
      </c>
      <c r="L1268" s="42">
        <f t="shared" ref="L1268:L1274" si="1386">($E1268-23)/30</f>
        <v>-0.76666666666666672</v>
      </c>
      <c r="M1268" s="42">
        <f t="shared" ref="M1268:M1274" si="1387">($E1268-29)/30</f>
        <v>-0.96666666666666667</v>
      </c>
      <c r="O1268" s="43" t="str">
        <f t="shared" si="1377"/>
        <v/>
      </c>
    </row>
    <row r="1269" spans="1:15" x14ac:dyDescent="0.45">
      <c r="D1269" s="27">
        <f t="shared" si="1378"/>
        <v>0</v>
      </c>
      <c r="E1269" s="28">
        <f t="shared" si="1379"/>
        <v>0</v>
      </c>
      <c r="F1269" s="42">
        <f t="shared" si="1380"/>
        <v>-3.3333333333333333E-2</v>
      </c>
      <c r="G1269" s="42">
        <f t="shared" si="1381"/>
        <v>-0.23333333333333334</v>
      </c>
      <c r="H1269" s="42">
        <f t="shared" si="1382"/>
        <v>-0.36666666666666664</v>
      </c>
      <c r="I1269" s="42">
        <f t="shared" si="1383"/>
        <v>-0.43333333333333335</v>
      </c>
      <c r="J1269" s="42">
        <f t="shared" si="1384"/>
        <v>-0.56666666666666665</v>
      </c>
      <c r="K1269" s="42">
        <f t="shared" si="1385"/>
        <v>-0.6333333333333333</v>
      </c>
      <c r="L1269" s="42">
        <f t="shared" si="1386"/>
        <v>-0.76666666666666672</v>
      </c>
      <c r="M1269" s="42">
        <f t="shared" si="1387"/>
        <v>-0.96666666666666667</v>
      </c>
      <c r="O1269" s="43" t="str">
        <f t="shared" si="1377"/>
        <v/>
      </c>
    </row>
    <row r="1270" spans="1:15" x14ac:dyDescent="0.45">
      <c r="D1270" s="27">
        <f t="shared" si="1378"/>
        <v>0</v>
      </c>
      <c r="E1270" s="28">
        <f t="shared" si="1379"/>
        <v>0</v>
      </c>
      <c r="F1270" s="42">
        <f t="shared" si="1380"/>
        <v>-3.3333333333333333E-2</v>
      </c>
      <c r="G1270" s="42">
        <f t="shared" si="1381"/>
        <v>-0.23333333333333334</v>
      </c>
      <c r="H1270" s="42">
        <f t="shared" si="1382"/>
        <v>-0.36666666666666664</v>
      </c>
      <c r="I1270" s="42">
        <f t="shared" si="1383"/>
        <v>-0.43333333333333335</v>
      </c>
      <c r="J1270" s="42">
        <f t="shared" si="1384"/>
        <v>-0.56666666666666665</v>
      </c>
      <c r="K1270" s="42">
        <f t="shared" si="1385"/>
        <v>-0.6333333333333333</v>
      </c>
      <c r="L1270" s="42">
        <f t="shared" si="1386"/>
        <v>-0.76666666666666672</v>
      </c>
      <c r="M1270" s="42">
        <f t="shared" si="1387"/>
        <v>-0.96666666666666667</v>
      </c>
      <c r="O1270" s="43" t="str">
        <f t="shared" si="1377"/>
        <v/>
      </c>
    </row>
    <row r="1271" spans="1:15" x14ac:dyDescent="0.45">
      <c r="D1271" s="27">
        <f t="shared" si="1378"/>
        <v>0</v>
      </c>
      <c r="E1271" s="28">
        <f t="shared" si="1379"/>
        <v>0</v>
      </c>
      <c r="F1271" s="42">
        <f t="shared" si="1380"/>
        <v>-3.3333333333333333E-2</v>
      </c>
      <c r="G1271" s="42">
        <f t="shared" si="1381"/>
        <v>-0.23333333333333334</v>
      </c>
      <c r="H1271" s="42">
        <f t="shared" si="1382"/>
        <v>-0.36666666666666664</v>
      </c>
      <c r="I1271" s="42">
        <f t="shared" si="1383"/>
        <v>-0.43333333333333335</v>
      </c>
      <c r="J1271" s="42">
        <f t="shared" si="1384"/>
        <v>-0.56666666666666665</v>
      </c>
      <c r="K1271" s="42">
        <f t="shared" si="1385"/>
        <v>-0.6333333333333333</v>
      </c>
      <c r="L1271" s="42">
        <f t="shared" si="1386"/>
        <v>-0.76666666666666672</v>
      </c>
      <c r="M1271" s="42">
        <f t="shared" si="1387"/>
        <v>-0.96666666666666667</v>
      </c>
      <c r="O1271" s="43" t="str">
        <f t="shared" si="1377"/>
        <v/>
      </c>
    </row>
    <row r="1272" spans="1:15" x14ac:dyDescent="0.45">
      <c r="D1272" s="27">
        <f t="shared" si="1378"/>
        <v>0</v>
      </c>
      <c r="E1272" s="28">
        <f t="shared" si="1379"/>
        <v>0</v>
      </c>
      <c r="F1272" s="42">
        <f t="shared" si="1380"/>
        <v>-3.3333333333333333E-2</v>
      </c>
      <c r="G1272" s="42">
        <f t="shared" si="1381"/>
        <v>-0.23333333333333334</v>
      </c>
      <c r="H1272" s="42">
        <f t="shared" si="1382"/>
        <v>-0.36666666666666664</v>
      </c>
      <c r="I1272" s="42">
        <f t="shared" si="1383"/>
        <v>-0.43333333333333335</v>
      </c>
      <c r="J1272" s="42">
        <f t="shared" si="1384"/>
        <v>-0.56666666666666665</v>
      </c>
      <c r="K1272" s="42">
        <f t="shared" si="1385"/>
        <v>-0.6333333333333333</v>
      </c>
      <c r="L1272" s="42">
        <f t="shared" si="1386"/>
        <v>-0.76666666666666672</v>
      </c>
      <c r="M1272" s="42">
        <f t="shared" si="1387"/>
        <v>-0.96666666666666667</v>
      </c>
      <c r="O1272" s="43" t="str">
        <f t="shared" si="1377"/>
        <v/>
      </c>
    </row>
    <row r="1273" spans="1:15" x14ac:dyDescent="0.45">
      <c r="D1273" s="27">
        <f t="shared" si="1378"/>
        <v>0</v>
      </c>
      <c r="E1273" s="28">
        <f t="shared" si="1379"/>
        <v>0</v>
      </c>
      <c r="F1273" s="42">
        <f t="shared" si="1380"/>
        <v>-3.3333333333333333E-2</v>
      </c>
      <c r="G1273" s="42">
        <f t="shared" si="1381"/>
        <v>-0.23333333333333334</v>
      </c>
      <c r="H1273" s="42">
        <f t="shared" si="1382"/>
        <v>-0.36666666666666664</v>
      </c>
      <c r="I1273" s="42">
        <f t="shared" si="1383"/>
        <v>-0.43333333333333335</v>
      </c>
      <c r="J1273" s="42">
        <f t="shared" si="1384"/>
        <v>-0.56666666666666665</v>
      </c>
      <c r="K1273" s="42">
        <f t="shared" si="1385"/>
        <v>-0.6333333333333333</v>
      </c>
      <c r="L1273" s="42">
        <f t="shared" si="1386"/>
        <v>-0.76666666666666672</v>
      </c>
      <c r="M1273" s="42">
        <f t="shared" si="1387"/>
        <v>-0.96666666666666667</v>
      </c>
      <c r="O1273" s="43" t="str">
        <f t="shared" si="1377"/>
        <v/>
      </c>
    </row>
    <row r="1274" spans="1:15" x14ac:dyDescent="0.45">
      <c r="D1274" s="27">
        <f t="shared" si="1378"/>
        <v>0</v>
      </c>
      <c r="E1274" s="28">
        <f t="shared" si="1379"/>
        <v>0</v>
      </c>
      <c r="F1274" s="42">
        <f t="shared" si="1380"/>
        <v>-3.3333333333333333E-2</v>
      </c>
      <c r="G1274" s="42">
        <f t="shared" si="1381"/>
        <v>-0.23333333333333334</v>
      </c>
      <c r="H1274" s="42">
        <f t="shared" si="1382"/>
        <v>-0.36666666666666664</v>
      </c>
      <c r="I1274" s="42">
        <f t="shared" si="1383"/>
        <v>-0.43333333333333335</v>
      </c>
      <c r="J1274" s="42">
        <f t="shared" si="1384"/>
        <v>-0.56666666666666665</v>
      </c>
      <c r="K1274" s="42">
        <f t="shared" si="1385"/>
        <v>-0.6333333333333333</v>
      </c>
      <c r="L1274" s="42">
        <f t="shared" si="1386"/>
        <v>-0.76666666666666672</v>
      </c>
      <c r="M1274" s="42">
        <f t="shared" si="1387"/>
        <v>-0.96666666666666667</v>
      </c>
      <c r="O1274" s="43" t="str">
        <f t="shared" si="1377"/>
        <v/>
      </c>
    </row>
    <row r="1275" spans="1:15" ht="19.2" thickBot="1" x14ac:dyDescent="0.5">
      <c r="F1275" s="42"/>
      <c r="G1275" s="42"/>
      <c r="H1275" s="42"/>
      <c r="I1275" s="42"/>
      <c r="J1275" s="42"/>
      <c r="K1275" s="42"/>
      <c r="L1275" s="42"/>
      <c r="M1275" s="42"/>
    </row>
    <row r="1276" spans="1:15" ht="19.2" thickBot="1" x14ac:dyDescent="0.5">
      <c r="C1276" s="44"/>
      <c r="E1276" s="34">
        <f>E1257</f>
        <v>0</v>
      </c>
      <c r="F1276" s="45">
        <v>1</v>
      </c>
      <c r="G1276" s="46">
        <v>7</v>
      </c>
      <c r="H1276" s="46">
        <v>11</v>
      </c>
      <c r="I1276" s="46">
        <v>13</v>
      </c>
      <c r="J1276" s="46">
        <v>17</v>
      </c>
      <c r="K1276" s="46">
        <v>19</v>
      </c>
      <c r="L1276" s="46">
        <v>23</v>
      </c>
      <c r="M1276" s="47">
        <v>29</v>
      </c>
      <c r="O1276" s="27" t="s">
        <v>2</v>
      </c>
    </row>
    <row r="1277" spans="1:15" x14ac:dyDescent="0.45">
      <c r="A1277" s="29">
        <f>A1267+1</f>
        <v>127</v>
      </c>
      <c r="D1277" s="27">
        <f>C1267</f>
        <v>0</v>
      </c>
      <c r="E1277" s="28">
        <f>D1277*$E$6</f>
        <v>0</v>
      </c>
      <c r="F1277" s="42">
        <f>(E1277-1)/30</f>
        <v>-3.3333333333333333E-2</v>
      </c>
      <c r="G1277" s="42">
        <f>($E1277-7)/30</f>
        <v>-0.23333333333333334</v>
      </c>
      <c r="H1277" s="42">
        <f>($E1277-11)/30</f>
        <v>-0.36666666666666664</v>
      </c>
      <c r="I1277" s="42">
        <f>($E1277-13)/30</f>
        <v>-0.43333333333333335</v>
      </c>
      <c r="J1277" s="42">
        <f>($E1277-17)/30</f>
        <v>-0.56666666666666665</v>
      </c>
      <c r="K1277" s="42">
        <f>($E1277-19)/30</f>
        <v>-0.6333333333333333</v>
      </c>
      <c r="L1277" s="42">
        <f>($E1277-23)/30</f>
        <v>-0.76666666666666672</v>
      </c>
      <c r="M1277" s="42">
        <f>($E1277-29)/30</f>
        <v>-0.96666666666666667</v>
      </c>
      <c r="O1277" s="43" t="str">
        <f t="shared" ref="O1277:O1284" si="1388">FactorNumber(E1277)</f>
        <v/>
      </c>
    </row>
    <row r="1278" spans="1:15" x14ac:dyDescent="0.45">
      <c r="D1278" s="27">
        <f t="shared" ref="D1278:D1284" si="1389">C1268</f>
        <v>0</v>
      </c>
      <c r="E1278" s="28">
        <f t="shared" ref="E1278:E1284" si="1390">D1278*$E$6</f>
        <v>0</v>
      </c>
      <c r="F1278" s="42">
        <f t="shared" ref="F1278:F1284" si="1391">(E1278-1)/30</f>
        <v>-3.3333333333333333E-2</v>
      </c>
      <c r="G1278" s="42">
        <f t="shared" ref="G1278:G1284" si="1392">($E1278-7)/30</f>
        <v>-0.23333333333333334</v>
      </c>
      <c r="H1278" s="42">
        <f t="shared" ref="H1278:H1284" si="1393">($E1278-11)/30</f>
        <v>-0.36666666666666664</v>
      </c>
      <c r="I1278" s="42">
        <f t="shared" ref="I1278:I1284" si="1394">($E1278-13)/30</f>
        <v>-0.43333333333333335</v>
      </c>
      <c r="J1278" s="42">
        <f t="shared" ref="J1278:J1284" si="1395">($E1278-17)/30</f>
        <v>-0.56666666666666665</v>
      </c>
      <c r="K1278" s="42">
        <f t="shared" ref="K1278:K1284" si="1396">($E1278-19)/30</f>
        <v>-0.6333333333333333</v>
      </c>
      <c r="L1278" s="42">
        <f t="shared" ref="L1278:L1284" si="1397">($E1278-23)/30</f>
        <v>-0.76666666666666672</v>
      </c>
      <c r="M1278" s="42">
        <f t="shared" ref="M1278:M1284" si="1398">($E1278-29)/30</f>
        <v>-0.96666666666666667</v>
      </c>
      <c r="O1278" s="43" t="str">
        <f t="shared" si="1388"/>
        <v/>
      </c>
    </row>
    <row r="1279" spans="1:15" x14ac:dyDescent="0.45">
      <c r="D1279" s="27">
        <f t="shared" si="1389"/>
        <v>0</v>
      </c>
      <c r="E1279" s="28">
        <f t="shared" si="1390"/>
        <v>0</v>
      </c>
      <c r="F1279" s="42">
        <f t="shared" si="1391"/>
        <v>-3.3333333333333333E-2</v>
      </c>
      <c r="G1279" s="42">
        <f t="shared" si="1392"/>
        <v>-0.23333333333333334</v>
      </c>
      <c r="H1279" s="42">
        <f t="shared" si="1393"/>
        <v>-0.36666666666666664</v>
      </c>
      <c r="I1279" s="42">
        <f t="shared" si="1394"/>
        <v>-0.43333333333333335</v>
      </c>
      <c r="J1279" s="42">
        <f t="shared" si="1395"/>
        <v>-0.56666666666666665</v>
      </c>
      <c r="K1279" s="42">
        <f t="shared" si="1396"/>
        <v>-0.6333333333333333</v>
      </c>
      <c r="L1279" s="42">
        <f t="shared" si="1397"/>
        <v>-0.76666666666666672</v>
      </c>
      <c r="M1279" s="42">
        <f t="shared" si="1398"/>
        <v>-0.96666666666666667</v>
      </c>
      <c r="O1279" s="43" t="str">
        <f t="shared" si="1388"/>
        <v/>
      </c>
    </row>
    <row r="1280" spans="1:15" x14ac:dyDescent="0.45">
      <c r="D1280" s="27">
        <f t="shared" si="1389"/>
        <v>0</v>
      </c>
      <c r="E1280" s="28">
        <f t="shared" si="1390"/>
        <v>0</v>
      </c>
      <c r="F1280" s="42">
        <f t="shared" si="1391"/>
        <v>-3.3333333333333333E-2</v>
      </c>
      <c r="G1280" s="42">
        <f t="shared" si="1392"/>
        <v>-0.23333333333333334</v>
      </c>
      <c r="H1280" s="42">
        <f t="shared" si="1393"/>
        <v>-0.36666666666666664</v>
      </c>
      <c r="I1280" s="42">
        <f t="shared" si="1394"/>
        <v>-0.43333333333333335</v>
      </c>
      <c r="J1280" s="42">
        <f t="shared" si="1395"/>
        <v>-0.56666666666666665</v>
      </c>
      <c r="K1280" s="42">
        <f t="shared" si="1396"/>
        <v>-0.6333333333333333</v>
      </c>
      <c r="L1280" s="42">
        <f t="shared" si="1397"/>
        <v>-0.76666666666666672</v>
      </c>
      <c r="M1280" s="42">
        <f t="shared" si="1398"/>
        <v>-0.96666666666666667</v>
      </c>
      <c r="O1280" s="43" t="str">
        <f t="shared" si="1388"/>
        <v/>
      </c>
    </row>
    <row r="1281" spans="1:15" x14ac:dyDescent="0.45">
      <c r="D1281" s="27">
        <f t="shared" si="1389"/>
        <v>0</v>
      </c>
      <c r="E1281" s="28">
        <f t="shared" si="1390"/>
        <v>0</v>
      </c>
      <c r="F1281" s="42">
        <f t="shared" si="1391"/>
        <v>-3.3333333333333333E-2</v>
      </c>
      <c r="G1281" s="42">
        <f t="shared" si="1392"/>
        <v>-0.23333333333333334</v>
      </c>
      <c r="H1281" s="42">
        <f t="shared" si="1393"/>
        <v>-0.36666666666666664</v>
      </c>
      <c r="I1281" s="42">
        <f t="shared" si="1394"/>
        <v>-0.43333333333333335</v>
      </c>
      <c r="J1281" s="42">
        <f t="shared" si="1395"/>
        <v>-0.56666666666666665</v>
      </c>
      <c r="K1281" s="42">
        <f t="shared" si="1396"/>
        <v>-0.6333333333333333</v>
      </c>
      <c r="L1281" s="42">
        <f t="shared" si="1397"/>
        <v>-0.76666666666666672</v>
      </c>
      <c r="M1281" s="42">
        <f t="shared" si="1398"/>
        <v>-0.96666666666666667</v>
      </c>
      <c r="O1281" s="43" t="str">
        <f t="shared" si="1388"/>
        <v/>
      </c>
    </row>
    <row r="1282" spans="1:15" x14ac:dyDescent="0.45">
      <c r="D1282" s="27">
        <f t="shared" si="1389"/>
        <v>0</v>
      </c>
      <c r="E1282" s="28">
        <f t="shared" si="1390"/>
        <v>0</v>
      </c>
      <c r="F1282" s="42">
        <f t="shared" si="1391"/>
        <v>-3.3333333333333333E-2</v>
      </c>
      <c r="G1282" s="42">
        <f t="shared" si="1392"/>
        <v>-0.23333333333333334</v>
      </c>
      <c r="H1282" s="42">
        <f t="shared" si="1393"/>
        <v>-0.36666666666666664</v>
      </c>
      <c r="I1282" s="42">
        <f t="shared" si="1394"/>
        <v>-0.43333333333333335</v>
      </c>
      <c r="J1282" s="42">
        <f t="shared" si="1395"/>
        <v>-0.56666666666666665</v>
      </c>
      <c r="K1282" s="42">
        <f t="shared" si="1396"/>
        <v>-0.6333333333333333</v>
      </c>
      <c r="L1282" s="42">
        <f t="shared" si="1397"/>
        <v>-0.76666666666666672</v>
      </c>
      <c r="M1282" s="42">
        <f t="shared" si="1398"/>
        <v>-0.96666666666666667</v>
      </c>
      <c r="O1282" s="43" t="str">
        <f t="shared" si="1388"/>
        <v/>
      </c>
    </row>
    <row r="1283" spans="1:15" x14ac:dyDescent="0.45">
      <c r="D1283" s="27">
        <f t="shared" si="1389"/>
        <v>0</v>
      </c>
      <c r="E1283" s="28">
        <f t="shared" si="1390"/>
        <v>0</v>
      </c>
      <c r="F1283" s="42">
        <f t="shared" si="1391"/>
        <v>-3.3333333333333333E-2</v>
      </c>
      <c r="G1283" s="42">
        <f t="shared" si="1392"/>
        <v>-0.23333333333333334</v>
      </c>
      <c r="H1283" s="42">
        <f t="shared" si="1393"/>
        <v>-0.36666666666666664</v>
      </c>
      <c r="I1283" s="42">
        <f t="shared" si="1394"/>
        <v>-0.43333333333333335</v>
      </c>
      <c r="J1283" s="42">
        <f t="shared" si="1395"/>
        <v>-0.56666666666666665</v>
      </c>
      <c r="K1283" s="42">
        <f t="shared" si="1396"/>
        <v>-0.6333333333333333</v>
      </c>
      <c r="L1283" s="42">
        <f t="shared" si="1397"/>
        <v>-0.76666666666666672</v>
      </c>
      <c r="M1283" s="42">
        <f t="shared" si="1398"/>
        <v>-0.96666666666666667</v>
      </c>
      <c r="O1283" s="43" t="str">
        <f t="shared" si="1388"/>
        <v/>
      </c>
    </row>
    <row r="1284" spans="1:15" x14ac:dyDescent="0.45">
      <c r="D1284" s="27">
        <f t="shared" si="1389"/>
        <v>0</v>
      </c>
      <c r="E1284" s="28">
        <f t="shared" si="1390"/>
        <v>0</v>
      </c>
      <c r="F1284" s="42">
        <f t="shared" si="1391"/>
        <v>-3.3333333333333333E-2</v>
      </c>
      <c r="G1284" s="42">
        <f t="shared" si="1392"/>
        <v>-0.23333333333333334</v>
      </c>
      <c r="H1284" s="42">
        <f t="shared" si="1393"/>
        <v>-0.36666666666666664</v>
      </c>
      <c r="I1284" s="42">
        <f t="shared" si="1394"/>
        <v>-0.43333333333333335</v>
      </c>
      <c r="J1284" s="42">
        <f t="shared" si="1395"/>
        <v>-0.56666666666666665</v>
      </c>
      <c r="K1284" s="42">
        <f t="shared" si="1396"/>
        <v>-0.6333333333333333</v>
      </c>
      <c r="L1284" s="42">
        <f t="shared" si="1397"/>
        <v>-0.76666666666666672</v>
      </c>
      <c r="M1284" s="42">
        <f t="shared" si="1398"/>
        <v>-0.96666666666666667</v>
      </c>
      <c r="O1284" s="43" t="str">
        <f t="shared" si="1388"/>
        <v/>
      </c>
    </row>
    <row r="1285" spans="1:15" ht="19.2" thickBot="1" x14ac:dyDescent="0.5">
      <c r="F1285" s="42"/>
      <c r="G1285" s="42"/>
      <c r="H1285" s="42"/>
      <c r="I1285" s="42"/>
      <c r="J1285" s="42"/>
      <c r="K1285" s="42"/>
      <c r="L1285" s="42"/>
      <c r="M1285" s="42"/>
    </row>
    <row r="1286" spans="1:15" ht="19.2" thickBot="1" x14ac:dyDescent="0.5">
      <c r="C1286" s="44"/>
      <c r="E1286" s="34">
        <f>E1267</f>
        <v>0</v>
      </c>
      <c r="F1286" s="45">
        <v>1</v>
      </c>
      <c r="G1286" s="46">
        <v>7</v>
      </c>
      <c r="H1286" s="46">
        <v>11</v>
      </c>
      <c r="I1286" s="46">
        <v>13</v>
      </c>
      <c r="J1286" s="46">
        <v>17</v>
      </c>
      <c r="K1286" s="46">
        <v>19</v>
      </c>
      <c r="L1286" s="46">
        <v>23</v>
      </c>
      <c r="M1286" s="47">
        <v>29</v>
      </c>
      <c r="O1286" s="27" t="s">
        <v>2</v>
      </c>
    </row>
    <row r="1287" spans="1:15" x14ac:dyDescent="0.45">
      <c r="A1287" s="29">
        <f>A1277+1</f>
        <v>128</v>
      </c>
      <c r="D1287" s="27">
        <f>C1277</f>
        <v>0</v>
      </c>
      <c r="E1287" s="28">
        <f>D1287*$E$6</f>
        <v>0</v>
      </c>
      <c r="F1287" s="42">
        <f>(E1287-1)/30</f>
        <v>-3.3333333333333333E-2</v>
      </c>
      <c r="G1287" s="42">
        <f>($E1287-7)/30</f>
        <v>-0.23333333333333334</v>
      </c>
      <c r="H1287" s="42">
        <f>($E1287-11)/30</f>
        <v>-0.36666666666666664</v>
      </c>
      <c r="I1287" s="42">
        <f>($E1287-13)/30</f>
        <v>-0.43333333333333335</v>
      </c>
      <c r="J1287" s="42">
        <f>($E1287-17)/30</f>
        <v>-0.56666666666666665</v>
      </c>
      <c r="K1287" s="42">
        <f>($E1287-19)/30</f>
        <v>-0.6333333333333333</v>
      </c>
      <c r="L1287" s="42">
        <f>($E1287-23)/30</f>
        <v>-0.76666666666666672</v>
      </c>
      <c r="M1287" s="42">
        <f>($E1287-29)/30</f>
        <v>-0.96666666666666667</v>
      </c>
      <c r="O1287" s="43" t="str">
        <f t="shared" ref="O1287:O1294" si="1399">FactorNumber(E1287)</f>
        <v/>
      </c>
    </row>
    <row r="1288" spans="1:15" x14ac:dyDescent="0.45">
      <c r="D1288" s="27">
        <f t="shared" ref="D1288:D1294" si="1400">C1278</f>
        <v>0</v>
      </c>
      <c r="E1288" s="28">
        <f t="shared" ref="E1288:E1294" si="1401">D1288*$E$6</f>
        <v>0</v>
      </c>
      <c r="F1288" s="42">
        <f t="shared" ref="F1288:F1294" si="1402">(E1288-1)/30</f>
        <v>-3.3333333333333333E-2</v>
      </c>
      <c r="G1288" s="42">
        <f t="shared" ref="G1288:G1294" si="1403">($E1288-7)/30</f>
        <v>-0.23333333333333334</v>
      </c>
      <c r="H1288" s="42">
        <f t="shared" ref="H1288:H1294" si="1404">($E1288-11)/30</f>
        <v>-0.36666666666666664</v>
      </c>
      <c r="I1288" s="42">
        <f t="shared" ref="I1288:I1294" si="1405">($E1288-13)/30</f>
        <v>-0.43333333333333335</v>
      </c>
      <c r="J1288" s="42">
        <f t="shared" ref="J1288:J1294" si="1406">($E1288-17)/30</f>
        <v>-0.56666666666666665</v>
      </c>
      <c r="K1288" s="42">
        <f t="shared" ref="K1288:K1294" si="1407">($E1288-19)/30</f>
        <v>-0.6333333333333333</v>
      </c>
      <c r="L1288" s="42">
        <f t="shared" ref="L1288:L1294" si="1408">($E1288-23)/30</f>
        <v>-0.76666666666666672</v>
      </c>
      <c r="M1288" s="42">
        <f t="shared" ref="M1288:M1294" si="1409">($E1288-29)/30</f>
        <v>-0.96666666666666667</v>
      </c>
      <c r="O1288" s="43" t="str">
        <f t="shared" si="1399"/>
        <v/>
      </c>
    </row>
    <row r="1289" spans="1:15" x14ac:dyDescent="0.45">
      <c r="D1289" s="27">
        <f t="shared" si="1400"/>
        <v>0</v>
      </c>
      <c r="E1289" s="28">
        <f t="shared" si="1401"/>
        <v>0</v>
      </c>
      <c r="F1289" s="42">
        <f t="shared" si="1402"/>
        <v>-3.3333333333333333E-2</v>
      </c>
      <c r="G1289" s="42">
        <f t="shared" si="1403"/>
        <v>-0.23333333333333334</v>
      </c>
      <c r="H1289" s="42">
        <f t="shared" si="1404"/>
        <v>-0.36666666666666664</v>
      </c>
      <c r="I1289" s="42">
        <f t="shared" si="1405"/>
        <v>-0.43333333333333335</v>
      </c>
      <c r="J1289" s="42">
        <f t="shared" si="1406"/>
        <v>-0.56666666666666665</v>
      </c>
      <c r="K1289" s="42">
        <f t="shared" si="1407"/>
        <v>-0.6333333333333333</v>
      </c>
      <c r="L1289" s="42">
        <f t="shared" si="1408"/>
        <v>-0.76666666666666672</v>
      </c>
      <c r="M1289" s="42">
        <f t="shared" si="1409"/>
        <v>-0.96666666666666667</v>
      </c>
      <c r="O1289" s="43" t="str">
        <f t="shared" si="1399"/>
        <v/>
      </c>
    </row>
    <row r="1290" spans="1:15" x14ac:dyDescent="0.45">
      <c r="D1290" s="27">
        <f t="shared" si="1400"/>
        <v>0</v>
      </c>
      <c r="E1290" s="28">
        <f t="shared" si="1401"/>
        <v>0</v>
      </c>
      <c r="F1290" s="42">
        <f t="shared" si="1402"/>
        <v>-3.3333333333333333E-2</v>
      </c>
      <c r="G1290" s="42">
        <f t="shared" si="1403"/>
        <v>-0.23333333333333334</v>
      </c>
      <c r="H1290" s="42">
        <f t="shared" si="1404"/>
        <v>-0.36666666666666664</v>
      </c>
      <c r="I1290" s="42">
        <f t="shared" si="1405"/>
        <v>-0.43333333333333335</v>
      </c>
      <c r="J1290" s="42">
        <f t="shared" si="1406"/>
        <v>-0.56666666666666665</v>
      </c>
      <c r="K1290" s="42">
        <f t="shared" si="1407"/>
        <v>-0.6333333333333333</v>
      </c>
      <c r="L1290" s="42">
        <f t="shared" si="1408"/>
        <v>-0.76666666666666672</v>
      </c>
      <c r="M1290" s="42">
        <f t="shared" si="1409"/>
        <v>-0.96666666666666667</v>
      </c>
      <c r="O1290" s="43" t="str">
        <f t="shared" si="1399"/>
        <v/>
      </c>
    </row>
    <row r="1291" spans="1:15" x14ac:dyDescent="0.45">
      <c r="D1291" s="27">
        <f t="shared" si="1400"/>
        <v>0</v>
      </c>
      <c r="E1291" s="28">
        <f t="shared" si="1401"/>
        <v>0</v>
      </c>
      <c r="F1291" s="42">
        <f t="shared" si="1402"/>
        <v>-3.3333333333333333E-2</v>
      </c>
      <c r="G1291" s="42">
        <f t="shared" si="1403"/>
        <v>-0.23333333333333334</v>
      </c>
      <c r="H1291" s="42">
        <f t="shared" si="1404"/>
        <v>-0.36666666666666664</v>
      </c>
      <c r="I1291" s="42">
        <f t="shared" si="1405"/>
        <v>-0.43333333333333335</v>
      </c>
      <c r="J1291" s="42">
        <f t="shared" si="1406"/>
        <v>-0.56666666666666665</v>
      </c>
      <c r="K1291" s="42">
        <f t="shared" si="1407"/>
        <v>-0.6333333333333333</v>
      </c>
      <c r="L1291" s="42">
        <f t="shared" si="1408"/>
        <v>-0.76666666666666672</v>
      </c>
      <c r="M1291" s="42">
        <f t="shared" si="1409"/>
        <v>-0.96666666666666667</v>
      </c>
      <c r="O1291" s="43" t="str">
        <f t="shared" si="1399"/>
        <v/>
      </c>
    </row>
    <row r="1292" spans="1:15" x14ac:dyDescent="0.45">
      <c r="D1292" s="27">
        <f t="shared" si="1400"/>
        <v>0</v>
      </c>
      <c r="E1292" s="28">
        <f t="shared" si="1401"/>
        <v>0</v>
      </c>
      <c r="F1292" s="42">
        <f t="shared" si="1402"/>
        <v>-3.3333333333333333E-2</v>
      </c>
      <c r="G1292" s="42">
        <f t="shared" si="1403"/>
        <v>-0.23333333333333334</v>
      </c>
      <c r="H1292" s="42">
        <f t="shared" si="1404"/>
        <v>-0.36666666666666664</v>
      </c>
      <c r="I1292" s="42">
        <f t="shared" si="1405"/>
        <v>-0.43333333333333335</v>
      </c>
      <c r="J1292" s="42">
        <f t="shared" si="1406"/>
        <v>-0.56666666666666665</v>
      </c>
      <c r="K1292" s="42">
        <f t="shared" si="1407"/>
        <v>-0.6333333333333333</v>
      </c>
      <c r="L1292" s="42">
        <f t="shared" si="1408"/>
        <v>-0.76666666666666672</v>
      </c>
      <c r="M1292" s="42">
        <f t="shared" si="1409"/>
        <v>-0.96666666666666667</v>
      </c>
      <c r="O1292" s="43" t="str">
        <f t="shared" si="1399"/>
        <v/>
      </c>
    </row>
    <row r="1293" spans="1:15" x14ac:dyDescent="0.45">
      <c r="D1293" s="27">
        <f t="shared" si="1400"/>
        <v>0</v>
      </c>
      <c r="E1293" s="28">
        <f t="shared" si="1401"/>
        <v>0</v>
      </c>
      <c r="F1293" s="42">
        <f t="shared" si="1402"/>
        <v>-3.3333333333333333E-2</v>
      </c>
      <c r="G1293" s="42">
        <f t="shared" si="1403"/>
        <v>-0.23333333333333334</v>
      </c>
      <c r="H1293" s="42">
        <f t="shared" si="1404"/>
        <v>-0.36666666666666664</v>
      </c>
      <c r="I1293" s="42">
        <f t="shared" si="1405"/>
        <v>-0.43333333333333335</v>
      </c>
      <c r="J1293" s="42">
        <f t="shared" si="1406"/>
        <v>-0.56666666666666665</v>
      </c>
      <c r="K1293" s="42">
        <f t="shared" si="1407"/>
        <v>-0.6333333333333333</v>
      </c>
      <c r="L1293" s="42">
        <f t="shared" si="1408"/>
        <v>-0.76666666666666672</v>
      </c>
      <c r="M1293" s="42">
        <f t="shared" si="1409"/>
        <v>-0.96666666666666667</v>
      </c>
      <c r="O1293" s="43" t="str">
        <f t="shared" si="1399"/>
        <v/>
      </c>
    </row>
    <row r="1294" spans="1:15" x14ac:dyDescent="0.45">
      <c r="D1294" s="27">
        <f t="shared" si="1400"/>
        <v>0</v>
      </c>
      <c r="E1294" s="28">
        <f t="shared" si="1401"/>
        <v>0</v>
      </c>
      <c r="F1294" s="42">
        <f t="shared" si="1402"/>
        <v>-3.3333333333333333E-2</v>
      </c>
      <c r="G1294" s="42">
        <f t="shared" si="1403"/>
        <v>-0.23333333333333334</v>
      </c>
      <c r="H1294" s="42">
        <f t="shared" si="1404"/>
        <v>-0.36666666666666664</v>
      </c>
      <c r="I1294" s="42">
        <f t="shared" si="1405"/>
        <v>-0.43333333333333335</v>
      </c>
      <c r="J1294" s="42">
        <f t="shared" si="1406"/>
        <v>-0.56666666666666665</v>
      </c>
      <c r="K1294" s="42">
        <f t="shared" si="1407"/>
        <v>-0.6333333333333333</v>
      </c>
      <c r="L1294" s="42">
        <f t="shared" si="1408"/>
        <v>-0.76666666666666672</v>
      </c>
      <c r="M1294" s="42">
        <f t="shared" si="1409"/>
        <v>-0.96666666666666667</v>
      </c>
      <c r="O1294" s="43" t="str">
        <f t="shared" si="1399"/>
        <v/>
      </c>
    </row>
    <row r="1295" spans="1:15" ht="19.2" thickBot="1" x14ac:dyDescent="0.5">
      <c r="F1295" s="42"/>
      <c r="G1295" s="42"/>
      <c r="H1295" s="42"/>
      <c r="I1295" s="42"/>
      <c r="J1295" s="42"/>
      <c r="K1295" s="42"/>
      <c r="L1295" s="42"/>
      <c r="M1295" s="42"/>
    </row>
    <row r="1296" spans="1:15" ht="19.2" thickBot="1" x14ac:dyDescent="0.5">
      <c r="C1296" s="44"/>
      <c r="E1296" s="34">
        <f>E1277</f>
        <v>0</v>
      </c>
      <c r="F1296" s="45">
        <v>1</v>
      </c>
      <c r="G1296" s="46">
        <v>7</v>
      </c>
      <c r="H1296" s="46">
        <v>11</v>
      </c>
      <c r="I1296" s="46">
        <v>13</v>
      </c>
      <c r="J1296" s="46">
        <v>17</v>
      </c>
      <c r="K1296" s="46">
        <v>19</v>
      </c>
      <c r="L1296" s="46">
        <v>23</v>
      </c>
      <c r="M1296" s="47">
        <v>29</v>
      </c>
      <c r="O1296" s="27" t="s">
        <v>2</v>
      </c>
    </row>
    <row r="1297" spans="1:15" x14ac:dyDescent="0.45">
      <c r="A1297" s="29">
        <f>A1287+1</f>
        <v>129</v>
      </c>
      <c r="D1297" s="27">
        <f>C1287</f>
        <v>0</v>
      </c>
      <c r="E1297" s="28">
        <f>D1297*$E$6</f>
        <v>0</v>
      </c>
      <c r="F1297" s="42">
        <f>(E1297-1)/30</f>
        <v>-3.3333333333333333E-2</v>
      </c>
      <c r="G1297" s="42">
        <f>($E1297-7)/30</f>
        <v>-0.23333333333333334</v>
      </c>
      <c r="H1297" s="42">
        <f>($E1297-11)/30</f>
        <v>-0.36666666666666664</v>
      </c>
      <c r="I1297" s="42">
        <f>($E1297-13)/30</f>
        <v>-0.43333333333333335</v>
      </c>
      <c r="J1297" s="42">
        <f>($E1297-17)/30</f>
        <v>-0.56666666666666665</v>
      </c>
      <c r="K1297" s="42">
        <f>($E1297-19)/30</f>
        <v>-0.6333333333333333</v>
      </c>
      <c r="L1297" s="42">
        <f>($E1297-23)/30</f>
        <v>-0.76666666666666672</v>
      </c>
      <c r="M1297" s="42">
        <f>($E1297-29)/30</f>
        <v>-0.96666666666666667</v>
      </c>
      <c r="O1297" s="43" t="str">
        <f t="shared" ref="O1297:O1304" si="1410">FactorNumber(E1297)</f>
        <v/>
      </c>
    </row>
    <row r="1298" spans="1:15" x14ac:dyDescent="0.45">
      <c r="D1298" s="27">
        <f t="shared" ref="D1298:D1304" si="1411">C1288</f>
        <v>0</v>
      </c>
      <c r="E1298" s="28">
        <f t="shared" ref="E1298:E1304" si="1412">D1298*$E$6</f>
        <v>0</v>
      </c>
      <c r="F1298" s="42">
        <f t="shared" ref="F1298:F1304" si="1413">(E1298-1)/30</f>
        <v>-3.3333333333333333E-2</v>
      </c>
      <c r="G1298" s="42">
        <f t="shared" ref="G1298:G1304" si="1414">($E1298-7)/30</f>
        <v>-0.23333333333333334</v>
      </c>
      <c r="H1298" s="42">
        <f t="shared" ref="H1298:H1304" si="1415">($E1298-11)/30</f>
        <v>-0.36666666666666664</v>
      </c>
      <c r="I1298" s="42">
        <f t="shared" ref="I1298:I1304" si="1416">($E1298-13)/30</f>
        <v>-0.43333333333333335</v>
      </c>
      <c r="J1298" s="42">
        <f t="shared" ref="J1298:J1304" si="1417">($E1298-17)/30</f>
        <v>-0.56666666666666665</v>
      </c>
      <c r="K1298" s="42">
        <f t="shared" ref="K1298:K1304" si="1418">($E1298-19)/30</f>
        <v>-0.6333333333333333</v>
      </c>
      <c r="L1298" s="42">
        <f t="shared" ref="L1298:L1304" si="1419">($E1298-23)/30</f>
        <v>-0.76666666666666672</v>
      </c>
      <c r="M1298" s="42">
        <f t="shared" ref="M1298:M1304" si="1420">($E1298-29)/30</f>
        <v>-0.96666666666666667</v>
      </c>
      <c r="O1298" s="43" t="str">
        <f t="shared" si="1410"/>
        <v/>
      </c>
    </row>
    <row r="1299" spans="1:15" x14ac:dyDescent="0.45">
      <c r="D1299" s="27">
        <f t="shared" si="1411"/>
        <v>0</v>
      </c>
      <c r="E1299" s="28">
        <f t="shared" si="1412"/>
        <v>0</v>
      </c>
      <c r="F1299" s="42">
        <f t="shared" si="1413"/>
        <v>-3.3333333333333333E-2</v>
      </c>
      <c r="G1299" s="42">
        <f t="shared" si="1414"/>
        <v>-0.23333333333333334</v>
      </c>
      <c r="H1299" s="42">
        <f t="shared" si="1415"/>
        <v>-0.36666666666666664</v>
      </c>
      <c r="I1299" s="42">
        <f t="shared" si="1416"/>
        <v>-0.43333333333333335</v>
      </c>
      <c r="J1299" s="42">
        <f t="shared" si="1417"/>
        <v>-0.56666666666666665</v>
      </c>
      <c r="K1299" s="42">
        <f t="shared" si="1418"/>
        <v>-0.6333333333333333</v>
      </c>
      <c r="L1299" s="42">
        <f t="shared" si="1419"/>
        <v>-0.76666666666666672</v>
      </c>
      <c r="M1299" s="42">
        <f t="shared" si="1420"/>
        <v>-0.96666666666666667</v>
      </c>
      <c r="O1299" s="43" t="str">
        <f t="shared" si="1410"/>
        <v/>
      </c>
    </row>
    <row r="1300" spans="1:15" x14ac:dyDescent="0.45">
      <c r="D1300" s="27">
        <f t="shared" si="1411"/>
        <v>0</v>
      </c>
      <c r="E1300" s="28">
        <f t="shared" si="1412"/>
        <v>0</v>
      </c>
      <c r="F1300" s="42">
        <f t="shared" si="1413"/>
        <v>-3.3333333333333333E-2</v>
      </c>
      <c r="G1300" s="42">
        <f t="shared" si="1414"/>
        <v>-0.23333333333333334</v>
      </c>
      <c r="H1300" s="42">
        <f t="shared" si="1415"/>
        <v>-0.36666666666666664</v>
      </c>
      <c r="I1300" s="42">
        <f t="shared" si="1416"/>
        <v>-0.43333333333333335</v>
      </c>
      <c r="J1300" s="42">
        <f t="shared" si="1417"/>
        <v>-0.56666666666666665</v>
      </c>
      <c r="K1300" s="42">
        <f t="shared" si="1418"/>
        <v>-0.6333333333333333</v>
      </c>
      <c r="L1300" s="42">
        <f t="shared" si="1419"/>
        <v>-0.76666666666666672</v>
      </c>
      <c r="M1300" s="42">
        <f t="shared" si="1420"/>
        <v>-0.96666666666666667</v>
      </c>
      <c r="O1300" s="43" t="str">
        <f t="shared" si="1410"/>
        <v/>
      </c>
    </row>
    <row r="1301" spans="1:15" x14ac:dyDescent="0.45">
      <c r="D1301" s="27">
        <f t="shared" si="1411"/>
        <v>0</v>
      </c>
      <c r="E1301" s="28">
        <f t="shared" si="1412"/>
        <v>0</v>
      </c>
      <c r="F1301" s="42">
        <f t="shared" si="1413"/>
        <v>-3.3333333333333333E-2</v>
      </c>
      <c r="G1301" s="42">
        <f t="shared" si="1414"/>
        <v>-0.23333333333333334</v>
      </c>
      <c r="H1301" s="42">
        <f t="shared" si="1415"/>
        <v>-0.36666666666666664</v>
      </c>
      <c r="I1301" s="42">
        <f t="shared" si="1416"/>
        <v>-0.43333333333333335</v>
      </c>
      <c r="J1301" s="42">
        <f t="shared" si="1417"/>
        <v>-0.56666666666666665</v>
      </c>
      <c r="K1301" s="42">
        <f t="shared" si="1418"/>
        <v>-0.6333333333333333</v>
      </c>
      <c r="L1301" s="42">
        <f t="shared" si="1419"/>
        <v>-0.76666666666666672</v>
      </c>
      <c r="M1301" s="42">
        <f t="shared" si="1420"/>
        <v>-0.96666666666666667</v>
      </c>
      <c r="O1301" s="43" t="str">
        <f t="shared" si="1410"/>
        <v/>
      </c>
    </row>
    <row r="1302" spans="1:15" x14ac:dyDescent="0.45">
      <c r="D1302" s="27">
        <f t="shared" si="1411"/>
        <v>0</v>
      </c>
      <c r="E1302" s="28">
        <f t="shared" si="1412"/>
        <v>0</v>
      </c>
      <c r="F1302" s="42">
        <f t="shared" si="1413"/>
        <v>-3.3333333333333333E-2</v>
      </c>
      <c r="G1302" s="42">
        <f t="shared" si="1414"/>
        <v>-0.23333333333333334</v>
      </c>
      <c r="H1302" s="42">
        <f t="shared" si="1415"/>
        <v>-0.36666666666666664</v>
      </c>
      <c r="I1302" s="42">
        <f t="shared" si="1416"/>
        <v>-0.43333333333333335</v>
      </c>
      <c r="J1302" s="42">
        <f t="shared" si="1417"/>
        <v>-0.56666666666666665</v>
      </c>
      <c r="K1302" s="42">
        <f t="shared" si="1418"/>
        <v>-0.6333333333333333</v>
      </c>
      <c r="L1302" s="42">
        <f t="shared" si="1419"/>
        <v>-0.76666666666666672</v>
      </c>
      <c r="M1302" s="42">
        <f t="shared" si="1420"/>
        <v>-0.96666666666666667</v>
      </c>
      <c r="O1302" s="43" t="str">
        <f t="shared" si="1410"/>
        <v/>
      </c>
    </row>
    <row r="1303" spans="1:15" x14ac:dyDescent="0.45">
      <c r="D1303" s="27">
        <f t="shared" si="1411"/>
        <v>0</v>
      </c>
      <c r="E1303" s="28">
        <f t="shared" si="1412"/>
        <v>0</v>
      </c>
      <c r="F1303" s="42">
        <f t="shared" si="1413"/>
        <v>-3.3333333333333333E-2</v>
      </c>
      <c r="G1303" s="42">
        <f t="shared" si="1414"/>
        <v>-0.23333333333333334</v>
      </c>
      <c r="H1303" s="42">
        <f t="shared" si="1415"/>
        <v>-0.36666666666666664</v>
      </c>
      <c r="I1303" s="42">
        <f t="shared" si="1416"/>
        <v>-0.43333333333333335</v>
      </c>
      <c r="J1303" s="42">
        <f t="shared" si="1417"/>
        <v>-0.56666666666666665</v>
      </c>
      <c r="K1303" s="42">
        <f t="shared" si="1418"/>
        <v>-0.6333333333333333</v>
      </c>
      <c r="L1303" s="42">
        <f t="shared" si="1419"/>
        <v>-0.76666666666666672</v>
      </c>
      <c r="M1303" s="42">
        <f t="shared" si="1420"/>
        <v>-0.96666666666666667</v>
      </c>
      <c r="O1303" s="43" t="str">
        <f t="shared" si="1410"/>
        <v/>
      </c>
    </row>
    <row r="1304" spans="1:15" x14ac:dyDescent="0.45">
      <c r="D1304" s="27">
        <f t="shared" si="1411"/>
        <v>0</v>
      </c>
      <c r="E1304" s="28">
        <f t="shared" si="1412"/>
        <v>0</v>
      </c>
      <c r="F1304" s="42">
        <f t="shared" si="1413"/>
        <v>-3.3333333333333333E-2</v>
      </c>
      <c r="G1304" s="42">
        <f t="shared" si="1414"/>
        <v>-0.23333333333333334</v>
      </c>
      <c r="H1304" s="42">
        <f t="shared" si="1415"/>
        <v>-0.36666666666666664</v>
      </c>
      <c r="I1304" s="42">
        <f t="shared" si="1416"/>
        <v>-0.43333333333333335</v>
      </c>
      <c r="J1304" s="42">
        <f t="shared" si="1417"/>
        <v>-0.56666666666666665</v>
      </c>
      <c r="K1304" s="42">
        <f t="shared" si="1418"/>
        <v>-0.6333333333333333</v>
      </c>
      <c r="L1304" s="42">
        <f t="shared" si="1419"/>
        <v>-0.76666666666666672</v>
      </c>
      <c r="M1304" s="42">
        <f t="shared" si="1420"/>
        <v>-0.96666666666666667</v>
      </c>
      <c r="O1304" s="43" t="str">
        <f t="shared" si="1410"/>
        <v/>
      </c>
    </row>
    <row r="1305" spans="1:15" ht="19.2" thickBot="1" x14ac:dyDescent="0.5">
      <c r="F1305" s="42"/>
      <c r="G1305" s="42"/>
      <c r="H1305" s="42"/>
      <c r="I1305" s="42"/>
      <c r="J1305" s="42"/>
      <c r="K1305" s="42"/>
      <c r="L1305" s="42"/>
      <c r="M1305" s="42"/>
    </row>
    <row r="1306" spans="1:15" ht="19.2" thickBot="1" x14ac:dyDescent="0.5">
      <c r="C1306" s="44"/>
      <c r="E1306" s="34">
        <f>E1287</f>
        <v>0</v>
      </c>
      <c r="F1306" s="45">
        <v>1</v>
      </c>
      <c r="G1306" s="46">
        <v>7</v>
      </c>
      <c r="H1306" s="46">
        <v>11</v>
      </c>
      <c r="I1306" s="46">
        <v>13</v>
      </c>
      <c r="J1306" s="46">
        <v>17</v>
      </c>
      <c r="K1306" s="46">
        <v>19</v>
      </c>
      <c r="L1306" s="46">
        <v>23</v>
      </c>
      <c r="M1306" s="47">
        <v>29</v>
      </c>
      <c r="O1306" s="27" t="s">
        <v>2</v>
      </c>
    </row>
    <row r="1307" spans="1:15" x14ac:dyDescent="0.45">
      <c r="A1307" s="29">
        <f>A1297+1</f>
        <v>130</v>
      </c>
      <c r="D1307" s="27">
        <f>C1297</f>
        <v>0</v>
      </c>
      <c r="E1307" s="28">
        <f>D1307*$E$6</f>
        <v>0</v>
      </c>
      <c r="F1307" s="42">
        <f>(E1307-1)/30</f>
        <v>-3.3333333333333333E-2</v>
      </c>
      <c r="G1307" s="42">
        <f>($E1307-7)/30</f>
        <v>-0.23333333333333334</v>
      </c>
      <c r="H1307" s="42">
        <f>($E1307-11)/30</f>
        <v>-0.36666666666666664</v>
      </c>
      <c r="I1307" s="42">
        <f>($E1307-13)/30</f>
        <v>-0.43333333333333335</v>
      </c>
      <c r="J1307" s="42">
        <f>($E1307-17)/30</f>
        <v>-0.56666666666666665</v>
      </c>
      <c r="K1307" s="42">
        <f>($E1307-19)/30</f>
        <v>-0.6333333333333333</v>
      </c>
      <c r="L1307" s="42">
        <f>($E1307-23)/30</f>
        <v>-0.76666666666666672</v>
      </c>
      <c r="M1307" s="42">
        <f>($E1307-29)/30</f>
        <v>-0.96666666666666667</v>
      </c>
      <c r="O1307" s="43" t="str">
        <f t="shared" ref="O1307:O1314" si="1421">FactorNumber(E1307)</f>
        <v/>
      </c>
    </row>
    <row r="1308" spans="1:15" x14ac:dyDescent="0.45">
      <c r="D1308" s="27">
        <f t="shared" ref="D1308:D1314" si="1422">C1298</f>
        <v>0</v>
      </c>
      <c r="E1308" s="28">
        <f t="shared" ref="E1308:E1314" si="1423">D1308*$E$6</f>
        <v>0</v>
      </c>
      <c r="F1308" s="42">
        <f t="shared" ref="F1308:F1314" si="1424">(E1308-1)/30</f>
        <v>-3.3333333333333333E-2</v>
      </c>
      <c r="G1308" s="42">
        <f t="shared" ref="G1308:G1314" si="1425">($E1308-7)/30</f>
        <v>-0.23333333333333334</v>
      </c>
      <c r="H1308" s="42">
        <f t="shared" ref="H1308:H1314" si="1426">($E1308-11)/30</f>
        <v>-0.36666666666666664</v>
      </c>
      <c r="I1308" s="42">
        <f t="shared" ref="I1308:I1314" si="1427">($E1308-13)/30</f>
        <v>-0.43333333333333335</v>
      </c>
      <c r="J1308" s="42">
        <f t="shared" ref="J1308:J1314" si="1428">($E1308-17)/30</f>
        <v>-0.56666666666666665</v>
      </c>
      <c r="K1308" s="42">
        <f t="shared" ref="K1308:K1314" si="1429">($E1308-19)/30</f>
        <v>-0.6333333333333333</v>
      </c>
      <c r="L1308" s="42">
        <f t="shared" ref="L1308:L1314" si="1430">($E1308-23)/30</f>
        <v>-0.76666666666666672</v>
      </c>
      <c r="M1308" s="42">
        <f t="shared" ref="M1308:M1314" si="1431">($E1308-29)/30</f>
        <v>-0.96666666666666667</v>
      </c>
      <c r="O1308" s="43" t="str">
        <f t="shared" si="1421"/>
        <v/>
      </c>
    </row>
    <row r="1309" spans="1:15" x14ac:dyDescent="0.45">
      <c r="D1309" s="27">
        <f t="shared" si="1422"/>
        <v>0</v>
      </c>
      <c r="E1309" s="28">
        <f t="shared" si="1423"/>
        <v>0</v>
      </c>
      <c r="F1309" s="42">
        <f t="shared" si="1424"/>
        <v>-3.3333333333333333E-2</v>
      </c>
      <c r="G1309" s="42">
        <f t="shared" si="1425"/>
        <v>-0.23333333333333334</v>
      </c>
      <c r="H1309" s="42">
        <f t="shared" si="1426"/>
        <v>-0.36666666666666664</v>
      </c>
      <c r="I1309" s="42">
        <f t="shared" si="1427"/>
        <v>-0.43333333333333335</v>
      </c>
      <c r="J1309" s="42">
        <f t="shared" si="1428"/>
        <v>-0.56666666666666665</v>
      </c>
      <c r="K1309" s="42">
        <f t="shared" si="1429"/>
        <v>-0.6333333333333333</v>
      </c>
      <c r="L1309" s="42">
        <f t="shared" si="1430"/>
        <v>-0.76666666666666672</v>
      </c>
      <c r="M1309" s="42">
        <f t="shared" si="1431"/>
        <v>-0.96666666666666667</v>
      </c>
      <c r="O1309" s="43" t="str">
        <f t="shared" si="1421"/>
        <v/>
      </c>
    </row>
    <row r="1310" spans="1:15" x14ac:dyDescent="0.45">
      <c r="D1310" s="27">
        <f t="shared" si="1422"/>
        <v>0</v>
      </c>
      <c r="E1310" s="28">
        <f t="shared" si="1423"/>
        <v>0</v>
      </c>
      <c r="F1310" s="42">
        <f t="shared" si="1424"/>
        <v>-3.3333333333333333E-2</v>
      </c>
      <c r="G1310" s="42">
        <f t="shared" si="1425"/>
        <v>-0.23333333333333334</v>
      </c>
      <c r="H1310" s="42">
        <f t="shared" si="1426"/>
        <v>-0.36666666666666664</v>
      </c>
      <c r="I1310" s="42">
        <f t="shared" si="1427"/>
        <v>-0.43333333333333335</v>
      </c>
      <c r="J1310" s="42">
        <f t="shared" si="1428"/>
        <v>-0.56666666666666665</v>
      </c>
      <c r="K1310" s="42">
        <f t="shared" si="1429"/>
        <v>-0.6333333333333333</v>
      </c>
      <c r="L1310" s="42">
        <f t="shared" si="1430"/>
        <v>-0.76666666666666672</v>
      </c>
      <c r="M1310" s="42">
        <f t="shared" si="1431"/>
        <v>-0.96666666666666667</v>
      </c>
      <c r="O1310" s="43" t="str">
        <f t="shared" si="1421"/>
        <v/>
      </c>
    </row>
    <row r="1311" spans="1:15" x14ac:dyDescent="0.45">
      <c r="D1311" s="27">
        <f t="shared" si="1422"/>
        <v>0</v>
      </c>
      <c r="E1311" s="28">
        <f t="shared" si="1423"/>
        <v>0</v>
      </c>
      <c r="F1311" s="42">
        <f t="shared" si="1424"/>
        <v>-3.3333333333333333E-2</v>
      </c>
      <c r="G1311" s="42">
        <f t="shared" si="1425"/>
        <v>-0.23333333333333334</v>
      </c>
      <c r="H1311" s="42">
        <f t="shared" si="1426"/>
        <v>-0.36666666666666664</v>
      </c>
      <c r="I1311" s="42">
        <f t="shared" si="1427"/>
        <v>-0.43333333333333335</v>
      </c>
      <c r="J1311" s="42">
        <f t="shared" si="1428"/>
        <v>-0.56666666666666665</v>
      </c>
      <c r="K1311" s="42">
        <f t="shared" si="1429"/>
        <v>-0.6333333333333333</v>
      </c>
      <c r="L1311" s="42">
        <f t="shared" si="1430"/>
        <v>-0.76666666666666672</v>
      </c>
      <c r="M1311" s="42">
        <f t="shared" si="1431"/>
        <v>-0.96666666666666667</v>
      </c>
      <c r="O1311" s="43" t="str">
        <f t="shared" si="1421"/>
        <v/>
      </c>
    </row>
    <row r="1312" spans="1:15" x14ac:dyDescent="0.45">
      <c r="D1312" s="27">
        <f t="shared" si="1422"/>
        <v>0</v>
      </c>
      <c r="E1312" s="28">
        <f t="shared" si="1423"/>
        <v>0</v>
      </c>
      <c r="F1312" s="42">
        <f t="shared" si="1424"/>
        <v>-3.3333333333333333E-2</v>
      </c>
      <c r="G1312" s="42">
        <f t="shared" si="1425"/>
        <v>-0.23333333333333334</v>
      </c>
      <c r="H1312" s="42">
        <f t="shared" si="1426"/>
        <v>-0.36666666666666664</v>
      </c>
      <c r="I1312" s="42">
        <f t="shared" si="1427"/>
        <v>-0.43333333333333335</v>
      </c>
      <c r="J1312" s="42">
        <f t="shared" si="1428"/>
        <v>-0.56666666666666665</v>
      </c>
      <c r="K1312" s="42">
        <f t="shared" si="1429"/>
        <v>-0.6333333333333333</v>
      </c>
      <c r="L1312" s="42">
        <f t="shared" si="1430"/>
        <v>-0.76666666666666672</v>
      </c>
      <c r="M1312" s="42">
        <f t="shared" si="1431"/>
        <v>-0.96666666666666667</v>
      </c>
      <c r="O1312" s="43" t="str">
        <f t="shared" si="1421"/>
        <v/>
      </c>
    </row>
    <row r="1313" spans="1:15" x14ac:dyDescent="0.45">
      <c r="D1313" s="27">
        <f t="shared" si="1422"/>
        <v>0</v>
      </c>
      <c r="E1313" s="28">
        <f t="shared" si="1423"/>
        <v>0</v>
      </c>
      <c r="F1313" s="42">
        <f t="shared" si="1424"/>
        <v>-3.3333333333333333E-2</v>
      </c>
      <c r="G1313" s="42">
        <f t="shared" si="1425"/>
        <v>-0.23333333333333334</v>
      </c>
      <c r="H1313" s="42">
        <f t="shared" si="1426"/>
        <v>-0.36666666666666664</v>
      </c>
      <c r="I1313" s="42">
        <f t="shared" si="1427"/>
        <v>-0.43333333333333335</v>
      </c>
      <c r="J1313" s="42">
        <f t="shared" si="1428"/>
        <v>-0.56666666666666665</v>
      </c>
      <c r="K1313" s="42">
        <f t="shared" si="1429"/>
        <v>-0.6333333333333333</v>
      </c>
      <c r="L1313" s="42">
        <f t="shared" si="1430"/>
        <v>-0.76666666666666672</v>
      </c>
      <c r="M1313" s="42">
        <f t="shared" si="1431"/>
        <v>-0.96666666666666667</v>
      </c>
      <c r="O1313" s="43" t="str">
        <f t="shared" si="1421"/>
        <v/>
      </c>
    </row>
    <row r="1314" spans="1:15" x14ac:dyDescent="0.45">
      <c r="D1314" s="27">
        <f t="shared" si="1422"/>
        <v>0</v>
      </c>
      <c r="E1314" s="28">
        <f t="shared" si="1423"/>
        <v>0</v>
      </c>
      <c r="F1314" s="42">
        <f t="shared" si="1424"/>
        <v>-3.3333333333333333E-2</v>
      </c>
      <c r="G1314" s="42">
        <f t="shared" si="1425"/>
        <v>-0.23333333333333334</v>
      </c>
      <c r="H1314" s="42">
        <f t="shared" si="1426"/>
        <v>-0.36666666666666664</v>
      </c>
      <c r="I1314" s="42">
        <f t="shared" si="1427"/>
        <v>-0.43333333333333335</v>
      </c>
      <c r="J1314" s="42">
        <f t="shared" si="1428"/>
        <v>-0.56666666666666665</v>
      </c>
      <c r="K1314" s="42">
        <f t="shared" si="1429"/>
        <v>-0.6333333333333333</v>
      </c>
      <c r="L1314" s="42">
        <f t="shared" si="1430"/>
        <v>-0.76666666666666672</v>
      </c>
      <c r="M1314" s="42">
        <f t="shared" si="1431"/>
        <v>-0.96666666666666667</v>
      </c>
      <c r="O1314" s="43" t="str">
        <f t="shared" si="1421"/>
        <v/>
      </c>
    </row>
    <row r="1315" spans="1:15" ht="19.2" thickBot="1" x14ac:dyDescent="0.5">
      <c r="F1315" s="42"/>
      <c r="G1315" s="42"/>
      <c r="H1315" s="42"/>
      <c r="I1315" s="42"/>
      <c r="J1315" s="42"/>
      <c r="K1315" s="42"/>
      <c r="L1315" s="42"/>
      <c r="M1315" s="42"/>
    </row>
    <row r="1316" spans="1:15" ht="19.2" thickBot="1" x14ac:dyDescent="0.5">
      <c r="C1316" s="44"/>
      <c r="E1316" s="34">
        <f>E1297</f>
        <v>0</v>
      </c>
      <c r="F1316" s="45">
        <v>1</v>
      </c>
      <c r="G1316" s="46">
        <v>7</v>
      </c>
      <c r="H1316" s="46">
        <v>11</v>
      </c>
      <c r="I1316" s="46">
        <v>13</v>
      </c>
      <c r="J1316" s="46">
        <v>17</v>
      </c>
      <c r="K1316" s="46">
        <v>19</v>
      </c>
      <c r="L1316" s="46">
        <v>23</v>
      </c>
      <c r="M1316" s="47">
        <v>29</v>
      </c>
      <c r="O1316" s="27" t="s">
        <v>2</v>
      </c>
    </row>
    <row r="1317" spans="1:15" x14ac:dyDescent="0.45">
      <c r="A1317" s="29">
        <f>A1307+1</f>
        <v>131</v>
      </c>
      <c r="D1317" s="27">
        <f>C1307</f>
        <v>0</v>
      </c>
      <c r="E1317" s="28">
        <f>D1317*$E$6</f>
        <v>0</v>
      </c>
      <c r="F1317" s="42">
        <f>(E1317-1)/30</f>
        <v>-3.3333333333333333E-2</v>
      </c>
      <c r="G1317" s="42">
        <f>($E1317-7)/30</f>
        <v>-0.23333333333333334</v>
      </c>
      <c r="H1317" s="42">
        <f>($E1317-11)/30</f>
        <v>-0.36666666666666664</v>
      </c>
      <c r="I1317" s="42">
        <f>($E1317-13)/30</f>
        <v>-0.43333333333333335</v>
      </c>
      <c r="J1317" s="42">
        <f>($E1317-17)/30</f>
        <v>-0.56666666666666665</v>
      </c>
      <c r="K1317" s="42">
        <f>($E1317-19)/30</f>
        <v>-0.6333333333333333</v>
      </c>
      <c r="L1317" s="42">
        <f>($E1317-23)/30</f>
        <v>-0.76666666666666672</v>
      </c>
      <c r="M1317" s="42">
        <f>($E1317-29)/30</f>
        <v>-0.96666666666666667</v>
      </c>
      <c r="O1317" s="43" t="str">
        <f t="shared" ref="O1317:O1324" si="1432">FactorNumber(E1317)</f>
        <v/>
      </c>
    </row>
    <row r="1318" spans="1:15" x14ac:dyDescent="0.45">
      <c r="D1318" s="27">
        <f t="shared" ref="D1318:D1324" si="1433">C1308</f>
        <v>0</v>
      </c>
      <c r="E1318" s="28">
        <f t="shared" ref="E1318:E1324" si="1434">D1318*$E$6</f>
        <v>0</v>
      </c>
      <c r="F1318" s="42">
        <f t="shared" ref="F1318:F1324" si="1435">(E1318-1)/30</f>
        <v>-3.3333333333333333E-2</v>
      </c>
      <c r="G1318" s="42">
        <f t="shared" ref="G1318:G1324" si="1436">($E1318-7)/30</f>
        <v>-0.23333333333333334</v>
      </c>
      <c r="H1318" s="42">
        <f t="shared" ref="H1318:H1324" si="1437">($E1318-11)/30</f>
        <v>-0.36666666666666664</v>
      </c>
      <c r="I1318" s="42">
        <f t="shared" ref="I1318:I1324" si="1438">($E1318-13)/30</f>
        <v>-0.43333333333333335</v>
      </c>
      <c r="J1318" s="42">
        <f t="shared" ref="J1318:J1324" si="1439">($E1318-17)/30</f>
        <v>-0.56666666666666665</v>
      </c>
      <c r="K1318" s="42">
        <f t="shared" ref="K1318:K1324" si="1440">($E1318-19)/30</f>
        <v>-0.6333333333333333</v>
      </c>
      <c r="L1318" s="42">
        <f t="shared" ref="L1318:L1324" si="1441">($E1318-23)/30</f>
        <v>-0.76666666666666672</v>
      </c>
      <c r="M1318" s="42">
        <f t="shared" ref="M1318:M1324" si="1442">($E1318-29)/30</f>
        <v>-0.96666666666666667</v>
      </c>
      <c r="O1318" s="43" t="str">
        <f t="shared" si="1432"/>
        <v/>
      </c>
    </row>
    <row r="1319" spans="1:15" x14ac:dyDescent="0.45">
      <c r="D1319" s="27">
        <f t="shared" si="1433"/>
        <v>0</v>
      </c>
      <c r="E1319" s="28">
        <f t="shared" si="1434"/>
        <v>0</v>
      </c>
      <c r="F1319" s="42">
        <f t="shared" si="1435"/>
        <v>-3.3333333333333333E-2</v>
      </c>
      <c r="G1319" s="42">
        <f t="shared" si="1436"/>
        <v>-0.23333333333333334</v>
      </c>
      <c r="H1319" s="42">
        <f t="shared" si="1437"/>
        <v>-0.36666666666666664</v>
      </c>
      <c r="I1319" s="42">
        <f t="shared" si="1438"/>
        <v>-0.43333333333333335</v>
      </c>
      <c r="J1319" s="42">
        <f t="shared" si="1439"/>
        <v>-0.56666666666666665</v>
      </c>
      <c r="K1319" s="42">
        <f t="shared" si="1440"/>
        <v>-0.6333333333333333</v>
      </c>
      <c r="L1319" s="42">
        <f t="shared" si="1441"/>
        <v>-0.76666666666666672</v>
      </c>
      <c r="M1319" s="42">
        <f t="shared" si="1442"/>
        <v>-0.96666666666666667</v>
      </c>
      <c r="O1319" s="43" t="str">
        <f t="shared" si="1432"/>
        <v/>
      </c>
    </row>
    <row r="1320" spans="1:15" x14ac:dyDescent="0.45">
      <c r="D1320" s="27">
        <f t="shared" si="1433"/>
        <v>0</v>
      </c>
      <c r="E1320" s="28">
        <f t="shared" si="1434"/>
        <v>0</v>
      </c>
      <c r="F1320" s="42">
        <f t="shared" si="1435"/>
        <v>-3.3333333333333333E-2</v>
      </c>
      <c r="G1320" s="42">
        <f t="shared" si="1436"/>
        <v>-0.23333333333333334</v>
      </c>
      <c r="H1320" s="42">
        <f t="shared" si="1437"/>
        <v>-0.36666666666666664</v>
      </c>
      <c r="I1320" s="42">
        <f t="shared" si="1438"/>
        <v>-0.43333333333333335</v>
      </c>
      <c r="J1320" s="42">
        <f t="shared" si="1439"/>
        <v>-0.56666666666666665</v>
      </c>
      <c r="K1320" s="42">
        <f t="shared" si="1440"/>
        <v>-0.6333333333333333</v>
      </c>
      <c r="L1320" s="42">
        <f t="shared" si="1441"/>
        <v>-0.76666666666666672</v>
      </c>
      <c r="M1320" s="42">
        <f t="shared" si="1442"/>
        <v>-0.96666666666666667</v>
      </c>
      <c r="O1320" s="43" t="str">
        <f t="shared" si="1432"/>
        <v/>
      </c>
    </row>
    <row r="1321" spans="1:15" x14ac:dyDescent="0.45">
      <c r="D1321" s="27">
        <f t="shared" si="1433"/>
        <v>0</v>
      </c>
      <c r="E1321" s="28">
        <f t="shared" si="1434"/>
        <v>0</v>
      </c>
      <c r="F1321" s="42">
        <f t="shared" si="1435"/>
        <v>-3.3333333333333333E-2</v>
      </c>
      <c r="G1321" s="42">
        <f t="shared" si="1436"/>
        <v>-0.23333333333333334</v>
      </c>
      <c r="H1321" s="42">
        <f t="shared" si="1437"/>
        <v>-0.36666666666666664</v>
      </c>
      <c r="I1321" s="42">
        <f t="shared" si="1438"/>
        <v>-0.43333333333333335</v>
      </c>
      <c r="J1321" s="42">
        <f t="shared" si="1439"/>
        <v>-0.56666666666666665</v>
      </c>
      <c r="K1321" s="42">
        <f t="shared" si="1440"/>
        <v>-0.6333333333333333</v>
      </c>
      <c r="L1321" s="42">
        <f t="shared" si="1441"/>
        <v>-0.76666666666666672</v>
      </c>
      <c r="M1321" s="42">
        <f t="shared" si="1442"/>
        <v>-0.96666666666666667</v>
      </c>
      <c r="O1321" s="43" t="str">
        <f t="shared" si="1432"/>
        <v/>
      </c>
    </row>
    <row r="1322" spans="1:15" x14ac:dyDescent="0.45">
      <c r="D1322" s="27">
        <f t="shared" si="1433"/>
        <v>0</v>
      </c>
      <c r="E1322" s="28">
        <f t="shared" si="1434"/>
        <v>0</v>
      </c>
      <c r="F1322" s="42">
        <f t="shared" si="1435"/>
        <v>-3.3333333333333333E-2</v>
      </c>
      <c r="G1322" s="42">
        <f t="shared" si="1436"/>
        <v>-0.23333333333333334</v>
      </c>
      <c r="H1322" s="42">
        <f t="shared" si="1437"/>
        <v>-0.36666666666666664</v>
      </c>
      <c r="I1322" s="42">
        <f t="shared" si="1438"/>
        <v>-0.43333333333333335</v>
      </c>
      <c r="J1322" s="42">
        <f t="shared" si="1439"/>
        <v>-0.56666666666666665</v>
      </c>
      <c r="K1322" s="42">
        <f t="shared" si="1440"/>
        <v>-0.6333333333333333</v>
      </c>
      <c r="L1322" s="42">
        <f t="shared" si="1441"/>
        <v>-0.76666666666666672</v>
      </c>
      <c r="M1322" s="42">
        <f t="shared" si="1442"/>
        <v>-0.96666666666666667</v>
      </c>
      <c r="O1322" s="43" t="str">
        <f t="shared" si="1432"/>
        <v/>
      </c>
    </row>
    <row r="1323" spans="1:15" x14ac:dyDescent="0.45">
      <c r="D1323" s="27">
        <f t="shared" si="1433"/>
        <v>0</v>
      </c>
      <c r="E1323" s="28">
        <f t="shared" si="1434"/>
        <v>0</v>
      </c>
      <c r="F1323" s="42">
        <f t="shared" si="1435"/>
        <v>-3.3333333333333333E-2</v>
      </c>
      <c r="G1323" s="42">
        <f t="shared" si="1436"/>
        <v>-0.23333333333333334</v>
      </c>
      <c r="H1323" s="42">
        <f t="shared" si="1437"/>
        <v>-0.36666666666666664</v>
      </c>
      <c r="I1323" s="42">
        <f t="shared" si="1438"/>
        <v>-0.43333333333333335</v>
      </c>
      <c r="J1323" s="42">
        <f t="shared" si="1439"/>
        <v>-0.56666666666666665</v>
      </c>
      <c r="K1323" s="42">
        <f t="shared" si="1440"/>
        <v>-0.6333333333333333</v>
      </c>
      <c r="L1323" s="42">
        <f t="shared" si="1441"/>
        <v>-0.76666666666666672</v>
      </c>
      <c r="M1323" s="42">
        <f t="shared" si="1442"/>
        <v>-0.96666666666666667</v>
      </c>
      <c r="O1323" s="43" t="str">
        <f t="shared" si="1432"/>
        <v/>
      </c>
    </row>
    <row r="1324" spans="1:15" x14ac:dyDescent="0.45">
      <c r="D1324" s="27">
        <f t="shared" si="1433"/>
        <v>0</v>
      </c>
      <c r="E1324" s="28">
        <f t="shared" si="1434"/>
        <v>0</v>
      </c>
      <c r="F1324" s="42">
        <f t="shared" si="1435"/>
        <v>-3.3333333333333333E-2</v>
      </c>
      <c r="G1324" s="42">
        <f t="shared" si="1436"/>
        <v>-0.23333333333333334</v>
      </c>
      <c r="H1324" s="42">
        <f t="shared" si="1437"/>
        <v>-0.36666666666666664</v>
      </c>
      <c r="I1324" s="42">
        <f t="shared" si="1438"/>
        <v>-0.43333333333333335</v>
      </c>
      <c r="J1324" s="42">
        <f t="shared" si="1439"/>
        <v>-0.56666666666666665</v>
      </c>
      <c r="K1324" s="42">
        <f t="shared" si="1440"/>
        <v>-0.6333333333333333</v>
      </c>
      <c r="L1324" s="42">
        <f t="shared" si="1441"/>
        <v>-0.76666666666666672</v>
      </c>
      <c r="M1324" s="42">
        <f t="shared" si="1442"/>
        <v>-0.96666666666666667</v>
      </c>
      <c r="O1324" s="43" t="str">
        <f t="shared" si="1432"/>
        <v/>
      </c>
    </row>
    <row r="1325" spans="1:15" ht="19.2" thickBot="1" x14ac:dyDescent="0.5">
      <c r="F1325" s="42"/>
      <c r="G1325" s="42"/>
      <c r="H1325" s="42"/>
      <c r="I1325" s="42"/>
      <c r="J1325" s="42"/>
      <c r="K1325" s="42"/>
      <c r="L1325" s="42"/>
      <c r="M1325" s="42"/>
    </row>
    <row r="1326" spans="1:15" ht="19.2" thickBot="1" x14ac:dyDescent="0.5">
      <c r="C1326" s="44"/>
      <c r="E1326" s="34">
        <f>E1307</f>
        <v>0</v>
      </c>
      <c r="F1326" s="45">
        <v>1</v>
      </c>
      <c r="G1326" s="46">
        <v>7</v>
      </c>
      <c r="H1326" s="46">
        <v>11</v>
      </c>
      <c r="I1326" s="46">
        <v>13</v>
      </c>
      <c r="J1326" s="46">
        <v>17</v>
      </c>
      <c r="K1326" s="46">
        <v>19</v>
      </c>
      <c r="L1326" s="46">
        <v>23</v>
      </c>
      <c r="M1326" s="47">
        <v>29</v>
      </c>
      <c r="O1326" s="27" t="s">
        <v>2</v>
      </c>
    </row>
    <row r="1327" spans="1:15" x14ac:dyDescent="0.45">
      <c r="A1327" s="29">
        <f>A1317+1</f>
        <v>132</v>
      </c>
      <c r="D1327" s="27">
        <f>C1317</f>
        <v>0</v>
      </c>
      <c r="E1327" s="28">
        <f>D1327*$E$6</f>
        <v>0</v>
      </c>
      <c r="F1327" s="42">
        <f>(E1327-1)/30</f>
        <v>-3.3333333333333333E-2</v>
      </c>
      <c r="G1327" s="42">
        <f>($E1327-7)/30</f>
        <v>-0.23333333333333334</v>
      </c>
      <c r="H1327" s="42">
        <f>($E1327-11)/30</f>
        <v>-0.36666666666666664</v>
      </c>
      <c r="I1327" s="42">
        <f>($E1327-13)/30</f>
        <v>-0.43333333333333335</v>
      </c>
      <c r="J1327" s="42">
        <f>($E1327-17)/30</f>
        <v>-0.56666666666666665</v>
      </c>
      <c r="K1327" s="42">
        <f>($E1327-19)/30</f>
        <v>-0.6333333333333333</v>
      </c>
      <c r="L1327" s="42">
        <f>($E1327-23)/30</f>
        <v>-0.76666666666666672</v>
      </c>
      <c r="M1327" s="42">
        <f>($E1327-29)/30</f>
        <v>-0.96666666666666667</v>
      </c>
      <c r="O1327" s="43" t="str">
        <f t="shared" ref="O1327:O1334" si="1443">FactorNumber(E1327)</f>
        <v/>
      </c>
    </row>
    <row r="1328" spans="1:15" x14ac:dyDescent="0.45">
      <c r="D1328" s="27">
        <f t="shared" ref="D1328:D1334" si="1444">C1318</f>
        <v>0</v>
      </c>
      <c r="E1328" s="28">
        <f t="shared" ref="E1328:E1334" si="1445">D1328*$E$6</f>
        <v>0</v>
      </c>
      <c r="F1328" s="42">
        <f t="shared" ref="F1328:F1334" si="1446">(E1328-1)/30</f>
        <v>-3.3333333333333333E-2</v>
      </c>
      <c r="G1328" s="42">
        <f t="shared" ref="G1328:G1334" si="1447">($E1328-7)/30</f>
        <v>-0.23333333333333334</v>
      </c>
      <c r="H1328" s="42">
        <f t="shared" ref="H1328:H1334" si="1448">($E1328-11)/30</f>
        <v>-0.36666666666666664</v>
      </c>
      <c r="I1328" s="42">
        <f t="shared" ref="I1328:I1334" si="1449">($E1328-13)/30</f>
        <v>-0.43333333333333335</v>
      </c>
      <c r="J1328" s="42">
        <f t="shared" ref="J1328:J1334" si="1450">($E1328-17)/30</f>
        <v>-0.56666666666666665</v>
      </c>
      <c r="K1328" s="42">
        <f t="shared" ref="K1328:K1334" si="1451">($E1328-19)/30</f>
        <v>-0.6333333333333333</v>
      </c>
      <c r="L1328" s="42">
        <f t="shared" ref="L1328:L1334" si="1452">($E1328-23)/30</f>
        <v>-0.76666666666666672</v>
      </c>
      <c r="M1328" s="42">
        <f t="shared" ref="M1328:M1334" si="1453">($E1328-29)/30</f>
        <v>-0.96666666666666667</v>
      </c>
      <c r="O1328" s="43" t="str">
        <f t="shared" si="1443"/>
        <v/>
      </c>
    </row>
    <row r="1329" spans="1:15" x14ac:dyDescent="0.45">
      <c r="D1329" s="27">
        <f t="shared" si="1444"/>
        <v>0</v>
      </c>
      <c r="E1329" s="28">
        <f t="shared" si="1445"/>
        <v>0</v>
      </c>
      <c r="F1329" s="42">
        <f t="shared" si="1446"/>
        <v>-3.3333333333333333E-2</v>
      </c>
      <c r="G1329" s="42">
        <f t="shared" si="1447"/>
        <v>-0.23333333333333334</v>
      </c>
      <c r="H1329" s="42">
        <f t="shared" si="1448"/>
        <v>-0.36666666666666664</v>
      </c>
      <c r="I1329" s="42">
        <f t="shared" si="1449"/>
        <v>-0.43333333333333335</v>
      </c>
      <c r="J1329" s="42">
        <f t="shared" si="1450"/>
        <v>-0.56666666666666665</v>
      </c>
      <c r="K1329" s="42">
        <f t="shared" si="1451"/>
        <v>-0.6333333333333333</v>
      </c>
      <c r="L1329" s="42">
        <f t="shared" si="1452"/>
        <v>-0.76666666666666672</v>
      </c>
      <c r="M1329" s="42">
        <f t="shared" si="1453"/>
        <v>-0.96666666666666667</v>
      </c>
      <c r="O1329" s="43" t="str">
        <f t="shared" si="1443"/>
        <v/>
      </c>
    </row>
    <row r="1330" spans="1:15" x14ac:dyDescent="0.45">
      <c r="D1330" s="27">
        <f t="shared" si="1444"/>
        <v>0</v>
      </c>
      <c r="E1330" s="28">
        <f t="shared" si="1445"/>
        <v>0</v>
      </c>
      <c r="F1330" s="42">
        <f t="shared" si="1446"/>
        <v>-3.3333333333333333E-2</v>
      </c>
      <c r="G1330" s="42">
        <f t="shared" si="1447"/>
        <v>-0.23333333333333334</v>
      </c>
      <c r="H1330" s="42">
        <f t="shared" si="1448"/>
        <v>-0.36666666666666664</v>
      </c>
      <c r="I1330" s="42">
        <f t="shared" si="1449"/>
        <v>-0.43333333333333335</v>
      </c>
      <c r="J1330" s="42">
        <f t="shared" si="1450"/>
        <v>-0.56666666666666665</v>
      </c>
      <c r="K1330" s="42">
        <f t="shared" si="1451"/>
        <v>-0.6333333333333333</v>
      </c>
      <c r="L1330" s="42">
        <f t="shared" si="1452"/>
        <v>-0.76666666666666672</v>
      </c>
      <c r="M1330" s="42">
        <f t="shared" si="1453"/>
        <v>-0.96666666666666667</v>
      </c>
      <c r="O1330" s="43" t="str">
        <f t="shared" si="1443"/>
        <v/>
      </c>
    </row>
    <row r="1331" spans="1:15" x14ac:dyDescent="0.45">
      <c r="D1331" s="27">
        <f t="shared" si="1444"/>
        <v>0</v>
      </c>
      <c r="E1331" s="28">
        <f t="shared" si="1445"/>
        <v>0</v>
      </c>
      <c r="F1331" s="42">
        <f t="shared" si="1446"/>
        <v>-3.3333333333333333E-2</v>
      </c>
      <c r="G1331" s="42">
        <f t="shared" si="1447"/>
        <v>-0.23333333333333334</v>
      </c>
      <c r="H1331" s="42">
        <f t="shared" si="1448"/>
        <v>-0.36666666666666664</v>
      </c>
      <c r="I1331" s="42">
        <f t="shared" si="1449"/>
        <v>-0.43333333333333335</v>
      </c>
      <c r="J1331" s="42">
        <f t="shared" si="1450"/>
        <v>-0.56666666666666665</v>
      </c>
      <c r="K1331" s="42">
        <f t="shared" si="1451"/>
        <v>-0.6333333333333333</v>
      </c>
      <c r="L1331" s="42">
        <f t="shared" si="1452"/>
        <v>-0.76666666666666672</v>
      </c>
      <c r="M1331" s="42">
        <f t="shared" si="1453"/>
        <v>-0.96666666666666667</v>
      </c>
      <c r="O1331" s="43" t="str">
        <f t="shared" si="1443"/>
        <v/>
      </c>
    </row>
    <row r="1332" spans="1:15" x14ac:dyDescent="0.45">
      <c r="D1332" s="27">
        <f t="shared" si="1444"/>
        <v>0</v>
      </c>
      <c r="E1332" s="28">
        <f t="shared" si="1445"/>
        <v>0</v>
      </c>
      <c r="F1332" s="42">
        <f t="shared" si="1446"/>
        <v>-3.3333333333333333E-2</v>
      </c>
      <c r="G1332" s="42">
        <f t="shared" si="1447"/>
        <v>-0.23333333333333334</v>
      </c>
      <c r="H1332" s="42">
        <f t="shared" si="1448"/>
        <v>-0.36666666666666664</v>
      </c>
      <c r="I1332" s="42">
        <f t="shared" si="1449"/>
        <v>-0.43333333333333335</v>
      </c>
      <c r="J1332" s="42">
        <f t="shared" si="1450"/>
        <v>-0.56666666666666665</v>
      </c>
      <c r="K1332" s="42">
        <f t="shared" si="1451"/>
        <v>-0.6333333333333333</v>
      </c>
      <c r="L1332" s="42">
        <f t="shared" si="1452"/>
        <v>-0.76666666666666672</v>
      </c>
      <c r="M1332" s="42">
        <f t="shared" si="1453"/>
        <v>-0.96666666666666667</v>
      </c>
      <c r="O1332" s="43" t="str">
        <f t="shared" si="1443"/>
        <v/>
      </c>
    </row>
    <row r="1333" spans="1:15" x14ac:dyDescent="0.45">
      <c r="D1333" s="27">
        <f t="shared" si="1444"/>
        <v>0</v>
      </c>
      <c r="E1333" s="28">
        <f t="shared" si="1445"/>
        <v>0</v>
      </c>
      <c r="F1333" s="42">
        <f t="shared" si="1446"/>
        <v>-3.3333333333333333E-2</v>
      </c>
      <c r="G1333" s="42">
        <f t="shared" si="1447"/>
        <v>-0.23333333333333334</v>
      </c>
      <c r="H1333" s="42">
        <f t="shared" si="1448"/>
        <v>-0.36666666666666664</v>
      </c>
      <c r="I1333" s="42">
        <f t="shared" si="1449"/>
        <v>-0.43333333333333335</v>
      </c>
      <c r="J1333" s="42">
        <f t="shared" si="1450"/>
        <v>-0.56666666666666665</v>
      </c>
      <c r="K1333" s="42">
        <f t="shared" si="1451"/>
        <v>-0.6333333333333333</v>
      </c>
      <c r="L1333" s="42">
        <f t="shared" si="1452"/>
        <v>-0.76666666666666672</v>
      </c>
      <c r="M1333" s="42">
        <f t="shared" si="1453"/>
        <v>-0.96666666666666667</v>
      </c>
      <c r="O1333" s="43" t="str">
        <f t="shared" si="1443"/>
        <v/>
      </c>
    </row>
    <row r="1334" spans="1:15" x14ac:dyDescent="0.45">
      <c r="D1334" s="27">
        <f t="shared" si="1444"/>
        <v>0</v>
      </c>
      <c r="E1334" s="28">
        <f t="shared" si="1445"/>
        <v>0</v>
      </c>
      <c r="F1334" s="42">
        <f t="shared" si="1446"/>
        <v>-3.3333333333333333E-2</v>
      </c>
      <c r="G1334" s="42">
        <f t="shared" si="1447"/>
        <v>-0.23333333333333334</v>
      </c>
      <c r="H1334" s="42">
        <f t="shared" si="1448"/>
        <v>-0.36666666666666664</v>
      </c>
      <c r="I1334" s="42">
        <f t="shared" si="1449"/>
        <v>-0.43333333333333335</v>
      </c>
      <c r="J1334" s="42">
        <f t="shared" si="1450"/>
        <v>-0.56666666666666665</v>
      </c>
      <c r="K1334" s="42">
        <f t="shared" si="1451"/>
        <v>-0.6333333333333333</v>
      </c>
      <c r="L1334" s="42">
        <f t="shared" si="1452"/>
        <v>-0.76666666666666672</v>
      </c>
      <c r="M1334" s="42">
        <f t="shared" si="1453"/>
        <v>-0.96666666666666667</v>
      </c>
      <c r="O1334" s="43" t="str">
        <f t="shared" si="1443"/>
        <v/>
      </c>
    </row>
    <row r="1335" spans="1:15" ht="19.2" thickBot="1" x14ac:dyDescent="0.5">
      <c r="F1335" s="42"/>
      <c r="G1335" s="42"/>
      <c r="H1335" s="42"/>
      <c r="I1335" s="42"/>
      <c r="J1335" s="42"/>
      <c r="K1335" s="42"/>
      <c r="L1335" s="42"/>
      <c r="M1335" s="42"/>
    </row>
    <row r="1336" spans="1:15" ht="19.2" thickBot="1" x14ac:dyDescent="0.5">
      <c r="C1336" s="44"/>
      <c r="E1336" s="34">
        <f>E1317</f>
        <v>0</v>
      </c>
      <c r="F1336" s="45">
        <v>1</v>
      </c>
      <c r="G1336" s="46">
        <v>7</v>
      </c>
      <c r="H1336" s="46">
        <v>11</v>
      </c>
      <c r="I1336" s="46">
        <v>13</v>
      </c>
      <c r="J1336" s="46">
        <v>17</v>
      </c>
      <c r="K1336" s="46">
        <v>19</v>
      </c>
      <c r="L1336" s="46">
        <v>23</v>
      </c>
      <c r="M1336" s="47">
        <v>29</v>
      </c>
      <c r="O1336" s="27" t="s">
        <v>2</v>
      </c>
    </row>
    <row r="1337" spans="1:15" x14ac:dyDescent="0.45">
      <c r="A1337" s="29">
        <f>A1327+1</f>
        <v>133</v>
      </c>
      <c r="D1337" s="27">
        <f>C1327</f>
        <v>0</v>
      </c>
      <c r="E1337" s="28">
        <f>D1337*$E$6</f>
        <v>0</v>
      </c>
      <c r="F1337" s="42">
        <f>(E1337-1)/30</f>
        <v>-3.3333333333333333E-2</v>
      </c>
      <c r="G1337" s="42">
        <f>($E1337-7)/30</f>
        <v>-0.23333333333333334</v>
      </c>
      <c r="H1337" s="42">
        <f>($E1337-11)/30</f>
        <v>-0.36666666666666664</v>
      </c>
      <c r="I1337" s="42">
        <f>($E1337-13)/30</f>
        <v>-0.43333333333333335</v>
      </c>
      <c r="J1337" s="42">
        <f>($E1337-17)/30</f>
        <v>-0.56666666666666665</v>
      </c>
      <c r="K1337" s="42">
        <f>($E1337-19)/30</f>
        <v>-0.6333333333333333</v>
      </c>
      <c r="L1337" s="42">
        <f>($E1337-23)/30</f>
        <v>-0.76666666666666672</v>
      </c>
      <c r="M1337" s="42">
        <f>($E1337-29)/30</f>
        <v>-0.96666666666666667</v>
      </c>
      <c r="O1337" s="43" t="str">
        <f t="shared" ref="O1337:O1344" si="1454">FactorNumber(E1337)</f>
        <v/>
      </c>
    </row>
    <row r="1338" spans="1:15" x14ac:dyDescent="0.45">
      <c r="D1338" s="27">
        <f t="shared" ref="D1338:D1344" si="1455">C1328</f>
        <v>0</v>
      </c>
      <c r="E1338" s="28">
        <f t="shared" ref="E1338:E1344" si="1456">D1338*$E$6</f>
        <v>0</v>
      </c>
      <c r="F1338" s="42">
        <f t="shared" ref="F1338:F1344" si="1457">(E1338-1)/30</f>
        <v>-3.3333333333333333E-2</v>
      </c>
      <c r="G1338" s="42">
        <f t="shared" ref="G1338:G1344" si="1458">($E1338-7)/30</f>
        <v>-0.23333333333333334</v>
      </c>
      <c r="H1338" s="42">
        <f t="shared" ref="H1338:H1344" si="1459">($E1338-11)/30</f>
        <v>-0.36666666666666664</v>
      </c>
      <c r="I1338" s="42">
        <f t="shared" ref="I1338:I1344" si="1460">($E1338-13)/30</f>
        <v>-0.43333333333333335</v>
      </c>
      <c r="J1338" s="42">
        <f t="shared" ref="J1338:J1344" si="1461">($E1338-17)/30</f>
        <v>-0.56666666666666665</v>
      </c>
      <c r="K1338" s="42">
        <f t="shared" ref="K1338:K1344" si="1462">($E1338-19)/30</f>
        <v>-0.6333333333333333</v>
      </c>
      <c r="L1338" s="42">
        <f t="shared" ref="L1338:L1344" si="1463">($E1338-23)/30</f>
        <v>-0.76666666666666672</v>
      </c>
      <c r="M1338" s="42">
        <f t="shared" ref="M1338:M1344" si="1464">($E1338-29)/30</f>
        <v>-0.96666666666666667</v>
      </c>
      <c r="O1338" s="43" t="str">
        <f t="shared" si="1454"/>
        <v/>
      </c>
    </row>
    <row r="1339" spans="1:15" x14ac:dyDescent="0.45">
      <c r="D1339" s="27">
        <f t="shared" si="1455"/>
        <v>0</v>
      </c>
      <c r="E1339" s="28">
        <f t="shared" si="1456"/>
        <v>0</v>
      </c>
      <c r="F1339" s="42">
        <f t="shared" si="1457"/>
        <v>-3.3333333333333333E-2</v>
      </c>
      <c r="G1339" s="42">
        <f t="shared" si="1458"/>
        <v>-0.23333333333333334</v>
      </c>
      <c r="H1339" s="42">
        <f t="shared" si="1459"/>
        <v>-0.36666666666666664</v>
      </c>
      <c r="I1339" s="42">
        <f t="shared" si="1460"/>
        <v>-0.43333333333333335</v>
      </c>
      <c r="J1339" s="42">
        <f t="shared" si="1461"/>
        <v>-0.56666666666666665</v>
      </c>
      <c r="K1339" s="42">
        <f t="shared" si="1462"/>
        <v>-0.6333333333333333</v>
      </c>
      <c r="L1339" s="42">
        <f t="shared" si="1463"/>
        <v>-0.76666666666666672</v>
      </c>
      <c r="M1339" s="42">
        <f t="shared" si="1464"/>
        <v>-0.96666666666666667</v>
      </c>
      <c r="O1339" s="43" t="str">
        <f t="shared" si="1454"/>
        <v/>
      </c>
    </row>
    <row r="1340" spans="1:15" x14ac:dyDescent="0.45">
      <c r="D1340" s="27">
        <f t="shared" si="1455"/>
        <v>0</v>
      </c>
      <c r="E1340" s="28">
        <f t="shared" si="1456"/>
        <v>0</v>
      </c>
      <c r="F1340" s="42">
        <f t="shared" si="1457"/>
        <v>-3.3333333333333333E-2</v>
      </c>
      <c r="G1340" s="42">
        <f t="shared" si="1458"/>
        <v>-0.23333333333333334</v>
      </c>
      <c r="H1340" s="42">
        <f t="shared" si="1459"/>
        <v>-0.36666666666666664</v>
      </c>
      <c r="I1340" s="42">
        <f t="shared" si="1460"/>
        <v>-0.43333333333333335</v>
      </c>
      <c r="J1340" s="42">
        <f t="shared" si="1461"/>
        <v>-0.56666666666666665</v>
      </c>
      <c r="K1340" s="42">
        <f t="shared" si="1462"/>
        <v>-0.6333333333333333</v>
      </c>
      <c r="L1340" s="42">
        <f t="shared" si="1463"/>
        <v>-0.76666666666666672</v>
      </c>
      <c r="M1340" s="42">
        <f t="shared" si="1464"/>
        <v>-0.96666666666666667</v>
      </c>
      <c r="O1340" s="43" t="str">
        <f t="shared" si="1454"/>
        <v/>
      </c>
    </row>
    <row r="1341" spans="1:15" x14ac:dyDescent="0.45">
      <c r="D1341" s="27">
        <f t="shared" si="1455"/>
        <v>0</v>
      </c>
      <c r="E1341" s="28">
        <f t="shared" si="1456"/>
        <v>0</v>
      </c>
      <c r="F1341" s="42">
        <f t="shared" si="1457"/>
        <v>-3.3333333333333333E-2</v>
      </c>
      <c r="G1341" s="42">
        <f t="shared" si="1458"/>
        <v>-0.23333333333333334</v>
      </c>
      <c r="H1341" s="42">
        <f t="shared" si="1459"/>
        <v>-0.36666666666666664</v>
      </c>
      <c r="I1341" s="42">
        <f t="shared" si="1460"/>
        <v>-0.43333333333333335</v>
      </c>
      <c r="J1341" s="42">
        <f t="shared" si="1461"/>
        <v>-0.56666666666666665</v>
      </c>
      <c r="K1341" s="42">
        <f t="shared" si="1462"/>
        <v>-0.6333333333333333</v>
      </c>
      <c r="L1341" s="42">
        <f t="shared" si="1463"/>
        <v>-0.76666666666666672</v>
      </c>
      <c r="M1341" s="42">
        <f t="shared" si="1464"/>
        <v>-0.96666666666666667</v>
      </c>
      <c r="O1341" s="43" t="str">
        <f t="shared" si="1454"/>
        <v/>
      </c>
    </row>
    <row r="1342" spans="1:15" x14ac:dyDescent="0.45">
      <c r="D1342" s="27">
        <f t="shared" si="1455"/>
        <v>0</v>
      </c>
      <c r="E1342" s="28">
        <f t="shared" si="1456"/>
        <v>0</v>
      </c>
      <c r="F1342" s="42">
        <f t="shared" si="1457"/>
        <v>-3.3333333333333333E-2</v>
      </c>
      <c r="G1342" s="42">
        <f t="shared" si="1458"/>
        <v>-0.23333333333333334</v>
      </c>
      <c r="H1342" s="42">
        <f t="shared" si="1459"/>
        <v>-0.36666666666666664</v>
      </c>
      <c r="I1342" s="42">
        <f t="shared" si="1460"/>
        <v>-0.43333333333333335</v>
      </c>
      <c r="J1342" s="42">
        <f t="shared" si="1461"/>
        <v>-0.56666666666666665</v>
      </c>
      <c r="K1342" s="42">
        <f t="shared" si="1462"/>
        <v>-0.6333333333333333</v>
      </c>
      <c r="L1342" s="42">
        <f t="shared" si="1463"/>
        <v>-0.76666666666666672</v>
      </c>
      <c r="M1342" s="42">
        <f t="shared" si="1464"/>
        <v>-0.96666666666666667</v>
      </c>
      <c r="O1342" s="43" t="str">
        <f t="shared" si="1454"/>
        <v/>
      </c>
    </row>
    <row r="1343" spans="1:15" x14ac:dyDescent="0.45">
      <c r="D1343" s="27">
        <f t="shared" si="1455"/>
        <v>0</v>
      </c>
      <c r="E1343" s="28">
        <f t="shared" si="1456"/>
        <v>0</v>
      </c>
      <c r="F1343" s="42">
        <f t="shared" si="1457"/>
        <v>-3.3333333333333333E-2</v>
      </c>
      <c r="G1343" s="42">
        <f t="shared" si="1458"/>
        <v>-0.23333333333333334</v>
      </c>
      <c r="H1343" s="42">
        <f t="shared" si="1459"/>
        <v>-0.36666666666666664</v>
      </c>
      <c r="I1343" s="42">
        <f t="shared" si="1460"/>
        <v>-0.43333333333333335</v>
      </c>
      <c r="J1343" s="42">
        <f t="shared" si="1461"/>
        <v>-0.56666666666666665</v>
      </c>
      <c r="K1343" s="42">
        <f t="shared" si="1462"/>
        <v>-0.6333333333333333</v>
      </c>
      <c r="L1343" s="42">
        <f t="shared" si="1463"/>
        <v>-0.76666666666666672</v>
      </c>
      <c r="M1343" s="42">
        <f t="shared" si="1464"/>
        <v>-0.96666666666666667</v>
      </c>
      <c r="O1343" s="43" t="str">
        <f t="shared" si="1454"/>
        <v/>
      </c>
    </row>
    <row r="1344" spans="1:15" x14ac:dyDescent="0.45">
      <c r="D1344" s="27">
        <f t="shared" si="1455"/>
        <v>0</v>
      </c>
      <c r="E1344" s="28">
        <f t="shared" si="1456"/>
        <v>0</v>
      </c>
      <c r="F1344" s="42">
        <f t="shared" si="1457"/>
        <v>-3.3333333333333333E-2</v>
      </c>
      <c r="G1344" s="42">
        <f t="shared" si="1458"/>
        <v>-0.23333333333333334</v>
      </c>
      <c r="H1344" s="42">
        <f t="shared" si="1459"/>
        <v>-0.36666666666666664</v>
      </c>
      <c r="I1344" s="42">
        <f t="shared" si="1460"/>
        <v>-0.43333333333333335</v>
      </c>
      <c r="J1344" s="42">
        <f t="shared" si="1461"/>
        <v>-0.56666666666666665</v>
      </c>
      <c r="K1344" s="42">
        <f t="shared" si="1462"/>
        <v>-0.6333333333333333</v>
      </c>
      <c r="L1344" s="42">
        <f t="shared" si="1463"/>
        <v>-0.76666666666666672</v>
      </c>
      <c r="M1344" s="42">
        <f t="shared" si="1464"/>
        <v>-0.96666666666666667</v>
      </c>
      <c r="O1344" s="43" t="str">
        <f t="shared" si="1454"/>
        <v/>
      </c>
    </row>
    <row r="1345" spans="1:15" ht="19.2" thickBot="1" x14ac:dyDescent="0.5">
      <c r="F1345" s="42"/>
      <c r="G1345" s="42"/>
      <c r="H1345" s="42"/>
      <c r="I1345" s="42"/>
      <c r="J1345" s="42"/>
      <c r="K1345" s="42"/>
      <c r="L1345" s="42"/>
      <c r="M1345" s="42"/>
    </row>
    <row r="1346" spans="1:15" ht="19.2" thickBot="1" x14ac:dyDescent="0.5">
      <c r="C1346" s="44"/>
      <c r="E1346" s="34">
        <f>E1327</f>
        <v>0</v>
      </c>
      <c r="F1346" s="45">
        <v>1</v>
      </c>
      <c r="G1346" s="46">
        <v>7</v>
      </c>
      <c r="H1346" s="46">
        <v>11</v>
      </c>
      <c r="I1346" s="46">
        <v>13</v>
      </c>
      <c r="J1346" s="46">
        <v>17</v>
      </c>
      <c r="K1346" s="46">
        <v>19</v>
      </c>
      <c r="L1346" s="46">
        <v>23</v>
      </c>
      <c r="M1346" s="47">
        <v>29</v>
      </c>
      <c r="O1346" s="27" t="s">
        <v>2</v>
      </c>
    </row>
    <row r="1347" spans="1:15" x14ac:dyDescent="0.45">
      <c r="A1347" s="29">
        <f>A1337+1</f>
        <v>134</v>
      </c>
      <c r="D1347" s="27">
        <f>C1337</f>
        <v>0</v>
      </c>
      <c r="E1347" s="28">
        <f>D1347*$E$6</f>
        <v>0</v>
      </c>
      <c r="F1347" s="42">
        <f>(E1347-1)/30</f>
        <v>-3.3333333333333333E-2</v>
      </c>
      <c r="G1347" s="42">
        <f>($E1347-7)/30</f>
        <v>-0.23333333333333334</v>
      </c>
      <c r="H1347" s="42">
        <f>($E1347-11)/30</f>
        <v>-0.36666666666666664</v>
      </c>
      <c r="I1347" s="42">
        <f>($E1347-13)/30</f>
        <v>-0.43333333333333335</v>
      </c>
      <c r="J1347" s="42">
        <f>($E1347-17)/30</f>
        <v>-0.56666666666666665</v>
      </c>
      <c r="K1347" s="42">
        <f>($E1347-19)/30</f>
        <v>-0.6333333333333333</v>
      </c>
      <c r="L1347" s="42">
        <f>($E1347-23)/30</f>
        <v>-0.76666666666666672</v>
      </c>
      <c r="M1347" s="42">
        <f>($E1347-29)/30</f>
        <v>-0.96666666666666667</v>
      </c>
      <c r="O1347" s="43" t="str">
        <f t="shared" ref="O1347:O1354" si="1465">FactorNumber(E1347)</f>
        <v/>
      </c>
    </row>
    <row r="1348" spans="1:15" x14ac:dyDescent="0.45">
      <c r="D1348" s="27">
        <f t="shared" ref="D1348:D1354" si="1466">C1338</f>
        <v>0</v>
      </c>
      <c r="E1348" s="28">
        <f t="shared" ref="E1348:E1354" si="1467">D1348*$E$6</f>
        <v>0</v>
      </c>
      <c r="F1348" s="42">
        <f t="shared" ref="F1348:F1354" si="1468">(E1348-1)/30</f>
        <v>-3.3333333333333333E-2</v>
      </c>
      <c r="G1348" s="42">
        <f t="shared" ref="G1348:G1354" si="1469">($E1348-7)/30</f>
        <v>-0.23333333333333334</v>
      </c>
      <c r="H1348" s="42">
        <f t="shared" ref="H1348:H1354" si="1470">($E1348-11)/30</f>
        <v>-0.36666666666666664</v>
      </c>
      <c r="I1348" s="42">
        <f t="shared" ref="I1348:I1354" si="1471">($E1348-13)/30</f>
        <v>-0.43333333333333335</v>
      </c>
      <c r="J1348" s="42">
        <f t="shared" ref="J1348:J1354" si="1472">($E1348-17)/30</f>
        <v>-0.56666666666666665</v>
      </c>
      <c r="K1348" s="42">
        <f t="shared" ref="K1348:K1354" si="1473">($E1348-19)/30</f>
        <v>-0.6333333333333333</v>
      </c>
      <c r="L1348" s="42">
        <f t="shared" ref="L1348:L1354" si="1474">($E1348-23)/30</f>
        <v>-0.76666666666666672</v>
      </c>
      <c r="M1348" s="42">
        <f t="shared" ref="M1348:M1354" si="1475">($E1348-29)/30</f>
        <v>-0.96666666666666667</v>
      </c>
      <c r="O1348" s="43" t="str">
        <f t="shared" si="1465"/>
        <v/>
      </c>
    </row>
    <row r="1349" spans="1:15" x14ac:dyDescent="0.45">
      <c r="D1349" s="27">
        <f t="shared" si="1466"/>
        <v>0</v>
      </c>
      <c r="E1349" s="28">
        <f t="shared" si="1467"/>
        <v>0</v>
      </c>
      <c r="F1349" s="42">
        <f t="shared" si="1468"/>
        <v>-3.3333333333333333E-2</v>
      </c>
      <c r="G1349" s="42">
        <f t="shared" si="1469"/>
        <v>-0.23333333333333334</v>
      </c>
      <c r="H1349" s="42">
        <f t="shared" si="1470"/>
        <v>-0.36666666666666664</v>
      </c>
      <c r="I1349" s="42">
        <f t="shared" si="1471"/>
        <v>-0.43333333333333335</v>
      </c>
      <c r="J1349" s="42">
        <f t="shared" si="1472"/>
        <v>-0.56666666666666665</v>
      </c>
      <c r="K1349" s="42">
        <f t="shared" si="1473"/>
        <v>-0.6333333333333333</v>
      </c>
      <c r="L1349" s="42">
        <f t="shared" si="1474"/>
        <v>-0.76666666666666672</v>
      </c>
      <c r="M1349" s="42">
        <f t="shared" si="1475"/>
        <v>-0.96666666666666667</v>
      </c>
      <c r="O1349" s="43" t="str">
        <f t="shared" si="1465"/>
        <v/>
      </c>
    </row>
    <row r="1350" spans="1:15" x14ac:dyDescent="0.45">
      <c r="D1350" s="27">
        <f t="shared" si="1466"/>
        <v>0</v>
      </c>
      <c r="E1350" s="28">
        <f t="shared" si="1467"/>
        <v>0</v>
      </c>
      <c r="F1350" s="42">
        <f t="shared" si="1468"/>
        <v>-3.3333333333333333E-2</v>
      </c>
      <c r="G1350" s="42">
        <f t="shared" si="1469"/>
        <v>-0.23333333333333334</v>
      </c>
      <c r="H1350" s="42">
        <f t="shared" si="1470"/>
        <v>-0.36666666666666664</v>
      </c>
      <c r="I1350" s="42">
        <f t="shared" si="1471"/>
        <v>-0.43333333333333335</v>
      </c>
      <c r="J1350" s="42">
        <f t="shared" si="1472"/>
        <v>-0.56666666666666665</v>
      </c>
      <c r="K1350" s="42">
        <f t="shared" si="1473"/>
        <v>-0.6333333333333333</v>
      </c>
      <c r="L1350" s="42">
        <f t="shared" si="1474"/>
        <v>-0.76666666666666672</v>
      </c>
      <c r="M1350" s="42">
        <f t="shared" si="1475"/>
        <v>-0.96666666666666667</v>
      </c>
      <c r="O1350" s="43" t="str">
        <f t="shared" si="1465"/>
        <v/>
      </c>
    </row>
    <row r="1351" spans="1:15" x14ac:dyDescent="0.45">
      <c r="D1351" s="27">
        <f t="shared" si="1466"/>
        <v>0</v>
      </c>
      <c r="E1351" s="28">
        <f t="shared" si="1467"/>
        <v>0</v>
      </c>
      <c r="F1351" s="42">
        <f t="shared" si="1468"/>
        <v>-3.3333333333333333E-2</v>
      </c>
      <c r="G1351" s="42">
        <f t="shared" si="1469"/>
        <v>-0.23333333333333334</v>
      </c>
      <c r="H1351" s="42">
        <f t="shared" si="1470"/>
        <v>-0.36666666666666664</v>
      </c>
      <c r="I1351" s="42">
        <f t="shared" si="1471"/>
        <v>-0.43333333333333335</v>
      </c>
      <c r="J1351" s="42">
        <f t="shared" si="1472"/>
        <v>-0.56666666666666665</v>
      </c>
      <c r="K1351" s="42">
        <f t="shared" si="1473"/>
        <v>-0.6333333333333333</v>
      </c>
      <c r="L1351" s="42">
        <f t="shared" si="1474"/>
        <v>-0.76666666666666672</v>
      </c>
      <c r="M1351" s="42">
        <f t="shared" si="1475"/>
        <v>-0.96666666666666667</v>
      </c>
      <c r="O1351" s="43" t="str">
        <f t="shared" si="1465"/>
        <v/>
      </c>
    </row>
    <row r="1352" spans="1:15" x14ac:dyDescent="0.45">
      <c r="D1352" s="27">
        <f t="shared" si="1466"/>
        <v>0</v>
      </c>
      <c r="E1352" s="28">
        <f t="shared" si="1467"/>
        <v>0</v>
      </c>
      <c r="F1352" s="42">
        <f t="shared" si="1468"/>
        <v>-3.3333333333333333E-2</v>
      </c>
      <c r="G1352" s="42">
        <f t="shared" si="1469"/>
        <v>-0.23333333333333334</v>
      </c>
      <c r="H1352" s="42">
        <f t="shared" si="1470"/>
        <v>-0.36666666666666664</v>
      </c>
      <c r="I1352" s="42">
        <f t="shared" si="1471"/>
        <v>-0.43333333333333335</v>
      </c>
      <c r="J1352" s="42">
        <f t="shared" si="1472"/>
        <v>-0.56666666666666665</v>
      </c>
      <c r="K1352" s="42">
        <f t="shared" si="1473"/>
        <v>-0.6333333333333333</v>
      </c>
      <c r="L1352" s="42">
        <f t="shared" si="1474"/>
        <v>-0.76666666666666672</v>
      </c>
      <c r="M1352" s="42">
        <f t="shared" si="1475"/>
        <v>-0.96666666666666667</v>
      </c>
      <c r="O1352" s="43" t="str">
        <f t="shared" si="1465"/>
        <v/>
      </c>
    </row>
    <row r="1353" spans="1:15" x14ac:dyDescent="0.45">
      <c r="D1353" s="27">
        <f t="shared" si="1466"/>
        <v>0</v>
      </c>
      <c r="E1353" s="28">
        <f t="shared" si="1467"/>
        <v>0</v>
      </c>
      <c r="F1353" s="42">
        <f t="shared" si="1468"/>
        <v>-3.3333333333333333E-2</v>
      </c>
      <c r="G1353" s="42">
        <f t="shared" si="1469"/>
        <v>-0.23333333333333334</v>
      </c>
      <c r="H1353" s="42">
        <f t="shared" si="1470"/>
        <v>-0.36666666666666664</v>
      </c>
      <c r="I1353" s="42">
        <f t="shared" si="1471"/>
        <v>-0.43333333333333335</v>
      </c>
      <c r="J1353" s="42">
        <f t="shared" si="1472"/>
        <v>-0.56666666666666665</v>
      </c>
      <c r="K1353" s="42">
        <f t="shared" si="1473"/>
        <v>-0.6333333333333333</v>
      </c>
      <c r="L1353" s="42">
        <f t="shared" si="1474"/>
        <v>-0.76666666666666672</v>
      </c>
      <c r="M1353" s="42">
        <f t="shared" si="1475"/>
        <v>-0.96666666666666667</v>
      </c>
      <c r="O1353" s="43" t="str">
        <f t="shared" si="1465"/>
        <v/>
      </c>
    </row>
    <row r="1354" spans="1:15" x14ac:dyDescent="0.45">
      <c r="D1354" s="27">
        <f t="shared" si="1466"/>
        <v>0</v>
      </c>
      <c r="E1354" s="28">
        <f t="shared" si="1467"/>
        <v>0</v>
      </c>
      <c r="F1354" s="42">
        <f t="shared" si="1468"/>
        <v>-3.3333333333333333E-2</v>
      </c>
      <c r="G1354" s="42">
        <f t="shared" si="1469"/>
        <v>-0.23333333333333334</v>
      </c>
      <c r="H1354" s="42">
        <f t="shared" si="1470"/>
        <v>-0.36666666666666664</v>
      </c>
      <c r="I1354" s="42">
        <f t="shared" si="1471"/>
        <v>-0.43333333333333335</v>
      </c>
      <c r="J1354" s="42">
        <f t="shared" si="1472"/>
        <v>-0.56666666666666665</v>
      </c>
      <c r="K1354" s="42">
        <f t="shared" si="1473"/>
        <v>-0.6333333333333333</v>
      </c>
      <c r="L1354" s="42">
        <f t="shared" si="1474"/>
        <v>-0.76666666666666672</v>
      </c>
      <c r="M1354" s="42">
        <f t="shared" si="1475"/>
        <v>-0.96666666666666667</v>
      </c>
      <c r="O1354" s="43" t="str">
        <f t="shared" si="1465"/>
        <v/>
      </c>
    </row>
    <row r="1355" spans="1:15" ht="19.2" thickBot="1" x14ac:dyDescent="0.5">
      <c r="F1355" s="42"/>
      <c r="G1355" s="42"/>
      <c r="H1355" s="42"/>
      <c r="I1355" s="42"/>
      <c r="J1355" s="42"/>
      <c r="K1355" s="42"/>
      <c r="L1355" s="42"/>
      <c r="M1355" s="42"/>
    </row>
    <row r="1356" spans="1:15" ht="19.2" thickBot="1" x14ac:dyDescent="0.5">
      <c r="C1356" s="44"/>
      <c r="E1356" s="34">
        <f>E1337</f>
        <v>0</v>
      </c>
      <c r="F1356" s="45">
        <v>1</v>
      </c>
      <c r="G1356" s="46">
        <v>7</v>
      </c>
      <c r="H1356" s="46">
        <v>11</v>
      </c>
      <c r="I1356" s="46">
        <v>13</v>
      </c>
      <c r="J1356" s="46">
        <v>17</v>
      </c>
      <c r="K1356" s="46">
        <v>19</v>
      </c>
      <c r="L1356" s="46">
        <v>23</v>
      </c>
      <c r="M1356" s="47">
        <v>29</v>
      </c>
      <c r="O1356" s="27" t="s">
        <v>2</v>
      </c>
    </row>
    <row r="1357" spans="1:15" x14ac:dyDescent="0.45">
      <c r="A1357" s="29">
        <f>A1347+1</f>
        <v>135</v>
      </c>
      <c r="D1357" s="27">
        <f>C1347</f>
        <v>0</v>
      </c>
      <c r="E1357" s="28">
        <f>D1357*$E$6</f>
        <v>0</v>
      </c>
      <c r="F1357" s="42">
        <f>(E1357-1)/30</f>
        <v>-3.3333333333333333E-2</v>
      </c>
      <c r="G1357" s="42">
        <f>($E1357-7)/30</f>
        <v>-0.23333333333333334</v>
      </c>
      <c r="H1357" s="42">
        <f>($E1357-11)/30</f>
        <v>-0.36666666666666664</v>
      </c>
      <c r="I1357" s="42">
        <f>($E1357-13)/30</f>
        <v>-0.43333333333333335</v>
      </c>
      <c r="J1357" s="42">
        <f>($E1357-17)/30</f>
        <v>-0.56666666666666665</v>
      </c>
      <c r="K1357" s="42">
        <f>($E1357-19)/30</f>
        <v>-0.6333333333333333</v>
      </c>
      <c r="L1357" s="42">
        <f>($E1357-23)/30</f>
        <v>-0.76666666666666672</v>
      </c>
      <c r="M1357" s="42">
        <f>($E1357-29)/30</f>
        <v>-0.96666666666666667</v>
      </c>
      <c r="O1357" s="43" t="str">
        <f t="shared" ref="O1357:O1364" si="1476">FactorNumber(E1357)</f>
        <v/>
      </c>
    </row>
    <row r="1358" spans="1:15" x14ac:dyDescent="0.45">
      <c r="D1358" s="27">
        <f t="shared" ref="D1358:D1364" si="1477">C1348</f>
        <v>0</v>
      </c>
      <c r="E1358" s="28">
        <f t="shared" ref="E1358:E1364" si="1478">D1358*$E$6</f>
        <v>0</v>
      </c>
      <c r="F1358" s="42">
        <f t="shared" ref="F1358:F1364" si="1479">(E1358-1)/30</f>
        <v>-3.3333333333333333E-2</v>
      </c>
      <c r="G1358" s="42">
        <f t="shared" ref="G1358:G1364" si="1480">($E1358-7)/30</f>
        <v>-0.23333333333333334</v>
      </c>
      <c r="H1358" s="42">
        <f t="shared" ref="H1358:H1364" si="1481">($E1358-11)/30</f>
        <v>-0.36666666666666664</v>
      </c>
      <c r="I1358" s="42">
        <f t="shared" ref="I1358:I1364" si="1482">($E1358-13)/30</f>
        <v>-0.43333333333333335</v>
      </c>
      <c r="J1358" s="42">
        <f t="shared" ref="J1358:J1364" si="1483">($E1358-17)/30</f>
        <v>-0.56666666666666665</v>
      </c>
      <c r="K1358" s="42">
        <f t="shared" ref="K1358:K1364" si="1484">($E1358-19)/30</f>
        <v>-0.6333333333333333</v>
      </c>
      <c r="L1358" s="42">
        <f t="shared" ref="L1358:L1364" si="1485">($E1358-23)/30</f>
        <v>-0.76666666666666672</v>
      </c>
      <c r="M1358" s="42">
        <f t="shared" ref="M1358:M1364" si="1486">($E1358-29)/30</f>
        <v>-0.96666666666666667</v>
      </c>
      <c r="O1358" s="43" t="str">
        <f t="shared" si="1476"/>
        <v/>
      </c>
    </row>
    <row r="1359" spans="1:15" x14ac:dyDescent="0.45">
      <c r="D1359" s="27">
        <f t="shared" si="1477"/>
        <v>0</v>
      </c>
      <c r="E1359" s="28">
        <f t="shared" si="1478"/>
        <v>0</v>
      </c>
      <c r="F1359" s="42">
        <f t="shared" si="1479"/>
        <v>-3.3333333333333333E-2</v>
      </c>
      <c r="G1359" s="42">
        <f t="shared" si="1480"/>
        <v>-0.23333333333333334</v>
      </c>
      <c r="H1359" s="42">
        <f t="shared" si="1481"/>
        <v>-0.36666666666666664</v>
      </c>
      <c r="I1359" s="42">
        <f t="shared" si="1482"/>
        <v>-0.43333333333333335</v>
      </c>
      <c r="J1359" s="42">
        <f t="shared" si="1483"/>
        <v>-0.56666666666666665</v>
      </c>
      <c r="K1359" s="42">
        <f t="shared" si="1484"/>
        <v>-0.6333333333333333</v>
      </c>
      <c r="L1359" s="42">
        <f t="shared" si="1485"/>
        <v>-0.76666666666666672</v>
      </c>
      <c r="M1359" s="42">
        <f t="shared" si="1486"/>
        <v>-0.96666666666666667</v>
      </c>
      <c r="O1359" s="43" t="str">
        <f t="shared" si="1476"/>
        <v/>
      </c>
    </row>
    <row r="1360" spans="1:15" x14ac:dyDescent="0.45">
      <c r="D1360" s="27">
        <f t="shared" si="1477"/>
        <v>0</v>
      </c>
      <c r="E1360" s="28">
        <f t="shared" si="1478"/>
        <v>0</v>
      </c>
      <c r="F1360" s="42">
        <f t="shared" si="1479"/>
        <v>-3.3333333333333333E-2</v>
      </c>
      <c r="G1360" s="42">
        <f t="shared" si="1480"/>
        <v>-0.23333333333333334</v>
      </c>
      <c r="H1360" s="42">
        <f t="shared" si="1481"/>
        <v>-0.36666666666666664</v>
      </c>
      <c r="I1360" s="42">
        <f t="shared" si="1482"/>
        <v>-0.43333333333333335</v>
      </c>
      <c r="J1360" s="42">
        <f t="shared" si="1483"/>
        <v>-0.56666666666666665</v>
      </c>
      <c r="K1360" s="42">
        <f t="shared" si="1484"/>
        <v>-0.6333333333333333</v>
      </c>
      <c r="L1360" s="42">
        <f t="shared" si="1485"/>
        <v>-0.76666666666666672</v>
      </c>
      <c r="M1360" s="42">
        <f t="shared" si="1486"/>
        <v>-0.96666666666666667</v>
      </c>
      <c r="O1360" s="43" t="str">
        <f t="shared" si="1476"/>
        <v/>
      </c>
    </row>
    <row r="1361" spans="1:15" x14ac:dyDescent="0.45">
      <c r="D1361" s="27">
        <f t="shared" si="1477"/>
        <v>0</v>
      </c>
      <c r="E1361" s="28">
        <f t="shared" si="1478"/>
        <v>0</v>
      </c>
      <c r="F1361" s="42">
        <f t="shared" si="1479"/>
        <v>-3.3333333333333333E-2</v>
      </c>
      <c r="G1361" s="42">
        <f t="shared" si="1480"/>
        <v>-0.23333333333333334</v>
      </c>
      <c r="H1361" s="42">
        <f t="shared" si="1481"/>
        <v>-0.36666666666666664</v>
      </c>
      <c r="I1361" s="42">
        <f t="shared" si="1482"/>
        <v>-0.43333333333333335</v>
      </c>
      <c r="J1361" s="42">
        <f t="shared" si="1483"/>
        <v>-0.56666666666666665</v>
      </c>
      <c r="K1361" s="42">
        <f t="shared" si="1484"/>
        <v>-0.6333333333333333</v>
      </c>
      <c r="L1361" s="42">
        <f t="shared" si="1485"/>
        <v>-0.76666666666666672</v>
      </c>
      <c r="M1361" s="42">
        <f t="shared" si="1486"/>
        <v>-0.96666666666666667</v>
      </c>
      <c r="O1361" s="43" t="str">
        <f t="shared" si="1476"/>
        <v/>
      </c>
    </row>
    <row r="1362" spans="1:15" x14ac:dyDescent="0.45">
      <c r="D1362" s="27">
        <f t="shared" si="1477"/>
        <v>0</v>
      </c>
      <c r="E1362" s="28">
        <f t="shared" si="1478"/>
        <v>0</v>
      </c>
      <c r="F1362" s="42">
        <f t="shared" si="1479"/>
        <v>-3.3333333333333333E-2</v>
      </c>
      <c r="G1362" s="42">
        <f t="shared" si="1480"/>
        <v>-0.23333333333333334</v>
      </c>
      <c r="H1362" s="42">
        <f t="shared" si="1481"/>
        <v>-0.36666666666666664</v>
      </c>
      <c r="I1362" s="42">
        <f t="shared" si="1482"/>
        <v>-0.43333333333333335</v>
      </c>
      <c r="J1362" s="42">
        <f t="shared" si="1483"/>
        <v>-0.56666666666666665</v>
      </c>
      <c r="K1362" s="42">
        <f t="shared" si="1484"/>
        <v>-0.6333333333333333</v>
      </c>
      <c r="L1362" s="42">
        <f t="shared" si="1485"/>
        <v>-0.76666666666666672</v>
      </c>
      <c r="M1362" s="42">
        <f t="shared" si="1486"/>
        <v>-0.96666666666666667</v>
      </c>
      <c r="O1362" s="43" t="str">
        <f t="shared" si="1476"/>
        <v/>
      </c>
    </row>
    <row r="1363" spans="1:15" x14ac:dyDescent="0.45">
      <c r="D1363" s="27">
        <f t="shared" si="1477"/>
        <v>0</v>
      </c>
      <c r="E1363" s="28">
        <f t="shared" si="1478"/>
        <v>0</v>
      </c>
      <c r="F1363" s="42">
        <f t="shared" si="1479"/>
        <v>-3.3333333333333333E-2</v>
      </c>
      <c r="G1363" s="42">
        <f t="shared" si="1480"/>
        <v>-0.23333333333333334</v>
      </c>
      <c r="H1363" s="42">
        <f t="shared" si="1481"/>
        <v>-0.36666666666666664</v>
      </c>
      <c r="I1363" s="42">
        <f t="shared" si="1482"/>
        <v>-0.43333333333333335</v>
      </c>
      <c r="J1363" s="42">
        <f t="shared" si="1483"/>
        <v>-0.56666666666666665</v>
      </c>
      <c r="K1363" s="42">
        <f t="shared" si="1484"/>
        <v>-0.6333333333333333</v>
      </c>
      <c r="L1363" s="42">
        <f t="shared" si="1485"/>
        <v>-0.76666666666666672</v>
      </c>
      <c r="M1363" s="42">
        <f t="shared" si="1486"/>
        <v>-0.96666666666666667</v>
      </c>
      <c r="O1363" s="43" t="str">
        <f t="shared" si="1476"/>
        <v/>
      </c>
    </row>
    <row r="1364" spans="1:15" x14ac:dyDescent="0.45">
      <c r="D1364" s="27">
        <f t="shared" si="1477"/>
        <v>0</v>
      </c>
      <c r="E1364" s="28">
        <f t="shared" si="1478"/>
        <v>0</v>
      </c>
      <c r="F1364" s="42">
        <f t="shared" si="1479"/>
        <v>-3.3333333333333333E-2</v>
      </c>
      <c r="G1364" s="42">
        <f t="shared" si="1480"/>
        <v>-0.23333333333333334</v>
      </c>
      <c r="H1364" s="42">
        <f t="shared" si="1481"/>
        <v>-0.36666666666666664</v>
      </c>
      <c r="I1364" s="42">
        <f t="shared" si="1482"/>
        <v>-0.43333333333333335</v>
      </c>
      <c r="J1364" s="42">
        <f t="shared" si="1483"/>
        <v>-0.56666666666666665</v>
      </c>
      <c r="K1364" s="42">
        <f t="shared" si="1484"/>
        <v>-0.6333333333333333</v>
      </c>
      <c r="L1364" s="42">
        <f t="shared" si="1485"/>
        <v>-0.76666666666666672</v>
      </c>
      <c r="M1364" s="42">
        <f t="shared" si="1486"/>
        <v>-0.96666666666666667</v>
      </c>
      <c r="O1364" s="43" t="str">
        <f t="shared" si="1476"/>
        <v/>
      </c>
    </row>
    <row r="1367" spans="1:15" x14ac:dyDescent="0.45">
      <c r="A1367" s="29">
        <f>A1357+1</f>
        <v>136</v>
      </c>
    </row>
  </sheetData>
  <sheetProtection sheet="1" selectLockedCells="1"/>
  <conditionalFormatting sqref="F8:M14 G17:M24 G27:M34">
    <cfRule type="expression" dxfId="414" priority="275">
      <formula>MOD(F8,1)=0</formula>
    </cfRule>
  </conditionalFormatting>
  <conditionalFormatting sqref="F17:F24">
    <cfRule type="expression" dxfId="413" priority="274">
      <formula>MOD(F17,1)=0</formula>
    </cfRule>
  </conditionalFormatting>
  <conditionalFormatting sqref="F27:F34">
    <cfRule type="expression" dxfId="412" priority="273">
      <formula>MOD(F27,1)=0</formula>
    </cfRule>
  </conditionalFormatting>
  <conditionalFormatting sqref="E5">
    <cfRule type="expression" dxfId="411" priority="271">
      <formula>$E$5="NOT PRIME"</formula>
    </cfRule>
    <cfRule type="expression" dxfId="410" priority="272">
      <formula>$E$5="PRIME"</formula>
    </cfRule>
  </conditionalFormatting>
  <conditionalFormatting sqref="G7:M7">
    <cfRule type="expression" dxfId="409" priority="267">
      <formula>MOD(G7,1)=0</formula>
    </cfRule>
  </conditionalFormatting>
  <conditionalFormatting sqref="F7">
    <cfRule type="expression" dxfId="408" priority="270">
      <formula>MOD(F7,1)=0</formula>
    </cfRule>
  </conditionalFormatting>
  <conditionalFormatting sqref="F7">
    <cfRule type="expression" dxfId="407" priority="269">
      <formula>MOD(F7,1)=0</formula>
    </cfRule>
  </conditionalFormatting>
  <conditionalFormatting sqref="G7:M7">
    <cfRule type="expression" dxfId="406" priority="268">
      <formula>MOD(G7,1)=0</formula>
    </cfRule>
  </conditionalFormatting>
  <conditionalFormatting sqref="G37:M44">
    <cfRule type="expression" dxfId="405" priority="266">
      <formula>MOD(G37,1)=0</formula>
    </cfRule>
  </conditionalFormatting>
  <conditionalFormatting sqref="F37:F44">
    <cfRule type="expression" dxfId="404" priority="265">
      <formula>MOD(F37,1)=0</formula>
    </cfRule>
  </conditionalFormatting>
  <conditionalFormatting sqref="G47:M54">
    <cfRule type="expression" dxfId="403" priority="264">
      <formula>MOD(G47,1)=0</formula>
    </cfRule>
  </conditionalFormatting>
  <conditionalFormatting sqref="F47:F54">
    <cfRule type="expression" dxfId="402" priority="263">
      <formula>MOD(F47,1)=0</formula>
    </cfRule>
  </conditionalFormatting>
  <conditionalFormatting sqref="G57:M64">
    <cfRule type="expression" dxfId="401" priority="262">
      <formula>MOD(G57,1)=0</formula>
    </cfRule>
  </conditionalFormatting>
  <conditionalFormatting sqref="F57:F64">
    <cfRule type="expression" dxfId="400" priority="261">
      <formula>MOD(F57,1)=0</formula>
    </cfRule>
  </conditionalFormatting>
  <conditionalFormatting sqref="G67:M74">
    <cfRule type="expression" dxfId="399" priority="260">
      <formula>MOD(G67,1)=0</formula>
    </cfRule>
  </conditionalFormatting>
  <conditionalFormatting sqref="F67:F74">
    <cfRule type="expression" dxfId="398" priority="259">
      <formula>MOD(F67,1)=0</formula>
    </cfRule>
  </conditionalFormatting>
  <conditionalFormatting sqref="G77:M84">
    <cfRule type="expression" dxfId="397" priority="258">
      <formula>MOD(G77,1)=0</formula>
    </cfRule>
  </conditionalFormatting>
  <conditionalFormatting sqref="F77:F84">
    <cfRule type="expression" dxfId="396" priority="257">
      <formula>MOD(F77,1)=0</formula>
    </cfRule>
  </conditionalFormatting>
  <conditionalFormatting sqref="G87:M94">
    <cfRule type="expression" dxfId="395" priority="256">
      <formula>MOD(G87,1)=0</formula>
    </cfRule>
  </conditionalFormatting>
  <conditionalFormatting sqref="F87:F94">
    <cfRule type="expression" dxfId="394" priority="255">
      <formula>MOD(F87,1)=0</formula>
    </cfRule>
  </conditionalFormatting>
  <conditionalFormatting sqref="G97:M104">
    <cfRule type="expression" dxfId="393" priority="254">
      <formula>MOD(G97,1)=0</formula>
    </cfRule>
  </conditionalFormatting>
  <conditionalFormatting sqref="F97:F104">
    <cfRule type="expression" dxfId="392" priority="253">
      <formula>MOD(F97,1)=0</formula>
    </cfRule>
  </conditionalFormatting>
  <conditionalFormatting sqref="G107:M114">
    <cfRule type="expression" dxfId="391" priority="252">
      <formula>MOD(G107,1)=0</formula>
    </cfRule>
  </conditionalFormatting>
  <conditionalFormatting sqref="F107:F114">
    <cfRule type="expression" dxfId="390" priority="251">
      <formula>MOD(F107,1)=0</formula>
    </cfRule>
  </conditionalFormatting>
  <conditionalFormatting sqref="G117:M124">
    <cfRule type="expression" dxfId="389" priority="250">
      <formula>MOD(G117,1)=0</formula>
    </cfRule>
  </conditionalFormatting>
  <conditionalFormatting sqref="F117:F124">
    <cfRule type="expression" dxfId="388" priority="249">
      <formula>MOD(F117,1)=0</formula>
    </cfRule>
  </conditionalFormatting>
  <conditionalFormatting sqref="G127:M134">
    <cfRule type="expression" dxfId="387" priority="248">
      <formula>MOD(G127,1)=0</formula>
    </cfRule>
  </conditionalFormatting>
  <conditionalFormatting sqref="F127:F134">
    <cfRule type="expression" dxfId="386" priority="247">
      <formula>MOD(F127,1)=0</formula>
    </cfRule>
  </conditionalFormatting>
  <conditionalFormatting sqref="G137:M144">
    <cfRule type="expression" dxfId="385" priority="246">
      <formula>MOD(G137,1)=0</formula>
    </cfRule>
  </conditionalFormatting>
  <conditionalFormatting sqref="F137:F144">
    <cfRule type="expression" dxfId="384" priority="245">
      <formula>MOD(F137,1)=0</formula>
    </cfRule>
  </conditionalFormatting>
  <conditionalFormatting sqref="G147:M154">
    <cfRule type="expression" dxfId="383" priority="244">
      <formula>MOD(G147,1)=0</formula>
    </cfRule>
  </conditionalFormatting>
  <conditionalFormatting sqref="F147:F154">
    <cfRule type="expression" dxfId="382" priority="243">
      <formula>MOD(F147,1)=0</formula>
    </cfRule>
  </conditionalFormatting>
  <conditionalFormatting sqref="G157:M164">
    <cfRule type="expression" dxfId="381" priority="242">
      <formula>MOD(G157,1)=0</formula>
    </cfRule>
  </conditionalFormatting>
  <conditionalFormatting sqref="F157:F164">
    <cfRule type="expression" dxfId="380" priority="241">
      <formula>MOD(F157,1)=0</formula>
    </cfRule>
  </conditionalFormatting>
  <conditionalFormatting sqref="G167:M174">
    <cfRule type="expression" dxfId="379" priority="240">
      <formula>MOD(G167,1)=0</formula>
    </cfRule>
  </conditionalFormatting>
  <conditionalFormatting sqref="F167:F174">
    <cfRule type="expression" dxfId="378" priority="239">
      <formula>MOD(F167,1)=0</formula>
    </cfRule>
  </conditionalFormatting>
  <conditionalFormatting sqref="G177:M184">
    <cfRule type="expression" dxfId="377" priority="238">
      <formula>MOD(G177,1)=0</formula>
    </cfRule>
  </conditionalFormatting>
  <conditionalFormatting sqref="F177:F184">
    <cfRule type="expression" dxfId="376" priority="237">
      <formula>MOD(F177,1)=0</formula>
    </cfRule>
  </conditionalFormatting>
  <conditionalFormatting sqref="G187:M194">
    <cfRule type="expression" dxfId="375" priority="236">
      <formula>MOD(G187,1)=0</formula>
    </cfRule>
  </conditionalFormatting>
  <conditionalFormatting sqref="F187:F194">
    <cfRule type="expression" dxfId="374" priority="235">
      <formula>MOD(F187,1)=0</formula>
    </cfRule>
  </conditionalFormatting>
  <conditionalFormatting sqref="G197:M204">
    <cfRule type="expression" dxfId="373" priority="234">
      <formula>MOD(G197,1)=0</formula>
    </cfRule>
  </conditionalFormatting>
  <conditionalFormatting sqref="F197:F204">
    <cfRule type="expression" dxfId="372" priority="233">
      <formula>MOD(F197,1)=0</formula>
    </cfRule>
  </conditionalFormatting>
  <conditionalFormatting sqref="G207:M214">
    <cfRule type="expression" dxfId="371" priority="232">
      <formula>MOD(G207,1)=0</formula>
    </cfRule>
  </conditionalFormatting>
  <conditionalFormatting sqref="F207:F214">
    <cfRule type="expression" dxfId="370" priority="231">
      <formula>MOD(F207,1)=0</formula>
    </cfRule>
  </conditionalFormatting>
  <conditionalFormatting sqref="G217:M224">
    <cfRule type="expression" dxfId="369" priority="230">
      <formula>MOD(G217,1)=0</formula>
    </cfRule>
  </conditionalFormatting>
  <conditionalFormatting sqref="F217:F224">
    <cfRule type="expression" dxfId="368" priority="229">
      <formula>MOD(F217,1)=0</formula>
    </cfRule>
  </conditionalFormatting>
  <conditionalFormatting sqref="G227:M234">
    <cfRule type="expression" dxfId="367" priority="228">
      <formula>MOD(G227,1)=0</formula>
    </cfRule>
  </conditionalFormatting>
  <conditionalFormatting sqref="F227:F234">
    <cfRule type="expression" dxfId="366" priority="227">
      <formula>MOD(F227,1)=0</formula>
    </cfRule>
  </conditionalFormatting>
  <conditionalFormatting sqref="G237:M244">
    <cfRule type="expression" dxfId="365" priority="226">
      <formula>MOD(G237,1)=0</formula>
    </cfRule>
  </conditionalFormatting>
  <conditionalFormatting sqref="F237:F244">
    <cfRule type="expression" dxfId="364" priority="225">
      <formula>MOD(F237,1)=0</formula>
    </cfRule>
  </conditionalFormatting>
  <conditionalFormatting sqref="G247:M254">
    <cfRule type="expression" dxfId="363" priority="224">
      <formula>MOD(G247,1)=0</formula>
    </cfRule>
  </conditionalFormatting>
  <conditionalFormatting sqref="F247:F254">
    <cfRule type="expression" dxfId="362" priority="223">
      <formula>MOD(F247,1)=0</formula>
    </cfRule>
  </conditionalFormatting>
  <conditionalFormatting sqref="G257:M264">
    <cfRule type="expression" dxfId="361" priority="222">
      <formula>MOD(G257,1)=0</formula>
    </cfRule>
  </conditionalFormatting>
  <conditionalFormatting sqref="F257:F264">
    <cfRule type="expression" dxfId="360" priority="221">
      <formula>MOD(F257,1)=0</formula>
    </cfRule>
  </conditionalFormatting>
  <conditionalFormatting sqref="G267:M274">
    <cfRule type="expression" dxfId="359" priority="220">
      <formula>MOD(G267,1)=0</formula>
    </cfRule>
  </conditionalFormatting>
  <conditionalFormatting sqref="F267:F274">
    <cfRule type="expression" dxfId="358" priority="219">
      <formula>MOD(F267,1)=0</formula>
    </cfRule>
  </conditionalFormatting>
  <conditionalFormatting sqref="G277:M284">
    <cfRule type="expression" dxfId="357" priority="218">
      <formula>MOD(G277,1)=0</formula>
    </cfRule>
  </conditionalFormatting>
  <conditionalFormatting sqref="F277:F284">
    <cfRule type="expression" dxfId="356" priority="217">
      <formula>MOD(F277,1)=0</formula>
    </cfRule>
  </conditionalFormatting>
  <conditionalFormatting sqref="G287:M294">
    <cfRule type="expression" dxfId="355" priority="216">
      <formula>MOD(G287,1)=0</formula>
    </cfRule>
  </conditionalFormatting>
  <conditionalFormatting sqref="F287:F294">
    <cfRule type="expression" dxfId="354" priority="215">
      <formula>MOD(F287,1)=0</formula>
    </cfRule>
  </conditionalFormatting>
  <conditionalFormatting sqref="G297:M304">
    <cfRule type="expression" dxfId="353" priority="214">
      <formula>MOD(G297,1)=0</formula>
    </cfRule>
  </conditionalFormatting>
  <conditionalFormatting sqref="F297:F304">
    <cfRule type="expression" dxfId="352" priority="213">
      <formula>MOD(F297,1)=0</formula>
    </cfRule>
  </conditionalFormatting>
  <conditionalFormatting sqref="G307:M314">
    <cfRule type="expression" dxfId="351" priority="212">
      <formula>MOD(G307,1)=0</formula>
    </cfRule>
  </conditionalFormatting>
  <conditionalFormatting sqref="F307:F314">
    <cfRule type="expression" dxfId="350" priority="211">
      <formula>MOD(F307,1)=0</formula>
    </cfRule>
  </conditionalFormatting>
  <conditionalFormatting sqref="G317:M324">
    <cfRule type="expression" dxfId="349" priority="210">
      <formula>MOD(G317,1)=0</formula>
    </cfRule>
  </conditionalFormatting>
  <conditionalFormatting sqref="F317:F324">
    <cfRule type="expression" dxfId="348" priority="209">
      <formula>MOD(F317,1)=0</formula>
    </cfRule>
  </conditionalFormatting>
  <conditionalFormatting sqref="G327:M334">
    <cfRule type="expression" dxfId="347" priority="208">
      <formula>MOD(G327,1)=0</formula>
    </cfRule>
  </conditionalFormatting>
  <conditionalFormatting sqref="F327:F334">
    <cfRule type="expression" dxfId="346" priority="207">
      <formula>MOD(F327,1)=0</formula>
    </cfRule>
  </conditionalFormatting>
  <conditionalFormatting sqref="G337:M344">
    <cfRule type="expression" dxfId="345" priority="206">
      <formula>MOD(G337,1)=0</formula>
    </cfRule>
  </conditionalFormatting>
  <conditionalFormatting sqref="F337:F344">
    <cfRule type="expression" dxfId="344" priority="205">
      <formula>MOD(F337,1)=0</formula>
    </cfRule>
  </conditionalFormatting>
  <conditionalFormatting sqref="G347:M354">
    <cfRule type="expression" dxfId="343" priority="204">
      <formula>MOD(G347,1)=0</formula>
    </cfRule>
  </conditionalFormatting>
  <conditionalFormatting sqref="F347:F354">
    <cfRule type="expression" dxfId="342" priority="203">
      <formula>MOD(F347,1)=0</formula>
    </cfRule>
  </conditionalFormatting>
  <conditionalFormatting sqref="G357:M364">
    <cfRule type="expression" dxfId="341" priority="202">
      <formula>MOD(G357,1)=0</formula>
    </cfRule>
  </conditionalFormatting>
  <conditionalFormatting sqref="F357:F364">
    <cfRule type="expression" dxfId="340" priority="201">
      <formula>MOD(F357,1)=0</formula>
    </cfRule>
  </conditionalFormatting>
  <conditionalFormatting sqref="G367:M374">
    <cfRule type="expression" dxfId="339" priority="200">
      <formula>MOD(G367,1)=0</formula>
    </cfRule>
  </conditionalFormatting>
  <conditionalFormatting sqref="F367:F374">
    <cfRule type="expression" dxfId="338" priority="199">
      <formula>MOD(F367,1)=0</formula>
    </cfRule>
  </conditionalFormatting>
  <conditionalFormatting sqref="G377:M384">
    <cfRule type="expression" dxfId="337" priority="198">
      <formula>MOD(G377,1)=0</formula>
    </cfRule>
  </conditionalFormatting>
  <conditionalFormatting sqref="F377:F384">
    <cfRule type="expression" dxfId="336" priority="197">
      <formula>MOD(F377,1)=0</formula>
    </cfRule>
  </conditionalFormatting>
  <conditionalFormatting sqref="G387:M394">
    <cfRule type="expression" dxfId="335" priority="196">
      <formula>MOD(G387,1)=0</formula>
    </cfRule>
  </conditionalFormatting>
  <conditionalFormatting sqref="F387:F394">
    <cfRule type="expression" dxfId="334" priority="195">
      <formula>MOD(F387,1)=0</formula>
    </cfRule>
  </conditionalFormatting>
  <conditionalFormatting sqref="G397:M404">
    <cfRule type="expression" dxfId="333" priority="194">
      <formula>MOD(G397,1)=0</formula>
    </cfRule>
  </conditionalFormatting>
  <conditionalFormatting sqref="F397:F404">
    <cfRule type="expression" dxfId="332" priority="193">
      <formula>MOD(F397,1)=0</formula>
    </cfRule>
  </conditionalFormatting>
  <conditionalFormatting sqref="G407:M414">
    <cfRule type="expression" dxfId="331" priority="192">
      <formula>MOD(G407,1)=0</formula>
    </cfRule>
  </conditionalFormatting>
  <conditionalFormatting sqref="F407:F414">
    <cfRule type="expression" dxfId="330" priority="191">
      <formula>MOD(F407,1)=0</formula>
    </cfRule>
  </conditionalFormatting>
  <conditionalFormatting sqref="G417:M424">
    <cfRule type="expression" dxfId="329" priority="190">
      <formula>MOD(G417,1)=0</formula>
    </cfRule>
  </conditionalFormatting>
  <conditionalFormatting sqref="F417:F424">
    <cfRule type="expression" dxfId="328" priority="189">
      <formula>MOD(F417,1)=0</formula>
    </cfRule>
  </conditionalFormatting>
  <conditionalFormatting sqref="G427:M434">
    <cfRule type="expression" dxfId="327" priority="188">
      <formula>MOD(G427,1)=0</formula>
    </cfRule>
  </conditionalFormatting>
  <conditionalFormatting sqref="F427:F434">
    <cfRule type="expression" dxfId="326" priority="187">
      <formula>MOD(F427,1)=0</formula>
    </cfRule>
  </conditionalFormatting>
  <conditionalFormatting sqref="G437:M444">
    <cfRule type="expression" dxfId="325" priority="186">
      <formula>MOD(G437,1)=0</formula>
    </cfRule>
  </conditionalFormatting>
  <conditionalFormatting sqref="F437:F444">
    <cfRule type="expression" dxfId="324" priority="185">
      <formula>MOD(F437,1)=0</formula>
    </cfRule>
  </conditionalFormatting>
  <conditionalFormatting sqref="G447:M454">
    <cfRule type="expression" dxfId="323" priority="184">
      <formula>MOD(G447,1)=0</formula>
    </cfRule>
  </conditionalFormatting>
  <conditionalFormatting sqref="F447:F454">
    <cfRule type="expression" dxfId="322" priority="183">
      <formula>MOD(F447,1)=0</formula>
    </cfRule>
  </conditionalFormatting>
  <conditionalFormatting sqref="G457:M464">
    <cfRule type="expression" dxfId="321" priority="182">
      <formula>MOD(G457,1)=0</formula>
    </cfRule>
  </conditionalFormatting>
  <conditionalFormatting sqref="F457:F464">
    <cfRule type="expression" dxfId="320" priority="181">
      <formula>MOD(F457,1)=0</formula>
    </cfRule>
  </conditionalFormatting>
  <conditionalFormatting sqref="G467:M474">
    <cfRule type="expression" dxfId="319" priority="180">
      <formula>MOD(G467,1)=0</formula>
    </cfRule>
  </conditionalFormatting>
  <conditionalFormatting sqref="F467:F474">
    <cfRule type="expression" dxfId="318" priority="179">
      <formula>MOD(F467,1)=0</formula>
    </cfRule>
  </conditionalFormatting>
  <conditionalFormatting sqref="G477:M484">
    <cfRule type="expression" dxfId="317" priority="178">
      <formula>MOD(G477,1)=0</formula>
    </cfRule>
  </conditionalFormatting>
  <conditionalFormatting sqref="F477:F484">
    <cfRule type="expression" dxfId="316" priority="177">
      <formula>MOD(F477,1)=0</formula>
    </cfRule>
  </conditionalFormatting>
  <conditionalFormatting sqref="G487:M494">
    <cfRule type="expression" dxfId="315" priority="176">
      <formula>MOD(G487,1)=0</formula>
    </cfRule>
  </conditionalFormatting>
  <conditionalFormatting sqref="F487:F494">
    <cfRule type="expression" dxfId="314" priority="175">
      <formula>MOD(F487,1)=0</formula>
    </cfRule>
  </conditionalFormatting>
  <conditionalFormatting sqref="G497:M504">
    <cfRule type="expression" dxfId="313" priority="174">
      <formula>MOD(G497,1)=0</formula>
    </cfRule>
  </conditionalFormatting>
  <conditionalFormatting sqref="F497:F504">
    <cfRule type="expression" dxfId="312" priority="173">
      <formula>MOD(F497,1)=0</formula>
    </cfRule>
  </conditionalFormatting>
  <conditionalFormatting sqref="G507:M514">
    <cfRule type="expression" dxfId="311" priority="172">
      <formula>MOD(G507,1)=0</formula>
    </cfRule>
  </conditionalFormatting>
  <conditionalFormatting sqref="F507:F514">
    <cfRule type="expression" dxfId="310" priority="171">
      <formula>MOD(F507,1)=0</formula>
    </cfRule>
  </conditionalFormatting>
  <conditionalFormatting sqref="G517:M524">
    <cfRule type="expression" dxfId="309" priority="170">
      <formula>MOD(G517,1)=0</formula>
    </cfRule>
  </conditionalFormatting>
  <conditionalFormatting sqref="F517:F524">
    <cfRule type="expression" dxfId="308" priority="169">
      <formula>MOD(F517,1)=0</formula>
    </cfRule>
  </conditionalFormatting>
  <conditionalFormatting sqref="G527:M534">
    <cfRule type="expression" dxfId="307" priority="168">
      <formula>MOD(G527,1)=0</formula>
    </cfRule>
  </conditionalFormatting>
  <conditionalFormatting sqref="F527:F534">
    <cfRule type="expression" dxfId="306" priority="167">
      <formula>MOD(F527,1)=0</formula>
    </cfRule>
  </conditionalFormatting>
  <conditionalFormatting sqref="G537:M544">
    <cfRule type="expression" dxfId="305" priority="166">
      <formula>MOD(G537,1)=0</formula>
    </cfRule>
  </conditionalFormatting>
  <conditionalFormatting sqref="F537:F544">
    <cfRule type="expression" dxfId="304" priority="165">
      <formula>MOD(F537,1)=0</formula>
    </cfRule>
  </conditionalFormatting>
  <conditionalFormatting sqref="G547:M554">
    <cfRule type="expression" dxfId="303" priority="164">
      <formula>MOD(G547,1)=0</formula>
    </cfRule>
  </conditionalFormatting>
  <conditionalFormatting sqref="F547:F554">
    <cfRule type="expression" dxfId="302" priority="163">
      <formula>MOD(F547,1)=0</formula>
    </cfRule>
  </conditionalFormatting>
  <conditionalFormatting sqref="G557:M564">
    <cfRule type="expression" dxfId="301" priority="162">
      <formula>MOD(G557,1)=0</formula>
    </cfRule>
  </conditionalFormatting>
  <conditionalFormatting sqref="F557:F564">
    <cfRule type="expression" dxfId="300" priority="161">
      <formula>MOD(F557,1)=0</formula>
    </cfRule>
  </conditionalFormatting>
  <conditionalFormatting sqref="G567:M574">
    <cfRule type="expression" dxfId="299" priority="160">
      <formula>MOD(G567,1)=0</formula>
    </cfRule>
  </conditionalFormatting>
  <conditionalFormatting sqref="F567:F574">
    <cfRule type="expression" dxfId="298" priority="159">
      <formula>MOD(F567,1)=0</formula>
    </cfRule>
  </conditionalFormatting>
  <conditionalFormatting sqref="G577:M584">
    <cfRule type="expression" dxfId="297" priority="158">
      <formula>MOD(G577,1)=0</formula>
    </cfRule>
  </conditionalFormatting>
  <conditionalFormatting sqref="F577:F584">
    <cfRule type="expression" dxfId="296" priority="157">
      <formula>MOD(F577,1)=0</formula>
    </cfRule>
  </conditionalFormatting>
  <conditionalFormatting sqref="G587:M594">
    <cfRule type="expression" dxfId="295" priority="156">
      <formula>MOD(G587,1)=0</formula>
    </cfRule>
  </conditionalFormatting>
  <conditionalFormatting sqref="F587:F594">
    <cfRule type="expression" dxfId="294" priority="155">
      <formula>MOD(F587,1)=0</formula>
    </cfRule>
  </conditionalFormatting>
  <conditionalFormatting sqref="G597:M604">
    <cfRule type="expression" dxfId="293" priority="154">
      <formula>MOD(G597,1)=0</formula>
    </cfRule>
  </conditionalFormatting>
  <conditionalFormatting sqref="F597:F604">
    <cfRule type="expression" dxfId="292" priority="153">
      <formula>MOD(F597,1)=0</formula>
    </cfRule>
  </conditionalFormatting>
  <conditionalFormatting sqref="G607:M614">
    <cfRule type="expression" dxfId="291" priority="152">
      <formula>MOD(G607,1)=0</formula>
    </cfRule>
  </conditionalFormatting>
  <conditionalFormatting sqref="F607:F614">
    <cfRule type="expression" dxfId="290" priority="151">
      <formula>MOD(F607,1)=0</formula>
    </cfRule>
  </conditionalFormatting>
  <conditionalFormatting sqref="G617:M624">
    <cfRule type="expression" dxfId="289" priority="150">
      <formula>MOD(G617,1)=0</formula>
    </cfRule>
  </conditionalFormatting>
  <conditionalFormatting sqref="F617:F624">
    <cfRule type="expression" dxfId="288" priority="149">
      <formula>MOD(F617,1)=0</formula>
    </cfRule>
  </conditionalFormatting>
  <conditionalFormatting sqref="G627:M634">
    <cfRule type="expression" dxfId="287" priority="148">
      <formula>MOD(G627,1)=0</formula>
    </cfRule>
  </conditionalFormatting>
  <conditionalFormatting sqref="F627:F634">
    <cfRule type="expression" dxfId="286" priority="147">
      <formula>MOD(F627,1)=0</formula>
    </cfRule>
  </conditionalFormatting>
  <conditionalFormatting sqref="G637:M644">
    <cfRule type="expression" dxfId="285" priority="146">
      <formula>MOD(G637,1)=0</formula>
    </cfRule>
  </conditionalFormatting>
  <conditionalFormatting sqref="F637:F644">
    <cfRule type="expression" dxfId="284" priority="145">
      <formula>MOD(F637,1)=0</formula>
    </cfRule>
  </conditionalFormatting>
  <conditionalFormatting sqref="G647:M654">
    <cfRule type="expression" dxfId="283" priority="144">
      <formula>MOD(G647,1)=0</formula>
    </cfRule>
  </conditionalFormatting>
  <conditionalFormatting sqref="F647:F654">
    <cfRule type="expression" dxfId="282" priority="143">
      <formula>MOD(F647,1)=0</formula>
    </cfRule>
  </conditionalFormatting>
  <conditionalFormatting sqref="G657:M664">
    <cfRule type="expression" dxfId="281" priority="142">
      <formula>MOD(G657,1)=0</formula>
    </cfRule>
  </conditionalFormatting>
  <conditionalFormatting sqref="F657:F664">
    <cfRule type="expression" dxfId="280" priority="141">
      <formula>MOD(F657,1)=0</formula>
    </cfRule>
  </conditionalFormatting>
  <conditionalFormatting sqref="G667:M674">
    <cfRule type="expression" dxfId="279" priority="140">
      <formula>MOD(G667,1)=0</formula>
    </cfRule>
  </conditionalFormatting>
  <conditionalFormatting sqref="F667:F674">
    <cfRule type="expression" dxfId="278" priority="139">
      <formula>MOD(F667,1)=0</formula>
    </cfRule>
  </conditionalFormatting>
  <conditionalFormatting sqref="G677:M684">
    <cfRule type="expression" dxfId="277" priority="138">
      <formula>MOD(G677,1)=0</formula>
    </cfRule>
  </conditionalFormatting>
  <conditionalFormatting sqref="F677:F684">
    <cfRule type="expression" dxfId="276" priority="137">
      <formula>MOD(F677,1)=0</formula>
    </cfRule>
  </conditionalFormatting>
  <conditionalFormatting sqref="G687:M694">
    <cfRule type="expression" dxfId="275" priority="136">
      <formula>MOD(G687,1)=0</formula>
    </cfRule>
  </conditionalFormatting>
  <conditionalFormatting sqref="F687:F694">
    <cfRule type="expression" dxfId="274" priority="135">
      <formula>MOD(F687,1)=0</formula>
    </cfRule>
  </conditionalFormatting>
  <conditionalFormatting sqref="G697:M704">
    <cfRule type="expression" dxfId="273" priority="134">
      <formula>MOD(G697,1)=0</formula>
    </cfRule>
  </conditionalFormatting>
  <conditionalFormatting sqref="F697:F704">
    <cfRule type="expression" dxfId="272" priority="133">
      <formula>MOD(F697,1)=0</formula>
    </cfRule>
  </conditionalFormatting>
  <conditionalFormatting sqref="G707:M714">
    <cfRule type="expression" dxfId="271" priority="132">
      <formula>MOD(G707,1)=0</formula>
    </cfRule>
  </conditionalFormatting>
  <conditionalFormatting sqref="F707:F714">
    <cfRule type="expression" dxfId="270" priority="131">
      <formula>MOD(F707,1)=0</formula>
    </cfRule>
  </conditionalFormatting>
  <conditionalFormatting sqref="F1357:F1364">
    <cfRule type="expression" dxfId="269" priority="1">
      <formula>MOD(F1357,1)=0</formula>
    </cfRule>
  </conditionalFormatting>
  <conditionalFormatting sqref="G717:M724">
    <cfRule type="expression" dxfId="268" priority="130">
      <formula>MOD(G717,1)=0</formula>
    </cfRule>
  </conditionalFormatting>
  <conditionalFormatting sqref="F717:F724">
    <cfRule type="expression" dxfId="267" priority="129">
      <formula>MOD(F717,1)=0</formula>
    </cfRule>
  </conditionalFormatting>
  <conditionalFormatting sqref="G727:M734">
    <cfRule type="expression" dxfId="266" priority="128">
      <formula>MOD(G727,1)=0</formula>
    </cfRule>
  </conditionalFormatting>
  <conditionalFormatting sqref="F727:F734">
    <cfRule type="expression" dxfId="265" priority="127">
      <formula>MOD(F727,1)=0</formula>
    </cfRule>
  </conditionalFormatting>
  <conditionalFormatting sqref="G737:M744">
    <cfRule type="expression" dxfId="264" priority="126">
      <formula>MOD(G737,1)=0</formula>
    </cfRule>
  </conditionalFormatting>
  <conditionalFormatting sqref="F737:F744">
    <cfRule type="expression" dxfId="263" priority="125">
      <formula>MOD(F737,1)=0</formula>
    </cfRule>
  </conditionalFormatting>
  <conditionalFormatting sqref="G747:M754">
    <cfRule type="expression" dxfId="262" priority="124">
      <formula>MOD(G747,1)=0</formula>
    </cfRule>
  </conditionalFormatting>
  <conditionalFormatting sqref="F747:F754">
    <cfRule type="expression" dxfId="261" priority="123">
      <formula>MOD(F747,1)=0</formula>
    </cfRule>
  </conditionalFormatting>
  <conditionalFormatting sqref="G757:M764">
    <cfRule type="expression" dxfId="260" priority="122">
      <formula>MOD(G757,1)=0</formula>
    </cfRule>
  </conditionalFormatting>
  <conditionalFormatting sqref="F757:F764">
    <cfRule type="expression" dxfId="259" priority="121">
      <formula>MOD(F757,1)=0</formula>
    </cfRule>
  </conditionalFormatting>
  <conditionalFormatting sqref="G767:M774">
    <cfRule type="expression" dxfId="258" priority="120">
      <formula>MOD(G767,1)=0</formula>
    </cfRule>
  </conditionalFormatting>
  <conditionalFormatting sqref="F767:F774">
    <cfRule type="expression" dxfId="257" priority="119">
      <formula>MOD(F767,1)=0</formula>
    </cfRule>
  </conditionalFormatting>
  <conditionalFormatting sqref="G777:M784">
    <cfRule type="expression" dxfId="256" priority="118">
      <formula>MOD(G777,1)=0</formula>
    </cfRule>
  </conditionalFormatting>
  <conditionalFormatting sqref="F777:F784">
    <cfRule type="expression" dxfId="255" priority="117">
      <formula>MOD(F777,1)=0</formula>
    </cfRule>
  </conditionalFormatting>
  <conditionalFormatting sqref="G787:M794">
    <cfRule type="expression" dxfId="254" priority="116">
      <formula>MOD(G787,1)=0</formula>
    </cfRule>
  </conditionalFormatting>
  <conditionalFormatting sqref="F787:F794">
    <cfRule type="expression" dxfId="253" priority="115">
      <formula>MOD(F787,1)=0</formula>
    </cfRule>
  </conditionalFormatting>
  <conditionalFormatting sqref="G797:M804">
    <cfRule type="expression" dxfId="252" priority="114">
      <formula>MOD(G797,1)=0</formula>
    </cfRule>
  </conditionalFormatting>
  <conditionalFormatting sqref="F797:F804">
    <cfRule type="expression" dxfId="251" priority="113">
      <formula>MOD(F797,1)=0</formula>
    </cfRule>
  </conditionalFormatting>
  <conditionalFormatting sqref="G807:M814">
    <cfRule type="expression" dxfId="250" priority="112">
      <formula>MOD(G807,1)=0</formula>
    </cfRule>
  </conditionalFormatting>
  <conditionalFormatting sqref="F807:F814">
    <cfRule type="expression" dxfId="249" priority="111">
      <formula>MOD(F807,1)=0</formula>
    </cfRule>
  </conditionalFormatting>
  <conditionalFormatting sqref="G817:M824">
    <cfRule type="expression" dxfId="248" priority="110">
      <formula>MOD(G817,1)=0</formula>
    </cfRule>
  </conditionalFormatting>
  <conditionalFormatting sqref="F817:F824">
    <cfRule type="expression" dxfId="247" priority="109">
      <formula>MOD(F817,1)=0</formula>
    </cfRule>
  </conditionalFormatting>
  <conditionalFormatting sqref="G827:M834">
    <cfRule type="expression" dxfId="246" priority="108">
      <formula>MOD(G827,1)=0</formula>
    </cfRule>
  </conditionalFormatting>
  <conditionalFormatting sqref="F827:F834">
    <cfRule type="expression" dxfId="245" priority="107">
      <formula>MOD(F827,1)=0</formula>
    </cfRule>
  </conditionalFormatting>
  <conditionalFormatting sqref="G837:M844">
    <cfRule type="expression" dxfId="244" priority="106">
      <formula>MOD(G837,1)=0</formula>
    </cfRule>
  </conditionalFormatting>
  <conditionalFormatting sqref="F837:F844">
    <cfRule type="expression" dxfId="243" priority="105">
      <formula>MOD(F837,1)=0</formula>
    </cfRule>
  </conditionalFormatting>
  <conditionalFormatting sqref="G847:M854">
    <cfRule type="expression" dxfId="242" priority="104">
      <formula>MOD(G847,1)=0</formula>
    </cfRule>
  </conditionalFormatting>
  <conditionalFormatting sqref="F847:F854">
    <cfRule type="expression" dxfId="241" priority="103">
      <formula>MOD(F847,1)=0</formula>
    </cfRule>
  </conditionalFormatting>
  <conditionalFormatting sqref="G857:M864">
    <cfRule type="expression" dxfId="240" priority="102">
      <formula>MOD(G857,1)=0</formula>
    </cfRule>
  </conditionalFormatting>
  <conditionalFormatting sqref="F857:F864">
    <cfRule type="expression" dxfId="239" priority="101">
      <formula>MOD(F857,1)=0</formula>
    </cfRule>
  </conditionalFormatting>
  <conditionalFormatting sqref="G867:M874">
    <cfRule type="expression" dxfId="238" priority="100">
      <formula>MOD(G867,1)=0</formula>
    </cfRule>
  </conditionalFormatting>
  <conditionalFormatting sqref="F867:F874">
    <cfRule type="expression" dxfId="237" priority="99">
      <formula>MOD(F867,1)=0</formula>
    </cfRule>
  </conditionalFormatting>
  <conditionalFormatting sqref="G877:M884">
    <cfRule type="expression" dxfId="236" priority="98">
      <formula>MOD(G877,1)=0</formula>
    </cfRule>
  </conditionalFormatting>
  <conditionalFormatting sqref="F877:F884">
    <cfRule type="expression" dxfId="235" priority="97">
      <formula>MOD(F877,1)=0</formula>
    </cfRule>
  </conditionalFormatting>
  <conditionalFormatting sqref="G887:M894">
    <cfRule type="expression" dxfId="234" priority="96">
      <formula>MOD(G887,1)=0</formula>
    </cfRule>
  </conditionalFormatting>
  <conditionalFormatting sqref="F887:F894">
    <cfRule type="expression" dxfId="233" priority="95">
      <formula>MOD(F887,1)=0</formula>
    </cfRule>
  </conditionalFormatting>
  <conditionalFormatting sqref="G897:M904">
    <cfRule type="expression" dxfId="232" priority="94">
      <formula>MOD(G897,1)=0</formula>
    </cfRule>
  </conditionalFormatting>
  <conditionalFormatting sqref="F897:F904">
    <cfRule type="expression" dxfId="231" priority="93">
      <formula>MOD(F897,1)=0</formula>
    </cfRule>
  </conditionalFormatting>
  <conditionalFormatting sqref="G907:M914">
    <cfRule type="expression" dxfId="230" priority="92">
      <formula>MOD(G907,1)=0</formula>
    </cfRule>
  </conditionalFormatting>
  <conditionalFormatting sqref="F907:F914">
    <cfRule type="expression" dxfId="229" priority="91">
      <formula>MOD(F907,1)=0</formula>
    </cfRule>
  </conditionalFormatting>
  <conditionalFormatting sqref="G917:M924">
    <cfRule type="expression" dxfId="228" priority="90">
      <formula>MOD(G917,1)=0</formula>
    </cfRule>
  </conditionalFormatting>
  <conditionalFormatting sqref="F917:F924">
    <cfRule type="expression" dxfId="227" priority="89">
      <formula>MOD(F917,1)=0</formula>
    </cfRule>
  </conditionalFormatting>
  <conditionalFormatting sqref="G927:M934">
    <cfRule type="expression" dxfId="226" priority="88">
      <formula>MOD(G927,1)=0</formula>
    </cfRule>
  </conditionalFormatting>
  <conditionalFormatting sqref="F927:F934">
    <cfRule type="expression" dxfId="225" priority="87">
      <formula>MOD(F927,1)=0</formula>
    </cfRule>
  </conditionalFormatting>
  <conditionalFormatting sqref="G937:M944">
    <cfRule type="expression" dxfId="224" priority="86">
      <formula>MOD(G937,1)=0</formula>
    </cfRule>
  </conditionalFormatting>
  <conditionalFormatting sqref="F937:F944">
    <cfRule type="expression" dxfId="223" priority="85">
      <formula>MOD(F937,1)=0</formula>
    </cfRule>
  </conditionalFormatting>
  <conditionalFormatting sqref="G947:M954">
    <cfRule type="expression" dxfId="222" priority="84">
      <formula>MOD(G947,1)=0</formula>
    </cfRule>
  </conditionalFormatting>
  <conditionalFormatting sqref="F947:F954">
    <cfRule type="expression" dxfId="221" priority="83">
      <formula>MOD(F947,1)=0</formula>
    </cfRule>
  </conditionalFormatting>
  <conditionalFormatting sqref="G957:M964">
    <cfRule type="expression" dxfId="220" priority="82">
      <formula>MOD(G957,1)=0</formula>
    </cfRule>
  </conditionalFormatting>
  <conditionalFormatting sqref="F957:F964">
    <cfRule type="expression" dxfId="219" priority="81">
      <formula>MOD(F957,1)=0</formula>
    </cfRule>
  </conditionalFormatting>
  <conditionalFormatting sqref="G967:M974">
    <cfRule type="expression" dxfId="218" priority="80">
      <formula>MOD(G967,1)=0</formula>
    </cfRule>
  </conditionalFormatting>
  <conditionalFormatting sqref="F967:F974">
    <cfRule type="expression" dxfId="217" priority="79">
      <formula>MOD(F967,1)=0</formula>
    </cfRule>
  </conditionalFormatting>
  <conditionalFormatting sqref="G977:M984">
    <cfRule type="expression" dxfId="216" priority="78">
      <formula>MOD(G977,1)=0</formula>
    </cfRule>
  </conditionalFormatting>
  <conditionalFormatting sqref="F977:F984">
    <cfRule type="expression" dxfId="215" priority="77">
      <formula>MOD(F977,1)=0</formula>
    </cfRule>
  </conditionalFormatting>
  <conditionalFormatting sqref="G987:M994">
    <cfRule type="expression" dxfId="214" priority="76">
      <formula>MOD(G987,1)=0</formula>
    </cfRule>
  </conditionalFormatting>
  <conditionalFormatting sqref="F987:F994">
    <cfRule type="expression" dxfId="213" priority="75">
      <formula>MOD(F987,1)=0</formula>
    </cfRule>
  </conditionalFormatting>
  <conditionalFormatting sqref="G997:M1004">
    <cfRule type="expression" dxfId="212" priority="74">
      <formula>MOD(G997,1)=0</formula>
    </cfRule>
  </conditionalFormatting>
  <conditionalFormatting sqref="F997:F1004">
    <cfRule type="expression" dxfId="211" priority="73">
      <formula>MOD(F997,1)=0</formula>
    </cfRule>
  </conditionalFormatting>
  <conditionalFormatting sqref="G1007:M1014">
    <cfRule type="expression" dxfId="210" priority="72">
      <formula>MOD(G1007,1)=0</formula>
    </cfRule>
  </conditionalFormatting>
  <conditionalFormatting sqref="F1007:F1014">
    <cfRule type="expression" dxfId="209" priority="71">
      <formula>MOD(F1007,1)=0</formula>
    </cfRule>
  </conditionalFormatting>
  <conditionalFormatting sqref="G1017:M1024">
    <cfRule type="expression" dxfId="208" priority="70">
      <formula>MOD(G1017,1)=0</formula>
    </cfRule>
  </conditionalFormatting>
  <conditionalFormatting sqref="F1017:F1024">
    <cfRule type="expression" dxfId="207" priority="69">
      <formula>MOD(F1017,1)=0</formula>
    </cfRule>
  </conditionalFormatting>
  <conditionalFormatting sqref="G1027:M1034">
    <cfRule type="expression" dxfId="206" priority="68">
      <formula>MOD(G1027,1)=0</formula>
    </cfRule>
  </conditionalFormatting>
  <conditionalFormatting sqref="F1027:F1034">
    <cfRule type="expression" dxfId="205" priority="67">
      <formula>MOD(F1027,1)=0</formula>
    </cfRule>
  </conditionalFormatting>
  <conditionalFormatting sqref="G1037:M1044">
    <cfRule type="expression" dxfId="204" priority="66">
      <formula>MOD(G1037,1)=0</formula>
    </cfRule>
  </conditionalFormatting>
  <conditionalFormatting sqref="F1037:F1044">
    <cfRule type="expression" dxfId="203" priority="65">
      <formula>MOD(F1037,1)=0</formula>
    </cfRule>
  </conditionalFormatting>
  <conditionalFormatting sqref="G1047:M1054">
    <cfRule type="expression" dxfId="202" priority="64">
      <formula>MOD(G1047,1)=0</formula>
    </cfRule>
  </conditionalFormatting>
  <conditionalFormatting sqref="F1047:F1054">
    <cfRule type="expression" dxfId="201" priority="63">
      <formula>MOD(F1047,1)=0</formula>
    </cfRule>
  </conditionalFormatting>
  <conditionalFormatting sqref="G1057:M1064">
    <cfRule type="expression" dxfId="200" priority="62">
      <formula>MOD(G1057,1)=0</formula>
    </cfRule>
  </conditionalFormatting>
  <conditionalFormatting sqref="F1057:F1064">
    <cfRule type="expression" dxfId="199" priority="61">
      <formula>MOD(F1057,1)=0</formula>
    </cfRule>
  </conditionalFormatting>
  <conditionalFormatting sqref="G1067:M1074">
    <cfRule type="expression" dxfId="198" priority="60">
      <formula>MOD(G1067,1)=0</formula>
    </cfRule>
  </conditionalFormatting>
  <conditionalFormatting sqref="F1067:F1074">
    <cfRule type="expression" dxfId="197" priority="59">
      <formula>MOD(F1067,1)=0</formula>
    </cfRule>
  </conditionalFormatting>
  <conditionalFormatting sqref="G1077:M1084">
    <cfRule type="expression" dxfId="196" priority="58">
      <formula>MOD(G1077,1)=0</formula>
    </cfRule>
  </conditionalFormatting>
  <conditionalFormatting sqref="F1077:F1084">
    <cfRule type="expression" dxfId="195" priority="57">
      <formula>MOD(F1077,1)=0</formula>
    </cfRule>
  </conditionalFormatting>
  <conditionalFormatting sqref="G1087:M1094">
    <cfRule type="expression" dxfId="194" priority="56">
      <formula>MOD(G1087,1)=0</formula>
    </cfRule>
  </conditionalFormatting>
  <conditionalFormatting sqref="F1087:F1094">
    <cfRule type="expression" dxfId="193" priority="55">
      <formula>MOD(F1087,1)=0</formula>
    </cfRule>
  </conditionalFormatting>
  <conditionalFormatting sqref="G1097:M1104">
    <cfRule type="expression" dxfId="192" priority="54">
      <formula>MOD(G1097,1)=0</formula>
    </cfRule>
  </conditionalFormatting>
  <conditionalFormatting sqref="F1097:F1104">
    <cfRule type="expression" dxfId="191" priority="53">
      <formula>MOD(F1097,1)=0</formula>
    </cfRule>
  </conditionalFormatting>
  <conditionalFormatting sqref="G1107:M1114">
    <cfRule type="expression" dxfId="190" priority="52">
      <formula>MOD(G1107,1)=0</formula>
    </cfRule>
  </conditionalFormatting>
  <conditionalFormatting sqref="F1107:F1114">
    <cfRule type="expression" dxfId="189" priority="51">
      <formula>MOD(F1107,1)=0</formula>
    </cfRule>
  </conditionalFormatting>
  <conditionalFormatting sqref="G1117:M1124">
    <cfRule type="expression" dxfId="188" priority="50">
      <formula>MOD(G1117,1)=0</formula>
    </cfRule>
  </conditionalFormatting>
  <conditionalFormatting sqref="F1117:F1124">
    <cfRule type="expression" dxfId="187" priority="49">
      <formula>MOD(F1117,1)=0</formula>
    </cfRule>
  </conditionalFormatting>
  <conditionalFormatting sqref="G1127:M1134">
    <cfRule type="expression" dxfId="186" priority="48">
      <formula>MOD(G1127,1)=0</formula>
    </cfRule>
  </conditionalFormatting>
  <conditionalFormatting sqref="F1127:F1134">
    <cfRule type="expression" dxfId="185" priority="47">
      <formula>MOD(F1127,1)=0</formula>
    </cfRule>
  </conditionalFormatting>
  <conditionalFormatting sqref="G1137:M1144">
    <cfRule type="expression" dxfId="184" priority="46">
      <formula>MOD(G1137,1)=0</formula>
    </cfRule>
  </conditionalFormatting>
  <conditionalFormatting sqref="F1137:F1144">
    <cfRule type="expression" dxfId="183" priority="45">
      <formula>MOD(F1137,1)=0</formula>
    </cfRule>
  </conditionalFormatting>
  <conditionalFormatting sqref="G1147:M1154">
    <cfRule type="expression" dxfId="182" priority="44">
      <formula>MOD(G1147,1)=0</formula>
    </cfRule>
  </conditionalFormatting>
  <conditionalFormatting sqref="F1147:F1154">
    <cfRule type="expression" dxfId="181" priority="43">
      <formula>MOD(F1147,1)=0</formula>
    </cfRule>
  </conditionalFormatting>
  <conditionalFormatting sqref="G1157:M1164">
    <cfRule type="expression" dxfId="180" priority="42">
      <formula>MOD(G1157,1)=0</formula>
    </cfRule>
  </conditionalFormatting>
  <conditionalFormatting sqref="F1157:F1164">
    <cfRule type="expression" dxfId="179" priority="41">
      <formula>MOD(F1157,1)=0</formula>
    </cfRule>
  </conditionalFormatting>
  <conditionalFormatting sqref="G1167:M1174">
    <cfRule type="expression" dxfId="178" priority="40">
      <formula>MOD(G1167,1)=0</formula>
    </cfRule>
  </conditionalFormatting>
  <conditionalFormatting sqref="F1167:F1174">
    <cfRule type="expression" dxfId="177" priority="39">
      <formula>MOD(F1167,1)=0</formula>
    </cfRule>
  </conditionalFormatting>
  <conditionalFormatting sqref="G1177:M1184">
    <cfRule type="expression" dxfId="176" priority="38">
      <formula>MOD(G1177,1)=0</formula>
    </cfRule>
  </conditionalFormatting>
  <conditionalFormatting sqref="F1177:F1184">
    <cfRule type="expression" dxfId="175" priority="37">
      <formula>MOD(F1177,1)=0</formula>
    </cfRule>
  </conditionalFormatting>
  <conditionalFormatting sqref="G1187:M1194">
    <cfRule type="expression" dxfId="174" priority="36">
      <formula>MOD(G1187,1)=0</formula>
    </cfRule>
  </conditionalFormatting>
  <conditionalFormatting sqref="F1187:F1194">
    <cfRule type="expression" dxfId="173" priority="35">
      <formula>MOD(F1187,1)=0</formula>
    </cfRule>
  </conditionalFormatting>
  <conditionalFormatting sqref="G1197:M1204">
    <cfRule type="expression" dxfId="172" priority="34">
      <formula>MOD(G1197,1)=0</formula>
    </cfRule>
  </conditionalFormatting>
  <conditionalFormatting sqref="F1197:F1204">
    <cfRule type="expression" dxfId="171" priority="33">
      <formula>MOD(F1197,1)=0</formula>
    </cfRule>
  </conditionalFormatting>
  <conditionalFormatting sqref="G1207:M1214">
    <cfRule type="expression" dxfId="170" priority="32">
      <formula>MOD(G1207,1)=0</formula>
    </cfRule>
  </conditionalFormatting>
  <conditionalFormatting sqref="F1207:F1214">
    <cfRule type="expression" dxfId="169" priority="31">
      <formula>MOD(F1207,1)=0</formula>
    </cfRule>
  </conditionalFormatting>
  <conditionalFormatting sqref="G1217:M1224">
    <cfRule type="expression" dxfId="168" priority="30">
      <formula>MOD(G1217,1)=0</formula>
    </cfRule>
  </conditionalFormatting>
  <conditionalFormatting sqref="F1217:F1224">
    <cfRule type="expression" dxfId="167" priority="29">
      <formula>MOD(F1217,1)=0</formula>
    </cfRule>
  </conditionalFormatting>
  <conditionalFormatting sqref="G1227:M1234">
    <cfRule type="expression" dxfId="166" priority="28">
      <formula>MOD(G1227,1)=0</formula>
    </cfRule>
  </conditionalFormatting>
  <conditionalFormatting sqref="F1227:F1234">
    <cfRule type="expression" dxfId="165" priority="27">
      <formula>MOD(F1227,1)=0</formula>
    </cfRule>
  </conditionalFormatting>
  <conditionalFormatting sqref="G1237:M1244">
    <cfRule type="expression" dxfId="164" priority="26">
      <formula>MOD(G1237,1)=0</formula>
    </cfRule>
  </conditionalFormatting>
  <conditionalFormatting sqref="F1237:F1244">
    <cfRule type="expression" dxfId="163" priority="25">
      <formula>MOD(F1237,1)=0</formula>
    </cfRule>
  </conditionalFormatting>
  <conditionalFormatting sqref="G1247:M1254">
    <cfRule type="expression" dxfId="162" priority="24">
      <formula>MOD(G1247,1)=0</formula>
    </cfRule>
  </conditionalFormatting>
  <conditionalFormatting sqref="F1247:F1254">
    <cfRule type="expression" dxfId="161" priority="23">
      <formula>MOD(F1247,1)=0</formula>
    </cfRule>
  </conditionalFormatting>
  <conditionalFormatting sqref="G1257:M1264">
    <cfRule type="expression" dxfId="160" priority="22">
      <formula>MOD(G1257,1)=0</formula>
    </cfRule>
  </conditionalFormatting>
  <conditionalFormatting sqref="F1257:F1264">
    <cfRule type="expression" dxfId="159" priority="21">
      <formula>MOD(F1257,1)=0</formula>
    </cfRule>
  </conditionalFormatting>
  <conditionalFormatting sqref="G1267:M1274">
    <cfRule type="expression" dxfId="158" priority="20">
      <formula>MOD(G1267,1)=0</formula>
    </cfRule>
  </conditionalFormatting>
  <conditionalFormatting sqref="F1267:F1274">
    <cfRule type="expression" dxfId="157" priority="19">
      <formula>MOD(F1267,1)=0</formula>
    </cfRule>
  </conditionalFormatting>
  <conditionalFormatting sqref="G1277:M1284">
    <cfRule type="expression" dxfId="156" priority="18">
      <formula>MOD(G1277,1)=0</formula>
    </cfRule>
  </conditionalFormatting>
  <conditionalFormatting sqref="F1277:F1284">
    <cfRule type="expression" dxfId="155" priority="17">
      <formula>MOD(F1277,1)=0</formula>
    </cfRule>
  </conditionalFormatting>
  <conditionalFormatting sqref="G1287:M1294">
    <cfRule type="expression" dxfId="154" priority="16">
      <formula>MOD(G1287,1)=0</formula>
    </cfRule>
  </conditionalFormatting>
  <conditionalFormatting sqref="F1287:F1294">
    <cfRule type="expression" dxfId="153" priority="15">
      <formula>MOD(F1287,1)=0</formula>
    </cfRule>
  </conditionalFormatting>
  <conditionalFormatting sqref="G1297:M1304">
    <cfRule type="expression" dxfId="152" priority="14">
      <formula>MOD(G1297,1)=0</formula>
    </cfRule>
  </conditionalFormatting>
  <conditionalFormatting sqref="F1297:F1304">
    <cfRule type="expression" dxfId="151" priority="13">
      <formula>MOD(F1297,1)=0</formula>
    </cfRule>
  </conditionalFormatting>
  <conditionalFormatting sqref="G1307:M1314">
    <cfRule type="expression" dxfId="150" priority="12">
      <formula>MOD(G1307,1)=0</formula>
    </cfRule>
  </conditionalFormatting>
  <conditionalFormatting sqref="F1307:F1314">
    <cfRule type="expression" dxfId="149" priority="11">
      <formula>MOD(F1307,1)=0</formula>
    </cfRule>
  </conditionalFormatting>
  <conditionalFormatting sqref="G1317:M1324">
    <cfRule type="expression" dxfId="148" priority="10">
      <formula>MOD(G1317,1)=0</formula>
    </cfRule>
  </conditionalFormatting>
  <conditionalFormatting sqref="F1317:F1324">
    <cfRule type="expression" dxfId="147" priority="9">
      <formula>MOD(F1317,1)=0</formula>
    </cfRule>
  </conditionalFormatting>
  <conditionalFormatting sqref="G1327:M1334">
    <cfRule type="expression" dxfId="146" priority="8">
      <formula>MOD(G1327,1)=0</formula>
    </cfRule>
  </conditionalFormatting>
  <conditionalFormatting sqref="F1327:F1334">
    <cfRule type="expression" dxfId="145" priority="7">
      <formula>MOD(F1327,1)=0</formula>
    </cfRule>
  </conditionalFormatting>
  <conditionalFormatting sqref="G1337:M1344">
    <cfRule type="expression" dxfId="144" priority="6">
      <formula>MOD(G1337,1)=0</formula>
    </cfRule>
  </conditionalFormatting>
  <conditionalFormatting sqref="F1337:F1344">
    <cfRule type="expression" dxfId="143" priority="5">
      <formula>MOD(F1337,1)=0</formula>
    </cfRule>
  </conditionalFormatting>
  <conditionalFormatting sqref="G1347:M1354">
    <cfRule type="expression" dxfId="142" priority="4">
      <formula>MOD(G1347,1)=0</formula>
    </cfRule>
  </conditionalFormatting>
  <conditionalFormatting sqref="F1347:F1354">
    <cfRule type="expression" dxfId="141" priority="3">
      <formula>MOD(F1347,1)=0</formula>
    </cfRule>
  </conditionalFormatting>
  <conditionalFormatting sqref="G1357:M1364">
    <cfRule type="expression" dxfId="140" priority="2">
      <formula>MOD(G1357,1)=0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8FAC1-907A-4F03-9756-6EC39F6AD3E5}">
  <sheetPr codeName="Sheet31">
    <tabColor theme="5"/>
  </sheetPr>
  <dimension ref="A1:AQ134"/>
  <sheetViews>
    <sheetView showGridLines="0" zoomScale="60" zoomScaleNormal="60" workbookViewId="0">
      <selection activeCell="E4" sqref="E4"/>
    </sheetView>
  </sheetViews>
  <sheetFormatPr defaultColWidth="6.15234375" defaultRowHeight="18.600000000000001" x14ac:dyDescent="0.45"/>
  <cols>
    <col min="1" max="1" width="8.69140625" style="5" customWidth="1"/>
    <col min="2" max="2" width="2.53515625" style="3" customWidth="1"/>
    <col min="3" max="4" width="4.3046875" style="3" customWidth="1"/>
    <col min="5" max="5" width="10.61328125" style="4" bestFit="1" customWidth="1"/>
    <col min="6" max="6" width="3.69140625" style="4" customWidth="1"/>
    <col min="7" max="35" width="3.23046875" style="3" customWidth="1"/>
    <col min="36" max="36" width="39.4609375" style="1" customWidth="1"/>
    <col min="37" max="16384" width="6.15234375" style="1"/>
  </cols>
  <sheetData>
    <row r="1" spans="1:43" ht="75" customHeight="1" x14ac:dyDescent="0.45">
      <c r="A1" s="7" t="str" cm="1">
        <f t="array" aca="1" ref="A1" ca="1">MID(CELL("filename",A1),FIND("]",CELL("filename",A1))+1,255)</f>
        <v>0381 Snap In All and (g)</v>
      </c>
      <c r="B1" s="8" t="str" cm="1">
        <f t="array" aca="1" ref="B1" ca="1">MID(CELL("filename"),SEARCH("[",CELL("filename"))+1,SEARCH(".",CELL("filename"))-1-SEARCH("[",CELL("filename")))</f>
        <v>Tio Cash Master 0380 Snap In Calculation</v>
      </c>
      <c r="C1" s="8"/>
      <c r="D1" s="8"/>
      <c r="E1" s="9"/>
      <c r="F1" s="9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10"/>
      <c r="AK1" s="10"/>
      <c r="AL1" s="10"/>
      <c r="AM1" s="10"/>
      <c r="AN1" s="10"/>
      <c r="AO1" s="10"/>
      <c r="AP1" s="10"/>
    </row>
    <row r="2" spans="1:43" ht="19.2" thickBot="1" x14ac:dyDescent="0.5">
      <c r="A2" s="11"/>
      <c r="B2" s="8"/>
      <c r="C2" s="8"/>
      <c r="D2" s="8"/>
      <c r="E2" s="9"/>
      <c r="F2" s="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10"/>
      <c r="AK2" s="10"/>
      <c r="AL2" s="10"/>
      <c r="AM2" s="10"/>
      <c r="AN2" s="10"/>
      <c r="AO2" s="10"/>
      <c r="AP2" s="10"/>
    </row>
    <row r="3" spans="1:43" ht="19.2" thickBot="1" x14ac:dyDescent="0.5">
      <c r="A3" s="11"/>
      <c r="B3" s="8"/>
      <c r="C3" s="8"/>
      <c r="D3" s="8"/>
      <c r="E3" s="12" t="s">
        <v>0</v>
      </c>
      <c r="F3" s="13" t="s">
        <v>1</v>
      </c>
      <c r="G3" s="14"/>
      <c r="H3" s="14"/>
      <c r="I3" s="14"/>
      <c r="J3" s="14"/>
      <c r="K3" s="14"/>
      <c r="L3" s="15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10"/>
      <c r="AK3" s="10"/>
      <c r="AL3" s="10"/>
      <c r="AM3" s="10"/>
      <c r="AN3" s="10"/>
      <c r="AO3" s="10"/>
      <c r="AP3" s="10"/>
    </row>
    <row r="4" spans="1:43" ht="19.2" thickBot="1" x14ac:dyDescent="0.5">
      <c r="A4" s="11"/>
      <c r="B4" s="8"/>
      <c r="C4" s="8"/>
      <c r="D4" s="8"/>
      <c r="E4" s="6">
        <v>7</v>
      </c>
      <c r="F4" s="16" t="str">
        <f>FactorNumber(E4)</f>
        <v>1,7</v>
      </c>
      <c r="G4" s="17"/>
      <c r="H4" s="17"/>
      <c r="I4" s="17"/>
      <c r="J4" s="17"/>
      <c r="K4" s="17"/>
      <c r="L4" s="1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10"/>
      <c r="AK4" s="10"/>
      <c r="AL4" s="10"/>
      <c r="AM4" s="10"/>
      <c r="AN4" s="10"/>
      <c r="AO4" s="10"/>
      <c r="AP4" s="10"/>
    </row>
    <row r="5" spans="1:43" ht="19.2" thickBot="1" x14ac:dyDescent="0.5">
      <c r="A5" s="11"/>
      <c r="B5" s="8"/>
      <c r="D5" s="8"/>
      <c r="E5" s="19" t="str">
        <f>IF(LEN(F4)-LEN(SUBSTITUTE(F4,",",""))=1,"PRIME","NOT PRIME")</f>
        <v>PRIME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10"/>
      <c r="AK5" s="10"/>
      <c r="AL5" s="10"/>
      <c r="AM5" s="10"/>
      <c r="AN5" s="10"/>
      <c r="AO5" s="10"/>
      <c r="AP5" s="10"/>
    </row>
    <row r="6" spans="1:43" ht="19.8" thickTop="1" thickBot="1" x14ac:dyDescent="0.5">
      <c r="A6" s="11"/>
      <c r="B6" s="8"/>
      <c r="C6" s="48" t="s">
        <v>5</v>
      </c>
      <c r="D6" s="8"/>
      <c r="E6" s="20">
        <f>E4</f>
        <v>7</v>
      </c>
      <c r="F6" s="21">
        <v>0</v>
      </c>
      <c r="G6" s="21" t="s">
        <v>4</v>
      </c>
      <c r="H6" s="22">
        <v>2</v>
      </c>
      <c r="I6" s="22">
        <v>3</v>
      </c>
      <c r="J6" s="22">
        <v>4</v>
      </c>
      <c r="K6" s="22">
        <v>5</v>
      </c>
      <c r="L6" s="22">
        <v>6</v>
      </c>
      <c r="M6" s="22">
        <v>7</v>
      </c>
      <c r="N6" s="22">
        <v>8</v>
      </c>
      <c r="O6" s="22">
        <v>9</v>
      </c>
      <c r="P6" s="22">
        <v>10</v>
      </c>
      <c r="Q6" s="22">
        <v>11</v>
      </c>
      <c r="R6" s="22">
        <v>12</v>
      </c>
      <c r="S6" s="22">
        <v>13</v>
      </c>
      <c r="T6" s="22">
        <v>14</v>
      </c>
      <c r="U6" s="22">
        <v>15</v>
      </c>
      <c r="V6" s="22">
        <v>16</v>
      </c>
      <c r="W6" s="22">
        <v>17</v>
      </c>
      <c r="X6" s="22">
        <v>18</v>
      </c>
      <c r="Y6" s="22">
        <v>19</v>
      </c>
      <c r="Z6" s="22">
        <v>20</v>
      </c>
      <c r="AA6" s="22">
        <v>21</v>
      </c>
      <c r="AB6" s="22">
        <v>22</v>
      </c>
      <c r="AC6" s="22">
        <v>23</v>
      </c>
      <c r="AD6" s="22">
        <v>24</v>
      </c>
      <c r="AE6" s="22">
        <v>25</v>
      </c>
      <c r="AF6" s="22">
        <v>26</v>
      </c>
      <c r="AG6" s="22">
        <v>27</v>
      </c>
      <c r="AH6" s="22">
        <v>28</v>
      </c>
      <c r="AI6" s="22">
        <v>29</v>
      </c>
      <c r="AJ6" s="8" t="s">
        <v>2</v>
      </c>
      <c r="AK6" s="10"/>
      <c r="AL6" s="10"/>
      <c r="AM6" s="10"/>
      <c r="AN6" s="10"/>
      <c r="AO6" s="10"/>
      <c r="AP6" s="10"/>
      <c r="AQ6" s="10"/>
    </row>
    <row r="7" spans="1:43" x14ac:dyDescent="0.45">
      <c r="A7" s="11"/>
      <c r="B7" s="8"/>
      <c r="C7" s="23">
        <f>(D7-0)/30</f>
        <v>0</v>
      </c>
      <c r="D7" s="8">
        <v>0</v>
      </c>
      <c r="E7" s="9">
        <f>D7*$E$6</f>
        <v>0</v>
      </c>
      <c r="F7" s="23">
        <f>(E7-0)/30</f>
        <v>0</v>
      </c>
      <c r="G7" s="23">
        <f t="shared" ref="G7" si="0">(E7-1)/30</f>
        <v>-3.3333333333333333E-2</v>
      </c>
      <c r="H7" s="23">
        <f>(E7-2)/30</f>
        <v>-6.6666666666666666E-2</v>
      </c>
      <c r="I7" s="23">
        <f>(E7-3)/30</f>
        <v>-0.1</v>
      </c>
      <c r="J7" s="23">
        <f>(E7-4)/30</f>
        <v>-0.13333333333333333</v>
      </c>
      <c r="K7" s="23">
        <f>(E7-5)/30</f>
        <v>-0.16666666666666666</v>
      </c>
      <c r="L7" s="23">
        <f t="shared" ref="L7:L72" si="1">($E7-6)/30</f>
        <v>-0.2</v>
      </c>
      <c r="M7" s="23">
        <f>($E7-7)/30</f>
        <v>-0.23333333333333334</v>
      </c>
      <c r="N7" s="23">
        <f>($E7-8)/30</f>
        <v>-0.26666666666666666</v>
      </c>
      <c r="O7" s="23">
        <f>($E7-9)/30</f>
        <v>-0.3</v>
      </c>
      <c r="P7" s="23">
        <f>($E7-10)/30</f>
        <v>-0.33333333333333331</v>
      </c>
      <c r="Q7" s="23">
        <f>($E7-11)/30</f>
        <v>-0.36666666666666664</v>
      </c>
      <c r="R7" s="23">
        <f>($E7-12)/30</f>
        <v>-0.4</v>
      </c>
      <c r="S7" s="23">
        <f>($E7-13)/30</f>
        <v>-0.43333333333333335</v>
      </c>
      <c r="T7" s="23">
        <f>($E7-14)/30</f>
        <v>-0.46666666666666667</v>
      </c>
      <c r="U7" s="23">
        <f>($E7-15)/30</f>
        <v>-0.5</v>
      </c>
      <c r="V7" s="23">
        <f>($E7-16)/30</f>
        <v>-0.53333333333333333</v>
      </c>
      <c r="W7" s="23">
        <f>($E7-17)/30</f>
        <v>-0.56666666666666665</v>
      </c>
      <c r="X7" s="23">
        <f>($E7-18)/30</f>
        <v>-0.6</v>
      </c>
      <c r="Y7" s="23">
        <f>($E7-19)/30</f>
        <v>-0.6333333333333333</v>
      </c>
      <c r="Z7" s="23">
        <f>($E7-20)/30</f>
        <v>-0.66666666666666663</v>
      </c>
      <c r="AA7" s="23">
        <f>($E7-21)/30</f>
        <v>-0.7</v>
      </c>
      <c r="AB7" s="23">
        <f>($E7-22)/30</f>
        <v>-0.73333333333333328</v>
      </c>
      <c r="AC7" s="23">
        <f>($E7-23)/30</f>
        <v>-0.76666666666666672</v>
      </c>
      <c r="AD7" s="23">
        <f>($E7-24)/30</f>
        <v>-0.8</v>
      </c>
      <c r="AE7" s="23">
        <f>($E7-25)/30</f>
        <v>-0.83333333333333337</v>
      </c>
      <c r="AF7" s="23">
        <f>($E7-26)/30</f>
        <v>-0.8666666666666667</v>
      </c>
      <c r="AG7" s="23">
        <f>($E7-27)/30</f>
        <v>-0.9</v>
      </c>
      <c r="AH7" s="23">
        <f>($E7-28)/30</f>
        <v>-0.93333333333333335</v>
      </c>
      <c r="AI7" s="23">
        <f>($E7-29)/30</f>
        <v>-0.96666666666666667</v>
      </c>
      <c r="AJ7" s="24" t="str">
        <f>FactorNumber(E7)</f>
        <v/>
      </c>
      <c r="AK7" s="10"/>
      <c r="AL7" s="10"/>
      <c r="AM7" s="10"/>
      <c r="AN7" s="10"/>
      <c r="AO7" s="10"/>
      <c r="AP7" s="10"/>
      <c r="AQ7" s="10"/>
    </row>
    <row r="8" spans="1:43" x14ac:dyDescent="0.45">
      <c r="A8" s="11"/>
      <c r="B8" s="8"/>
      <c r="C8" s="8"/>
      <c r="D8" s="8">
        <v>1</v>
      </c>
      <c r="E8" s="9">
        <f>D8*$E$6</f>
        <v>7</v>
      </c>
      <c r="F8" s="23">
        <f t="shared" ref="F8:F36" si="2">(E8-0)/30</f>
        <v>0.23333333333333334</v>
      </c>
      <c r="G8" s="23">
        <f t="shared" ref="G8:G36" si="3">(E8-1)/30</f>
        <v>0.2</v>
      </c>
      <c r="H8" s="23">
        <f>(E8-2)/30</f>
        <v>0.16666666666666666</v>
      </c>
      <c r="I8" s="23">
        <f>(E8-3)/30</f>
        <v>0.13333333333333333</v>
      </c>
      <c r="J8" s="23">
        <f>(E8-4)/30</f>
        <v>0.1</v>
      </c>
      <c r="K8" s="23">
        <f>(E8-5)/30</f>
        <v>6.6666666666666666E-2</v>
      </c>
      <c r="L8" s="23">
        <f t="shared" si="1"/>
        <v>3.3333333333333333E-2</v>
      </c>
      <c r="M8" s="23">
        <f>($E8-7)/30</f>
        <v>0</v>
      </c>
      <c r="N8" s="23">
        <f>($E8-8)/30</f>
        <v>-3.3333333333333333E-2</v>
      </c>
      <c r="O8" s="23">
        <f>($E8-9)/30</f>
        <v>-6.6666666666666666E-2</v>
      </c>
      <c r="P8" s="23">
        <f>($E8-10)/30</f>
        <v>-0.1</v>
      </c>
      <c r="Q8" s="23">
        <f>($E8-11)/30</f>
        <v>-0.13333333333333333</v>
      </c>
      <c r="R8" s="23">
        <f>($E8-12)/30</f>
        <v>-0.16666666666666666</v>
      </c>
      <c r="S8" s="23">
        <f>($E8-13)/30</f>
        <v>-0.2</v>
      </c>
      <c r="T8" s="23">
        <f>($E8-14)/30</f>
        <v>-0.23333333333333334</v>
      </c>
      <c r="U8" s="23">
        <f>($E8-15)/30</f>
        <v>-0.26666666666666666</v>
      </c>
      <c r="V8" s="23">
        <f>($E8-16)/30</f>
        <v>-0.3</v>
      </c>
      <c r="W8" s="23">
        <f>($E8-17)/30</f>
        <v>-0.33333333333333331</v>
      </c>
      <c r="X8" s="23">
        <f>($E8-18)/30</f>
        <v>-0.36666666666666664</v>
      </c>
      <c r="Y8" s="23">
        <f>($E8-19)/30</f>
        <v>-0.4</v>
      </c>
      <c r="Z8" s="23">
        <f>($E8-20)/30</f>
        <v>-0.43333333333333335</v>
      </c>
      <c r="AA8" s="23">
        <f>($E8-21)/30</f>
        <v>-0.46666666666666667</v>
      </c>
      <c r="AB8" s="23">
        <f>($E8-22)/30</f>
        <v>-0.5</v>
      </c>
      <c r="AC8" s="23">
        <f>($E8-23)/30</f>
        <v>-0.53333333333333333</v>
      </c>
      <c r="AD8" s="23">
        <f>($E8-24)/30</f>
        <v>-0.56666666666666665</v>
      </c>
      <c r="AE8" s="23">
        <f>($E8-25)/30</f>
        <v>-0.6</v>
      </c>
      <c r="AF8" s="23">
        <f>($E8-26)/30</f>
        <v>-0.6333333333333333</v>
      </c>
      <c r="AG8" s="23">
        <f>($E8-27)/30</f>
        <v>-0.66666666666666663</v>
      </c>
      <c r="AH8" s="23">
        <f>($E8-28)/30</f>
        <v>-0.7</v>
      </c>
      <c r="AI8" s="23">
        <f>($E8-29)/30</f>
        <v>-0.73333333333333328</v>
      </c>
      <c r="AJ8" s="24" t="str">
        <f>FactorNumber(E8)</f>
        <v>1,7</v>
      </c>
      <c r="AK8" s="10"/>
      <c r="AL8" s="10"/>
      <c r="AM8" s="10"/>
      <c r="AN8" s="10"/>
      <c r="AO8" s="10"/>
      <c r="AP8" s="10"/>
      <c r="AQ8" s="10"/>
    </row>
    <row r="9" spans="1:43" x14ac:dyDescent="0.45">
      <c r="A9" s="11"/>
      <c r="B9" s="8"/>
      <c r="C9" s="8"/>
      <c r="D9" s="8">
        <v>2</v>
      </c>
      <c r="E9" s="9">
        <f>D9*$E$6</f>
        <v>14</v>
      </c>
      <c r="F9" s="23">
        <f t="shared" si="2"/>
        <v>0.46666666666666667</v>
      </c>
      <c r="G9" s="23">
        <f t="shared" si="3"/>
        <v>0.43333333333333335</v>
      </c>
      <c r="H9" s="23">
        <f>(E9-2)/30</f>
        <v>0.4</v>
      </c>
      <c r="I9" s="23">
        <f t="shared" ref="I9:I36" si="4">(E9-3)/30</f>
        <v>0.36666666666666664</v>
      </c>
      <c r="J9" s="23">
        <f t="shared" ref="J9:J36" si="5">(E9-4)/30</f>
        <v>0.33333333333333331</v>
      </c>
      <c r="K9" s="23">
        <f t="shared" ref="K9:K36" si="6">(E9-5)/30</f>
        <v>0.3</v>
      </c>
      <c r="L9" s="23">
        <f t="shared" si="1"/>
        <v>0.26666666666666666</v>
      </c>
      <c r="M9" s="23">
        <f t="shared" ref="M9:M74" si="7">($E9-7)/30</f>
        <v>0.23333333333333334</v>
      </c>
      <c r="N9" s="23">
        <f t="shared" ref="N9:N74" si="8">($E9-8)/30</f>
        <v>0.2</v>
      </c>
      <c r="O9" s="23">
        <f t="shared" ref="O9:O74" si="9">($E9-9)/30</f>
        <v>0.16666666666666666</v>
      </c>
      <c r="P9" s="23">
        <f t="shared" ref="P9:P74" si="10">($E9-10)/30</f>
        <v>0.13333333333333333</v>
      </c>
      <c r="Q9" s="23">
        <f t="shared" ref="Q9:Q74" si="11">($E9-11)/30</f>
        <v>0.1</v>
      </c>
      <c r="R9" s="23">
        <f t="shared" ref="R9:R74" si="12">($E9-12)/30</f>
        <v>6.6666666666666666E-2</v>
      </c>
      <c r="S9" s="23">
        <f t="shared" ref="S9:S74" si="13">($E9-13)/30</f>
        <v>3.3333333333333333E-2</v>
      </c>
      <c r="T9" s="23">
        <f t="shared" ref="T9:T74" si="14">($E9-14)/30</f>
        <v>0</v>
      </c>
      <c r="U9" s="23">
        <f t="shared" ref="U9:U74" si="15">($E9-15)/30</f>
        <v>-3.3333333333333333E-2</v>
      </c>
      <c r="V9" s="23">
        <f t="shared" ref="V9:V74" si="16">($E9-16)/30</f>
        <v>-6.6666666666666666E-2</v>
      </c>
      <c r="W9" s="23">
        <f t="shared" ref="W9:W74" si="17">($E9-17)/30</f>
        <v>-0.1</v>
      </c>
      <c r="X9" s="23">
        <f t="shared" ref="X9:X74" si="18">($E9-18)/30</f>
        <v>-0.13333333333333333</v>
      </c>
      <c r="Y9" s="23">
        <f t="shared" ref="Y9:Y74" si="19">($E9-19)/30</f>
        <v>-0.16666666666666666</v>
      </c>
      <c r="Z9" s="23">
        <f t="shared" ref="Z9:Z74" si="20">($E9-20)/30</f>
        <v>-0.2</v>
      </c>
      <c r="AA9" s="23">
        <f t="shared" ref="AA9:AA74" si="21">($E9-21)/30</f>
        <v>-0.23333333333333334</v>
      </c>
      <c r="AB9" s="23">
        <f t="shared" ref="AB9:AB74" si="22">($E9-22)/30</f>
        <v>-0.26666666666666666</v>
      </c>
      <c r="AC9" s="23">
        <f t="shared" ref="AC9:AC74" si="23">($E9-23)/30</f>
        <v>-0.3</v>
      </c>
      <c r="AD9" s="23">
        <f t="shared" ref="AD9:AD74" si="24">($E9-24)/30</f>
        <v>-0.33333333333333331</v>
      </c>
      <c r="AE9" s="23">
        <f t="shared" ref="AE9:AE74" si="25">($E9-25)/30</f>
        <v>-0.36666666666666664</v>
      </c>
      <c r="AF9" s="23">
        <f t="shared" ref="AF9:AF74" si="26">($E9-26)/30</f>
        <v>-0.4</v>
      </c>
      <c r="AG9" s="23">
        <f t="shared" ref="AG9:AG74" si="27">($E9-27)/30</f>
        <v>-0.43333333333333335</v>
      </c>
      <c r="AH9" s="23">
        <f t="shared" ref="AH9:AH74" si="28">($E9-28)/30</f>
        <v>-0.46666666666666667</v>
      </c>
      <c r="AI9" s="23">
        <f t="shared" ref="AI9:AI74" si="29">($E9-29)/30</f>
        <v>-0.5</v>
      </c>
      <c r="AJ9" s="24" t="str">
        <f>FactorNumber(E9)</f>
        <v>1,2,7,14</v>
      </c>
      <c r="AK9" s="10"/>
      <c r="AL9" s="10"/>
      <c r="AM9" s="10"/>
      <c r="AN9" s="10"/>
      <c r="AO9" s="10"/>
      <c r="AP9" s="10"/>
      <c r="AQ9" s="10"/>
    </row>
    <row r="10" spans="1:43" x14ac:dyDescent="0.45">
      <c r="A10" s="11"/>
      <c r="B10" s="8"/>
      <c r="C10" s="8"/>
      <c r="D10" s="8">
        <v>3</v>
      </c>
      <c r="E10" s="9">
        <f t="shared" ref="E10:E74" si="30">D10*$E$6</f>
        <v>21</v>
      </c>
      <c r="F10" s="23">
        <f t="shared" si="2"/>
        <v>0.7</v>
      </c>
      <c r="G10" s="23">
        <f t="shared" si="3"/>
        <v>0.66666666666666663</v>
      </c>
      <c r="H10" s="23">
        <f t="shared" ref="H10:H36" si="31">(E10-2)/30</f>
        <v>0.6333333333333333</v>
      </c>
      <c r="I10" s="23">
        <f t="shared" si="4"/>
        <v>0.6</v>
      </c>
      <c r="J10" s="23">
        <f t="shared" si="5"/>
        <v>0.56666666666666665</v>
      </c>
      <c r="K10" s="23">
        <f t="shared" si="6"/>
        <v>0.53333333333333333</v>
      </c>
      <c r="L10" s="23">
        <f t="shared" si="1"/>
        <v>0.5</v>
      </c>
      <c r="M10" s="23">
        <f t="shared" si="7"/>
        <v>0.46666666666666667</v>
      </c>
      <c r="N10" s="23">
        <f t="shared" si="8"/>
        <v>0.43333333333333335</v>
      </c>
      <c r="O10" s="23">
        <f t="shared" si="9"/>
        <v>0.4</v>
      </c>
      <c r="P10" s="23">
        <f t="shared" si="10"/>
        <v>0.36666666666666664</v>
      </c>
      <c r="Q10" s="23">
        <f t="shared" si="11"/>
        <v>0.33333333333333331</v>
      </c>
      <c r="R10" s="23">
        <f t="shared" si="12"/>
        <v>0.3</v>
      </c>
      <c r="S10" s="23">
        <f t="shared" si="13"/>
        <v>0.26666666666666666</v>
      </c>
      <c r="T10" s="23">
        <f t="shared" si="14"/>
        <v>0.23333333333333334</v>
      </c>
      <c r="U10" s="23">
        <f t="shared" si="15"/>
        <v>0.2</v>
      </c>
      <c r="V10" s="23">
        <f t="shared" si="16"/>
        <v>0.16666666666666666</v>
      </c>
      <c r="W10" s="23">
        <f t="shared" si="17"/>
        <v>0.13333333333333333</v>
      </c>
      <c r="X10" s="23">
        <f t="shared" si="18"/>
        <v>0.1</v>
      </c>
      <c r="Y10" s="23">
        <f t="shared" si="19"/>
        <v>6.6666666666666666E-2</v>
      </c>
      <c r="Z10" s="23">
        <f t="shared" si="20"/>
        <v>3.3333333333333333E-2</v>
      </c>
      <c r="AA10" s="23">
        <f t="shared" si="21"/>
        <v>0</v>
      </c>
      <c r="AB10" s="23">
        <f t="shared" si="22"/>
        <v>-3.3333333333333333E-2</v>
      </c>
      <c r="AC10" s="23">
        <f t="shared" si="23"/>
        <v>-6.6666666666666666E-2</v>
      </c>
      <c r="AD10" s="23">
        <f t="shared" si="24"/>
        <v>-0.1</v>
      </c>
      <c r="AE10" s="23">
        <f t="shared" si="25"/>
        <v>-0.13333333333333333</v>
      </c>
      <c r="AF10" s="23">
        <f t="shared" si="26"/>
        <v>-0.16666666666666666</v>
      </c>
      <c r="AG10" s="23">
        <f t="shared" si="27"/>
        <v>-0.2</v>
      </c>
      <c r="AH10" s="23">
        <f t="shared" si="28"/>
        <v>-0.23333333333333334</v>
      </c>
      <c r="AI10" s="23">
        <f t="shared" si="29"/>
        <v>-0.26666666666666666</v>
      </c>
      <c r="AJ10" s="24" t="str">
        <f t="shared" ref="AJ10:AJ36" si="32">FactorNumber(E10)</f>
        <v>1,3,7,21</v>
      </c>
      <c r="AK10" s="10"/>
      <c r="AL10" s="10"/>
      <c r="AM10" s="10"/>
      <c r="AN10" s="10"/>
      <c r="AO10" s="10"/>
      <c r="AP10" s="10"/>
      <c r="AQ10" s="10"/>
    </row>
    <row r="11" spans="1:43" x14ac:dyDescent="0.45">
      <c r="A11" s="11"/>
      <c r="B11" s="8"/>
      <c r="C11" s="8"/>
      <c r="D11" s="8">
        <v>4</v>
      </c>
      <c r="E11" s="9">
        <f t="shared" si="30"/>
        <v>28</v>
      </c>
      <c r="F11" s="23">
        <f t="shared" si="2"/>
        <v>0.93333333333333335</v>
      </c>
      <c r="G11" s="23">
        <f t="shared" si="3"/>
        <v>0.9</v>
      </c>
      <c r="H11" s="23">
        <f t="shared" si="31"/>
        <v>0.8666666666666667</v>
      </c>
      <c r="I11" s="23">
        <f t="shared" si="4"/>
        <v>0.83333333333333337</v>
      </c>
      <c r="J11" s="23">
        <f t="shared" si="5"/>
        <v>0.8</v>
      </c>
      <c r="K11" s="23">
        <f t="shared" si="6"/>
        <v>0.76666666666666672</v>
      </c>
      <c r="L11" s="23">
        <f t="shared" si="1"/>
        <v>0.73333333333333328</v>
      </c>
      <c r="M11" s="23">
        <f t="shared" si="7"/>
        <v>0.7</v>
      </c>
      <c r="N11" s="23">
        <f t="shared" si="8"/>
        <v>0.66666666666666663</v>
      </c>
      <c r="O11" s="23">
        <f t="shared" si="9"/>
        <v>0.6333333333333333</v>
      </c>
      <c r="P11" s="23">
        <f t="shared" si="10"/>
        <v>0.6</v>
      </c>
      <c r="Q11" s="23">
        <f t="shared" si="11"/>
        <v>0.56666666666666665</v>
      </c>
      <c r="R11" s="23">
        <f t="shared" si="12"/>
        <v>0.53333333333333333</v>
      </c>
      <c r="S11" s="23">
        <f t="shared" si="13"/>
        <v>0.5</v>
      </c>
      <c r="T11" s="23">
        <f t="shared" si="14"/>
        <v>0.46666666666666667</v>
      </c>
      <c r="U11" s="23">
        <f t="shared" si="15"/>
        <v>0.43333333333333335</v>
      </c>
      <c r="V11" s="23">
        <f t="shared" si="16"/>
        <v>0.4</v>
      </c>
      <c r="W11" s="23">
        <f t="shared" si="17"/>
        <v>0.36666666666666664</v>
      </c>
      <c r="X11" s="23">
        <f t="shared" si="18"/>
        <v>0.33333333333333331</v>
      </c>
      <c r="Y11" s="23">
        <f t="shared" si="19"/>
        <v>0.3</v>
      </c>
      <c r="Z11" s="23">
        <f t="shared" si="20"/>
        <v>0.26666666666666666</v>
      </c>
      <c r="AA11" s="23">
        <f t="shared" si="21"/>
        <v>0.23333333333333334</v>
      </c>
      <c r="AB11" s="23">
        <f t="shared" si="22"/>
        <v>0.2</v>
      </c>
      <c r="AC11" s="23">
        <f t="shared" si="23"/>
        <v>0.16666666666666666</v>
      </c>
      <c r="AD11" s="23">
        <f t="shared" si="24"/>
        <v>0.13333333333333333</v>
      </c>
      <c r="AE11" s="23">
        <f t="shared" si="25"/>
        <v>0.1</v>
      </c>
      <c r="AF11" s="23">
        <f t="shared" si="26"/>
        <v>6.6666666666666666E-2</v>
      </c>
      <c r="AG11" s="23">
        <f t="shared" si="27"/>
        <v>3.3333333333333333E-2</v>
      </c>
      <c r="AH11" s="23">
        <f t="shared" si="28"/>
        <v>0</v>
      </c>
      <c r="AI11" s="23">
        <f t="shared" si="29"/>
        <v>-3.3333333333333333E-2</v>
      </c>
      <c r="AJ11" s="24" t="str">
        <f t="shared" si="32"/>
        <v>1,2,4,7,14,28</v>
      </c>
      <c r="AK11" s="10"/>
      <c r="AL11" s="10"/>
      <c r="AM11" s="10"/>
      <c r="AN11" s="10"/>
      <c r="AO11" s="10"/>
      <c r="AP11" s="10"/>
      <c r="AQ11" s="10"/>
    </row>
    <row r="12" spans="1:43" x14ac:dyDescent="0.45">
      <c r="A12" s="11"/>
      <c r="B12" s="8"/>
      <c r="C12" s="8"/>
      <c r="D12" s="8">
        <v>5</v>
      </c>
      <c r="E12" s="9">
        <f t="shared" si="30"/>
        <v>35</v>
      </c>
      <c r="F12" s="23">
        <f t="shared" si="2"/>
        <v>1.1666666666666667</v>
      </c>
      <c r="G12" s="23">
        <f t="shared" si="3"/>
        <v>1.1333333333333333</v>
      </c>
      <c r="H12" s="23">
        <f t="shared" si="31"/>
        <v>1.1000000000000001</v>
      </c>
      <c r="I12" s="23">
        <f t="shared" si="4"/>
        <v>1.0666666666666667</v>
      </c>
      <c r="J12" s="23">
        <f t="shared" si="5"/>
        <v>1.0333333333333334</v>
      </c>
      <c r="K12" s="23">
        <f t="shared" si="6"/>
        <v>1</v>
      </c>
      <c r="L12" s="23">
        <f t="shared" si="1"/>
        <v>0.96666666666666667</v>
      </c>
      <c r="M12" s="23">
        <f t="shared" si="7"/>
        <v>0.93333333333333335</v>
      </c>
      <c r="N12" s="23">
        <f t="shared" si="8"/>
        <v>0.9</v>
      </c>
      <c r="O12" s="23">
        <f t="shared" si="9"/>
        <v>0.8666666666666667</v>
      </c>
      <c r="P12" s="23">
        <f t="shared" si="10"/>
        <v>0.83333333333333337</v>
      </c>
      <c r="Q12" s="23">
        <f t="shared" si="11"/>
        <v>0.8</v>
      </c>
      <c r="R12" s="23">
        <f t="shared" si="12"/>
        <v>0.76666666666666672</v>
      </c>
      <c r="S12" s="23">
        <f t="shared" si="13"/>
        <v>0.73333333333333328</v>
      </c>
      <c r="T12" s="23">
        <f t="shared" si="14"/>
        <v>0.7</v>
      </c>
      <c r="U12" s="23">
        <f t="shared" si="15"/>
        <v>0.66666666666666663</v>
      </c>
      <c r="V12" s="23">
        <f t="shared" si="16"/>
        <v>0.6333333333333333</v>
      </c>
      <c r="W12" s="23">
        <f t="shared" si="17"/>
        <v>0.6</v>
      </c>
      <c r="X12" s="23">
        <f t="shared" si="18"/>
        <v>0.56666666666666665</v>
      </c>
      <c r="Y12" s="23">
        <f t="shared" si="19"/>
        <v>0.53333333333333333</v>
      </c>
      <c r="Z12" s="23">
        <f t="shared" si="20"/>
        <v>0.5</v>
      </c>
      <c r="AA12" s="23">
        <f t="shared" si="21"/>
        <v>0.46666666666666667</v>
      </c>
      <c r="AB12" s="23">
        <f t="shared" si="22"/>
        <v>0.43333333333333335</v>
      </c>
      <c r="AC12" s="23">
        <f t="shared" si="23"/>
        <v>0.4</v>
      </c>
      <c r="AD12" s="23">
        <f t="shared" si="24"/>
        <v>0.36666666666666664</v>
      </c>
      <c r="AE12" s="23">
        <f t="shared" si="25"/>
        <v>0.33333333333333331</v>
      </c>
      <c r="AF12" s="23">
        <f t="shared" si="26"/>
        <v>0.3</v>
      </c>
      <c r="AG12" s="23">
        <f t="shared" si="27"/>
        <v>0.26666666666666666</v>
      </c>
      <c r="AH12" s="23">
        <f t="shared" si="28"/>
        <v>0.23333333333333334</v>
      </c>
      <c r="AI12" s="23">
        <f t="shared" si="29"/>
        <v>0.2</v>
      </c>
      <c r="AJ12" s="24" t="str">
        <f t="shared" si="32"/>
        <v>1,5,7,35</v>
      </c>
      <c r="AK12" s="10"/>
      <c r="AL12" s="10"/>
      <c r="AM12" s="10"/>
      <c r="AN12" s="10"/>
      <c r="AO12" s="10"/>
      <c r="AP12" s="10"/>
      <c r="AQ12" s="10"/>
    </row>
    <row r="13" spans="1:43" x14ac:dyDescent="0.45">
      <c r="A13" s="11"/>
      <c r="B13" s="8"/>
      <c r="C13" s="8"/>
      <c r="D13" s="8">
        <v>6</v>
      </c>
      <c r="E13" s="9">
        <f t="shared" si="30"/>
        <v>42</v>
      </c>
      <c r="F13" s="23">
        <f t="shared" si="2"/>
        <v>1.4</v>
      </c>
      <c r="G13" s="23">
        <f t="shared" si="3"/>
        <v>1.3666666666666667</v>
      </c>
      <c r="H13" s="23">
        <f t="shared" si="31"/>
        <v>1.3333333333333333</v>
      </c>
      <c r="I13" s="23">
        <f t="shared" si="4"/>
        <v>1.3</v>
      </c>
      <c r="J13" s="23">
        <f t="shared" si="5"/>
        <v>1.2666666666666666</v>
      </c>
      <c r="K13" s="23">
        <f t="shared" si="6"/>
        <v>1.2333333333333334</v>
      </c>
      <c r="L13" s="23">
        <f t="shared" si="1"/>
        <v>1.2</v>
      </c>
      <c r="M13" s="23">
        <f t="shared" si="7"/>
        <v>1.1666666666666667</v>
      </c>
      <c r="N13" s="23">
        <f t="shared" si="8"/>
        <v>1.1333333333333333</v>
      </c>
      <c r="O13" s="23">
        <f t="shared" si="9"/>
        <v>1.1000000000000001</v>
      </c>
      <c r="P13" s="23">
        <f t="shared" si="10"/>
        <v>1.0666666666666667</v>
      </c>
      <c r="Q13" s="23">
        <f t="shared" si="11"/>
        <v>1.0333333333333334</v>
      </c>
      <c r="R13" s="23">
        <f t="shared" si="12"/>
        <v>1</v>
      </c>
      <c r="S13" s="23">
        <f t="shared" si="13"/>
        <v>0.96666666666666667</v>
      </c>
      <c r="T13" s="23">
        <f t="shared" si="14"/>
        <v>0.93333333333333335</v>
      </c>
      <c r="U13" s="23">
        <f t="shared" si="15"/>
        <v>0.9</v>
      </c>
      <c r="V13" s="23">
        <f t="shared" si="16"/>
        <v>0.8666666666666667</v>
      </c>
      <c r="W13" s="23">
        <f t="shared" si="17"/>
        <v>0.83333333333333337</v>
      </c>
      <c r="X13" s="23">
        <f t="shared" si="18"/>
        <v>0.8</v>
      </c>
      <c r="Y13" s="23">
        <f t="shared" si="19"/>
        <v>0.76666666666666672</v>
      </c>
      <c r="Z13" s="23">
        <f t="shared" si="20"/>
        <v>0.73333333333333328</v>
      </c>
      <c r="AA13" s="23">
        <f t="shared" si="21"/>
        <v>0.7</v>
      </c>
      <c r="AB13" s="23">
        <f t="shared" si="22"/>
        <v>0.66666666666666663</v>
      </c>
      <c r="AC13" s="23">
        <f t="shared" si="23"/>
        <v>0.6333333333333333</v>
      </c>
      <c r="AD13" s="23">
        <f t="shared" si="24"/>
        <v>0.6</v>
      </c>
      <c r="AE13" s="23">
        <f t="shared" si="25"/>
        <v>0.56666666666666665</v>
      </c>
      <c r="AF13" s="23">
        <f t="shared" si="26"/>
        <v>0.53333333333333333</v>
      </c>
      <c r="AG13" s="23">
        <f t="shared" si="27"/>
        <v>0.5</v>
      </c>
      <c r="AH13" s="23">
        <f t="shared" si="28"/>
        <v>0.46666666666666667</v>
      </c>
      <c r="AI13" s="23">
        <f t="shared" si="29"/>
        <v>0.43333333333333335</v>
      </c>
      <c r="AJ13" s="24" t="str">
        <f t="shared" si="32"/>
        <v>1,2,3,6,7,14,21,42</v>
      </c>
      <c r="AK13" s="10"/>
      <c r="AL13" s="10"/>
      <c r="AM13" s="10"/>
      <c r="AN13" s="10"/>
      <c r="AO13" s="10"/>
      <c r="AP13" s="10"/>
      <c r="AQ13" s="10"/>
    </row>
    <row r="14" spans="1:43" x14ac:dyDescent="0.45">
      <c r="A14" s="11"/>
      <c r="B14" s="8"/>
      <c r="C14" s="8"/>
      <c r="D14" s="8">
        <v>7</v>
      </c>
      <c r="E14" s="9">
        <f t="shared" si="30"/>
        <v>49</v>
      </c>
      <c r="F14" s="23">
        <f t="shared" si="2"/>
        <v>1.6333333333333333</v>
      </c>
      <c r="G14" s="23">
        <f t="shared" si="3"/>
        <v>1.6</v>
      </c>
      <c r="H14" s="23">
        <f t="shared" si="31"/>
        <v>1.5666666666666667</v>
      </c>
      <c r="I14" s="23">
        <f t="shared" si="4"/>
        <v>1.5333333333333334</v>
      </c>
      <c r="J14" s="23">
        <f t="shared" si="5"/>
        <v>1.5</v>
      </c>
      <c r="K14" s="23">
        <f t="shared" si="6"/>
        <v>1.4666666666666666</v>
      </c>
      <c r="L14" s="23">
        <f t="shared" si="1"/>
        <v>1.4333333333333333</v>
      </c>
      <c r="M14" s="23">
        <f t="shared" si="7"/>
        <v>1.4</v>
      </c>
      <c r="N14" s="23">
        <f t="shared" si="8"/>
        <v>1.3666666666666667</v>
      </c>
      <c r="O14" s="23">
        <f t="shared" si="9"/>
        <v>1.3333333333333333</v>
      </c>
      <c r="P14" s="23">
        <f t="shared" si="10"/>
        <v>1.3</v>
      </c>
      <c r="Q14" s="23">
        <f t="shared" si="11"/>
        <v>1.2666666666666666</v>
      </c>
      <c r="R14" s="23">
        <f t="shared" si="12"/>
        <v>1.2333333333333334</v>
      </c>
      <c r="S14" s="23">
        <f t="shared" si="13"/>
        <v>1.2</v>
      </c>
      <c r="T14" s="23">
        <f t="shared" si="14"/>
        <v>1.1666666666666667</v>
      </c>
      <c r="U14" s="23">
        <f t="shared" si="15"/>
        <v>1.1333333333333333</v>
      </c>
      <c r="V14" s="23">
        <f t="shared" si="16"/>
        <v>1.1000000000000001</v>
      </c>
      <c r="W14" s="23">
        <f t="shared" si="17"/>
        <v>1.0666666666666667</v>
      </c>
      <c r="X14" s="23">
        <f t="shared" si="18"/>
        <v>1.0333333333333334</v>
      </c>
      <c r="Y14" s="23">
        <f t="shared" si="19"/>
        <v>1</v>
      </c>
      <c r="Z14" s="23">
        <f t="shared" si="20"/>
        <v>0.96666666666666667</v>
      </c>
      <c r="AA14" s="23">
        <f t="shared" si="21"/>
        <v>0.93333333333333335</v>
      </c>
      <c r="AB14" s="23">
        <f t="shared" si="22"/>
        <v>0.9</v>
      </c>
      <c r="AC14" s="23">
        <f t="shared" si="23"/>
        <v>0.8666666666666667</v>
      </c>
      <c r="AD14" s="23">
        <f t="shared" si="24"/>
        <v>0.83333333333333337</v>
      </c>
      <c r="AE14" s="23">
        <f t="shared" si="25"/>
        <v>0.8</v>
      </c>
      <c r="AF14" s="23">
        <f t="shared" si="26"/>
        <v>0.76666666666666672</v>
      </c>
      <c r="AG14" s="23">
        <f t="shared" si="27"/>
        <v>0.73333333333333328</v>
      </c>
      <c r="AH14" s="23">
        <f t="shared" si="28"/>
        <v>0.7</v>
      </c>
      <c r="AI14" s="23">
        <f t="shared" si="29"/>
        <v>0.66666666666666663</v>
      </c>
      <c r="AJ14" s="24" t="str">
        <f t="shared" si="32"/>
        <v>1,7,49</v>
      </c>
      <c r="AK14" s="10"/>
      <c r="AL14" s="10"/>
      <c r="AM14" s="10"/>
      <c r="AN14" s="10"/>
      <c r="AO14" s="10"/>
      <c r="AP14" s="10"/>
      <c r="AQ14" s="10"/>
    </row>
    <row r="15" spans="1:43" x14ac:dyDescent="0.45">
      <c r="A15" s="11"/>
      <c r="B15" s="8"/>
      <c r="C15" s="8"/>
      <c r="D15" s="8">
        <v>8</v>
      </c>
      <c r="E15" s="9">
        <f t="shared" si="30"/>
        <v>56</v>
      </c>
      <c r="F15" s="23">
        <f t="shared" si="2"/>
        <v>1.8666666666666667</v>
      </c>
      <c r="G15" s="23">
        <f t="shared" si="3"/>
        <v>1.8333333333333333</v>
      </c>
      <c r="H15" s="23">
        <f t="shared" si="31"/>
        <v>1.8</v>
      </c>
      <c r="I15" s="23">
        <f t="shared" si="4"/>
        <v>1.7666666666666666</v>
      </c>
      <c r="J15" s="23">
        <f t="shared" si="5"/>
        <v>1.7333333333333334</v>
      </c>
      <c r="K15" s="23">
        <f t="shared" si="6"/>
        <v>1.7</v>
      </c>
      <c r="L15" s="23">
        <f t="shared" si="1"/>
        <v>1.6666666666666667</v>
      </c>
      <c r="M15" s="23">
        <f t="shared" si="7"/>
        <v>1.6333333333333333</v>
      </c>
      <c r="N15" s="23">
        <f t="shared" si="8"/>
        <v>1.6</v>
      </c>
      <c r="O15" s="23">
        <f t="shared" si="9"/>
        <v>1.5666666666666667</v>
      </c>
      <c r="P15" s="23">
        <f t="shared" si="10"/>
        <v>1.5333333333333334</v>
      </c>
      <c r="Q15" s="23">
        <f t="shared" si="11"/>
        <v>1.5</v>
      </c>
      <c r="R15" s="23">
        <f t="shared" si="12"/>
        <v>1.4666666666666666</v>
      </c>
      <c r="S15" s="23">
        <f t="shared" si="13"/>
        <v>1.4333333333333333</v>
      </c>
      <c r="T15" s="23">
        <f t="shared" si="14"/>
        <v>1.4</v>
      </c>
      <c r="U15" s="23">
        <f t="shared" si="15"/>
        <v>1.3666666666666667</v>
      </c>
      <c r="V15" s="23">
        <f t="shared" si="16"/>
        <v>1.3333333333333333</v>
      </c>
      <c r="W15" s="23">
        <f t="shared" si="17"/>
        <v>1.3</v>
      </c>
      <c r="X15" s="23">
        <f t="shared" si="18"/>
        <v>1.2666666666666666</v>
      </c>
      <c r="Y15" s="23">
        <f t="shared" si="19"/>
        <v>1.2333333333333334</v>
      </c>
      <c r="Z15" s="23">
        <f t="shared" si="20"/>
        <v>1.2</v>
      </c>
      <c r="AA15" s="23">
        <f t="shared" si="21"/>
        <v>1.1666666666666667</v>
      </c>
      <c r="AB15" s="23">
        <f t="shared" si="22"/>
        <v>1.1333333333333333</v>
      </c>
      <c r="AC15" s="23">
        <f t="shared" si="23"/>
        <v>1.1000000000000001</v>
      </c>
      <c r="AD15" s="23">
        <f t="shared" si="24"/>
        <v>1.0666666666666667</v>
      </c>
      <c r="AE15" s="23">
        <f t="shared" si="25"/>
        <v>1.0333333333333334</v>
      </c>
      <c r="AF15" s="23">
        <f t="shared" si="26"/>
        <v>1</v>
      </c>
      <c r="AG15" s="23">
        <f t="shared" si="27"/>
        <v>0.96666666666666667</v>
      </c>
      <c r="AH15" s="23">
        <f t="shared" si="28"/>
        <v>0.93333333333333335</v>
      </c>
      <c r="AI15" s="23">
        <f t="shared" si="29"/>
        <v>0.9</v>
      </c>
      <c r="AJ15" s="24" t="str">
        <f t="shared" si="32"/>
        <v>1,2,4,7,8,14,28,56</v>
      </c>
      <c r="AK15" s="10"/>
      <c r="AL15" s="10"/>
      <c r="AM15" s="10"/>
      <c r="AN15" s="10"/>
      <c r="AO15" s="10"/>
      <c r="AP15" s="10"/>
      <c r="AQ15" s="10"/>
    </row>
    <row r="16" spans="1:43" x14ac:dyDescent="0.45">
      <c r="A16" s="11"/>
      <c r="B16" s="8"/>
      <c r="C16" s="8"/>
      <c r="D16" s="8">
        <v>9</v>
      </c>
      <c r="E16" s="9">
        <f t="shared" si="30"/>
        <v>63</v>
      </c>
      <c r="F16" s="23">
        <f t="shared" si="2"/>
        <v>2.1</v>
      </c>
      <c r="G16" s="23">
        <f t="shared" si="3"/>
        <v>2.0666666666666669</v>
      </c>
      <c r="H16" s="23">
        <f t="shared" si="31"/>
        <v>2.0333333333333332</v>
      </c>
      <c r="I16" s="23">
        <f t="shared" si="4"/>
        <v>2</v>
      </c>
      <c r="J16" s="23">
        <f t="shared" si="5"/>
        <v>1.9666666666666666</v>
      </c>
      <c r="K16" s="23">
        <f t="shared" si="6"/>
        <v>1.9333333333333333</v>
      </c>
      <c r="L16" s="23">
        <f t="shared" si="1"/>
        <v>1.9</v>
      </c>
      <c r="M16" s="23">
        <f t="shared" si="7"/>
        <v>1.8666666666666667</v>
      </c>
      <c r="N16" s="23">
        <f t="shared" si="8"/>
        <v>1.8333333333333333</v>
      </c>
      <c r="O16" s="23">
        <f t="shared" si="9"/>
        <v>1.8</v>
      </c>
      <c r="P16" s="23">
        <f t="shared" si="10"/>
        <v>1.7666666666666666</v>
      </c>
      <c r="Q16" s="23">
        <f t="shared" si="11"/>
        <v>1.7333333333333334</v>
      </c>
      <c r="R16" s="23">
        <f t="shared" si="12"/>
        <v>1.7</v>
      </c>
      <c r="S16" s="23">
        <f t="shared" si="13"/>
        <v>1.6666666666666667</v>
      </c>
      <c r="T16" s="23">
        <f t="shared" si="14"/>
        <v>1.6333333333333333</v>
      </c>
      <c r="U16" s="23">
        <f t="shared" si="15"/>
        <v>1.6</v>
      </c>
      <c r="V16" s="23">
        <f t="shared" si="16"/>
        <v>1.5666666666666667</v>
      </c>
      <c r="W16" s="23">
        <f t="shared" si="17"/>
        <v>1.5333333333333334</v>
      </c>
      <c r="X16" s="23">
        <f t="shared" si="18"/>
        <v>1.5</v>
      </c>
      <c r="Y16" s="23">
        <f t="shared" si="19"/>
        <v>1.4666666666666666</v>
      </c>
      <c r="Z16" s="23">
        <f t="shared" si="20"/>
        <v>1.4333333333333333</v>
      </c>
      <c r="AA16" s="23">
        <f t="shared" si="21"/>
        <v>1.4</v>
      </c>
      <c r="AB16" s="23">
        <f t="shared" si="22"/>
        <v>1.3666666666666667</v>
      </c>
      <c r="AC16" s="23">
        <f t="shared" si="23"/>
        <v>1.3333333333333333</v>
      </c>
      <c r="AD16" s="23">
        <f t="shared" si="24"/>
        <v>1.3</v>
      </c>
      <c r="AE16" s="23">
        <f t="shared" si="25"/>
        <v>1.2666666666666666</v>
      </c>
      <c r="AF16" s="23">
        <f t="shared" si="26"/>
        <v>1.2333333333333334</v>
      </c>
      <c r="AG16" s="23">
        <f t="shared" si="27"/>
        <v>1.2</v>
      </c>
      <c r="AH16" s="23">
        <f t="shared" si="28"/>
        <v>1.1666666666666667</v>
      </c>
      <c r="AI16" s="23">
        <f t="shared" si="29"/>
        <v>1.1333333333333333</v>
      </c>
      <c r="AJ16" s="24" t="str">
        <f t="shared" si="32"/>
        <v>1,3,7,9,21,63</v>
      </c>
      <c r="AK16" s="10"/>
      <c r="AL16" s="10"/>
      <c r="AM16" s="10"/>
      <c r="AN16" s="10"/>
      <c r="AO16" s="10"/>
      <c r="AP16" s="10"/>
      <c r="AQ16" s="10"/>
    </row>
    <row r="17" spans="1:43" x14ac:dyDescent="0.45">
      <c r="A17" s="11"/>
      <c r="B17" s="8"/>
      <c r="C17" s="8"/>
      <c r="D17" s="8">
        <v>10</v>
      </c>
      <c r="E17" s="9">
        <f t="shared" si="30"/>
        <v>70</v>
      </c>
      <c r="F17" s="23">
        <f t="shared" si="2"/>
        <v>2.3333333333333335</v>
      </c>
      <c r="G17" s="23">
        <f t="shared" si="3"/>
        <v>2.2999999999999998</v>
      </c>
      <c r="H17" s="23">
        <f t="shared" si="31"/>
        <v>2.2666666666666666</v>
      </c>
      <c r="I17" s="23">
        <f t="shared" si="4"/>
        <v>2.2333333333333334</v>
      </c>
      <c r="J17" s="23">
        <f t="shared" si="5"/>
        <v>2.2000000000000002</v>
      </c>
      <c r="K17" s="23">
        <f t="shared" si="6"/>
        <v>2.1666666666666665</v>
      </c>
      <c r="L17" s="23">
        <f t="shared" si="1"/>
        <v>2.1333333333333333</v>
      </c>
      <c r="M17" s="23">
        <f t="shared" si="7"/>
        <v>2.1</v>
      </c>
      <c r="N17" s="23">
        <f t="shared" si="8"/>
        <v>2.0666666666666669</v>
      </c>
      <c r="O17" s="23">
        <f t="shared" si="9"/>
        <v>2.0333333333333332</v>
      </c>
      <c r="P17" s="23">
        <f t="shared" si="10"/>
        <v>2</v>
      </c>
      <c r="Q17" s="23">
        <f t="shared" si="11"/>
        <v>1.9666666666666666</v>
      </c>
      <c r="R17" s="23">
        <f t="shared" si="12"/>
        <v>1.9333333333333333</v>
      </c>
      <c r="S17" s="23">
        <f t="shared" si="13"/>
        <v>1.9</v>
      </c>
      <c r="T17" s="23">
        <f t="shared" si="14"/>
        <v>1.8666666666666667</v>
      </c>
      <c r="U17" s="23">
        <f t="shared" si="15"/>
        <v>1.8333333333333333</v>
      </c>
      <c r="V17" s="23">
        <f t="shared" si="16"/>
        <v>1.8</v>
      </c>
      <c r="W17" s="23">
        <f t="shared" si="17"/>
        <v>1.7666666666666666</v>
      </c>
      <c r="X17" s="23">
        <f t="shared" si="18"/>
        <v>1.7333333333333334</v>
      </c>
      <c r="Y17" s="23">
        <f t="shared" si="19"/>
        <v>1.7</v>
      </c>
      <c r="Z17" s="23">
        <f t="shared" si="20"/>
        <v>1.6666666666666667</v>
      </c>
      <c r="AA17" s="23">
        <f t="shared" si="21"/>
        <v>1.6333333333333333</v>
      </c>
      <c r="AB17" s="23">
        <f t="shared" si="22"/>
        <v>1.6</v>
      </c>
      <c r="AC17" s="23">
        <f t="shared" si="23"/>
        <v>1.5666666666666667</v>
      </c>
      <c r="AD17" s="23">
        <f t="shared" si="24"/>
        <v>1.5333333333333334</v>
      </c>
      <c r="AE17" s="23">
        <f t="shared" si="25"/>
        <v>1.5</v>
      </c>
      <c r="AF17" s="23">
        <f t="shared" si="26"/>
        <v>1.4666666666666666</v>
      </c>
      <c r="AG17" s="23">
        <f t="shared" si="27"/>
        <v>1.4333333333333333</v>
      </c>
      <c r="AH17" s="23">
        <f t="shared" si="28"/>
        <v>1.4</v>
      </c>
      <c r="AI17" s="23">
        <f t="shared" si="29"/>
        <v>1.3666666666666667</v>
      </c>
      <c r="AJ17" s="24" t="str">
        <f t="shared" si="32"/>
        <v>1,2,5,7,10,14,35,70</v>
      </c>
      <c r="AK17" s="10"/>
      <c r="AL17" s="10"/>
      <c r="AM17" s="10"/>
      <c r="AN17" s="10"/>
      <c r="AO17" s="10"/>
      <c r="AP17" s="10"/>
      <c r="AQ17" s="10"/>
    </row>
    <row r="18" spans="1:43" x14ac:dyDescent="0.45">
      <c r="A18" s="11"/>
      <c r="B18" s="8"/>
      <c r="C18" s="8"/>
      <c r="D18" s="8">
        <v>11</v>
      </c>
      <c r="E18" s="9">
        <f t="shared" si="30"/>
        <v>77</v>
      </c>
      <c r="F18" s="23">
        <f t="shared" si="2"/>
        <v>2.5666666666666669</v>
      </c>
      <c r="G18" s="23">
        <f t="shared" si="3"/>
        <v>2.5333333333333332</v>
      </c>
      <c r="H18" s="23">
        <f t="shared" si="31"/>
        <v>2.5</v>
      </c>
      <c r="I18" s="23">
        <f t="shared" si="4"/>
        <v>2.4666666666666668</v>
      </c>
      <c r="J18" s="23">
        <f t="shared" si="5"/>
        <v>2.4333333333333331</v>
      </c>
      <c r="K18" s="23">
        <f t="shared" si="6"/>
        <v>2.4</v>
      </c>
      <c r="L18" s="23">
        <f t="shared" si="1"/>
        <v>2.3666666666666667</v>
      </c>
      <c r="M18" s="23">
        <f t="shared" si="7"/>
        <v>2.3333333333333335</v>
      </c>
      <c r="N18" s="23">
        <f t="shared" si="8"/>
        <v>2.2999999999999998</v>
      </c>
      <c r="O18" s="23">
        <f t="shared" si="9"/>
        <v>2.2666666666666666</v>
      </c>
      <c r="P18" s="23">
        <f t="shared" si="10"/>
        <v>2.2333333333333334</v>
      </c>
      <c r="Q18" s="23">
        <f t="shared" si="11"/>
        <v>2.2000000000000002</v>
      </c>
      <c r="R18" s="23">
        <f t="shared" si="12"/>
        <v>2.1666666666666665</v>
      </c>
      <c r="S18" s="23">
        <f t="shared" si="13"/>
        <v>2.1333333333333333</v>
      </c>
      <c r="T18" s="23">
        <f t="shared" si="14"/>
        <v>2.1</v>
      </c>
      <c r="U18" s="23">
        <f t="shared" si="15"/>
        <v>2.0666666666666669</v>
      </c>
      <c r="V18" s="23">
        <f t="shared" si="16"/>
        <v>2.0333333333333332</v>
      </c>
      <c r="W18" s="23">
        <f t="shared" si="17"/>
        <v>2</v>
      </c>
      <c r="X18" s="23">
        <f t="shared" si="18"/>
        <v>1.9666666666666666</v>
      </c>
      <c r="Y18" s="23">
        <f t="shared" si="19"/>
        <v>1.9333333333333333</v>
      </c>
      <c r="Z18" s="23">
        <f t="shared" si="20"/>
        <v>1.9</v>
      </c>
      <c r="AA18" s="23">
        <f t="shared" si="21"/>
        <v>1.8666666666666667</v>
      </c>
      <c r="AB18" s="23">
        <f t="shared" si="22"/>
        <v>1.8333333333333333</v>
      </c>
      <c r="AC18" s="23">
        <f t="shared" si="23"/>
        <v>1.8</v>
      </c>
      <c r="AD18" s="23">
        <f t="shared" si="24"/>
        <v>1.7666666666666666</v>
      </c>
      <c r="AE18" s="23">
        <f t="shared" si="25"/>
        <v>1.7333333333333334</v>
      </c>
      <c r="AF18" s="23">
        <f t="shared" si="26"/>
        <v>1.7</v>
      </c>
      <c r="AG18" s="23">
        <f t="shared" si="27"/>
        <v>1.6666666666666667</v>
      </c>
      <c r="AH18" s="23">
        <f t="shared" si="28"/>
        <v>1.6333333333333333</v>
      </c>
      <c r="AI18" s="23">
        <f t="shared" si="29"/>
        <v>1.6</v>
      </c>
      <c r="AJ18" s="24" t="str">
        <f t="shared" si="32"/>
        <v>1,7,11,77</v>
      </c>
      <c r="AK18" s="10"/>
      <c r="AL18" s="10"/>
      <c r="AM18" s="10"/>
      <c r="AN18" s="10"/>
      <c r="AO18" s="10"/>
      <c r="AP18" s="10"/>
      <c r="AQ18" s="10"/>
    </row>
    <row r="19" spans="1:43" x14ac:dyDescent="0.45">
      <c r="A19" s="11"/>
      <c r="B19" s="8"/>
      <c r="C19" s="8"/>
      <c r="D19" s="8">
        <v>12</v>
      </c>
      <c r="E19" s="9">
        <f t="shared" si="30"/>
        <v>84</v>
      </c>
      <c r="F19" s="23">
        <f t="shared" si="2"/>
        <v>2.8</v>
      </c>
      <c r="G19" s="23">
        <f t="shared" si="3"/>
        <v>2.7666666666666666</v>
      </c>
      <c r="H19" s="23">
        <f t="shared" si="31"/>
        <v>2.7333333333333334</v>
      </c>
      <c r="I19" s="23">
        <f t="shared" si="4"/>
        <v>2.7</v>
      </c>
      <c r="J19" s="23">
        <f t="shared" si="5"/>
        <v>2.6666666666666665</v>
      </c>
      <c r="K19" s="23">
        <f t="shared" si="6"/>
        <v>2.6333333333333333</v>
      </c>
      <c r="L19" s="23">
        <f t="shared" si="1"/>
        <v>2.6</v>
      </c>
      <c r="M19" s="23">
        <f t="shared" si="7"/>
        <v>2.5666666666666669</v>
      </c>
      <c r="N19" s="23">
        <f t="shared" si="8"/>
        <v>2.5333333333333332</v>
      </c>
      <c r="O19" s="23">
        <f t="shared" si="9"/>
        <v>2.5</v>
      </c>
      <c r="P19" s="23">
        <f t="shared" si="10"/>
        <v>2.4666666666666668</v>
      </c>
      <c r="Q19" s="23">
        <f t="shared" si="11"/>
        <v>2.4333333333333331</v>
      </c>
      <c r="R19" s="23">
        <f t="shared" si="12"/>
        <v>2.4</v>
      </c>
      <c r="S19" s="23">
        <f t="shared" si="13"/>
        <v>2.3666666666666667</v>
      </c>
      <c r="T19" s="23">
        <f t="shared" si="14"/>
        <v>2.3333333333333335</v>
      </c>
      <c r="U19" s="23">
        <f t="shared" si="15"/>
        <v>2.2999999999999998</v>
      </c>
      <c r="V19" s="23">
        <f t="shared" si="16"/>
        <v>2.2666666666666666</v>
      </c>
      <c r="W19" s="23">
        <f t="shared" si="17"/>
        <v>2.2333333333333334</v>
      </c>
      <c r="X19" s="23">
        <f t="shared" si="18"/>
        <v>2.2000000000000002</v>
      </c>
      <c r="Y19" s="23">
        <f t="shared" si="19"/>
        <v>2.1666666666666665</v>
      </c>
      <c r="Z19" s="23">
        <f t="shared" si="20"/>
        <v>2.1333333333333333</v>
      </c>
      <c r="AA19" s="23">
        <f t="shared" si="21"/>
        <v>2.1</v>
      </c>
      <c r="AB19" s="23">
        <f t="shared" si="22"/>
        <v>2.0666666666666669</v>
      </c>
      <c r="AC19" s="23">
        <f t="shared" si="23"/>
        <v>2.0333333333333332</v>
      </c>
      <c r="AD19" s="23">
        <f t="shared" si="24"/>
        <v>2</v>
      </c>
      <c r="AE19" s="23">
        <f t="shared" si="25"/>
        <v>1.9666666666666666</v>
      </c>
      <c r="AF19" s="23">
        <f t="shared" si="26"/>
        <v>1.9333333333333333</v>
      </c>
      <c r="AG19" s="23">
        <f t="shared" si="27"/>
        <v>1.9</v>
      </c>
      <c r="AH19" s="23">
        <f t="shared" si="28"/>
        <v>1.8666666666666667</v>
      </c>
      <c r="AI19" s="23">
        <f t="shared" si="29"/>
        <v>1.8333333333333333</v>
      </c>
      <c r="AJ19" s="24" t="str">
        <f t="shared" si="32"/>
        <v>1,2,3,4,6,7,12,14,21,28,42,84</v>
      </c>
      <c r="AK19" s="10"/>
      <c r="AL19" s="10"/>
      <c r="AM19" s="10"/>
      <c r="AN19" s="10"/>
      <c r="AO19" s="10"/>
      <c r="AP19" s="10"/>
      <c r="AQ19" s="10"/>
    </row>
    <row r="20" spans="1:43" x14ac:dyDescent="0.45">
      <c r="A20" s="11"/>
      <c r="B20" s="8"/>
      <c r="C20" s="8"/>
      <c r="D20" s="8">
        <v>13</v>
      </c>
      <c r="E20" s="9">
        <f t="shared" si="30"/>
        <v>91</v>
      </c>
      <c r="F20" s="23">
        <f t="shared" si="2"/>
        <v>3.0333333333333332</v>
      </c>
      <c r="G20" s="23">
        <f t="shared" si="3"/>
        <v>3</v>
      </c>
      <c r="H20" s="23">
        <f t="shared" si="31"/>
        <v>2.9666666666666668</v>
      </c>
      <c r="I20" s="23">
        <f t="shared" si="4"/>
        <v>2.9333333333333331</v>
      </c>
      <c r="J20" s="23">
        <f t="shared" si="5"/>
        <v>2.9</v>
      </c>
      <c r="K20" s="23">
        <f t="shared" si="6"/>
        <v>2.8666666666666667</v>
      </c>
      <c r="L20" s="23">
        <f t="shared" si="1"/>
        <v>2.8333333333333335</v>
      </c>
      <c r="M20" s="23">
        <f t="shared" si="7"/>
        <v>2.8</v>
      </c>
      <c r="N20" s="23">
        <f t="shared" si="8"/>
        <v>2.7666666666666666</v>
      </c>
      <c r="O20" s="23">
        <f t="shared" si="9"/>
        <v>2.7333333333333334</v>
      </c>
      <c r="P20" s="23">
        <f t="shared" si="10"/>
        <v>2.7</v>
      </c>
      <c r="Q20" s="23">
        <f t="shared" si="11"/>
        <v>2.6666666666666665</v>
      </c>
      <c r="R20" s="23">
        <f t="shared" si="12"/>
        <v>2.6333333333333333</v>
      </c>
      <c r="S20" s="23">
        <f t="shared" si="13"/>
        <v>2.6</v>
      </c>
      <c r="T20" s="23">
        <f t="shared" si="14"/>
        <v>2.5666666666666669</v>
      </c>
      <c r="U20" s="23">
        <f t="shared" si="15"/>
        <v>2.5333333333333332</v>
      </c>
      <c r="V20" s="23">
        <f t="shared" si="16"/>
        <v>2.5</v>
      </c>
      <c r="W20" s="23">
        <f t="shared" si="17"/>
        <v>2.4666666666666668</v>
      </c>
      <c r="X20" s="23">
        <f t="shared" si="18"/>
        <v>2.4333333333333331</v>
      </c>
      <c r="Y20" s="23">
        <f t="shared" si="19"/>
        <v>2.4</v>
      </c>
      <c r="Z20" s="23">
        <f t="shared" si="20"/>
        <v>2.3666666666666667</v>
      </c>
      <c r="AA20" s="23">
        <f t="shared" si="21"/>
        <v>2.3333333333333335</v>
      </c>
      <c r="AB20" s="23">
        <f t="shared" si="22"/>
        <v>2.2999999999999998</v>
      </c>
      <c r="AC20" s="23">
        <f t="shared" si="23"/>
        <v>2.2666666666666666</v>
      </c>
      <c r="AD20" s="23">
        <f t="shared" si="24"/>
        <v>2.2333333333333334</v>
      </c>
      <c r="AE20" s="23">
        <f t="shared" si="25"/>
        <v>2.2000000000000002</v>
      </c>
      <c r="AF20" s="23">
        <f t="shared" si="26"/>
        <v>2.1666666666666665</v>
      </c>
      <c r="AG20" s="23">
        <f t="shared" si="27"/>
        <v>2.1333333333333333</v>
      </c>
      <c r="AH20" s="23">
        <f t="shared" si="28"/>
        <v>2.1</v>
      </c>
      <c r="AI20" s="23">
        <f t="shared" si="29"/>
        <v>2.0666666666666669</v>
      </c>
      <c r="AJ20" s="24" t="str">
        <f t="shared" si="32"/>
        <v>1,7,13,91</v>
      </c>
      <c r="AK20" s="10"/>
      <c r="AL20" s="10"/>
      <c r="AM20" s="10"/>
      <c r="AN20" s="10"/>
      <c r="AO20" s="10"/>
      <c r="AP20" s="10"/>
      <c r="AQ20" s="10"/>
    </row>
    <row r="21" spans="1:43" x14ac:dyDescent="0.45">
      <c r="A21" s="11"/>
      <c r="B21" s="8"/>
      <c r="C21" s="8"/>
      <c r="D21" s="8">
        <v>14</v>
      </c>
      <c r="E21" s="9">
        <f t="shared" si="30"/>
        <v>98</v>
      </c>
      <c r="F21" s="23">
        <f t="shared" si="2"/>
        <v>3.2666666666666666</v>
      </c>
      <c r="G21" s="23">
        <f t="shared" si="3"/>
        <v>3.2333333333333334</v>
      </c>
      <c r="H21" s="23">
        <f t="shared" si="31"/>
        <v>3.2</v>
      </c>
      <c r="I21" s="23">
        <f t="shared" si="4"/>
        <v>3.1666666666666665</v>
      </c>
      <c r="J21" s="23">
        <f t="shared" si="5"/>
        <v>3.1333333333333333</v>
      </c>
      <c r="K21" s="23">
        <f t="shared" si="6"/>
        <v>3.1</v>
      </c>
      <c r="L21" s="23">
        <f t="shared" si="1"/>
        <v>3.0666666666666669</v>
      </c>
      <c r="M21" s="23">
        <f t="shared" si="7"/>
        <v>3.0333333333333332</v>
      </c>
      <c r="N21" s="23">
        <f t="shared" si="8"/>
        <v>3</v>
      </c>
      <c r="O21" s="23">
        <f t="shared" si="9"/>
        <v>2.9666666666666668</v>
      </c>
      <c r="P21" s="23">
        <f t="shared" si="10"/>
        <v>2.9333333333333331</v>
      </c>
      <c r="Q21" s="23">
        <f t="shared" si="11"/>
        <v>2.9</v>
      </c>
      <c r="R21" s="23">
        <f t="shared" si="12"/>
        <v>2.8666666666666667</v>
      </c>
      <c r="S21" s="23">
        <f t="shared" si="13"/>
        <v>2.8333333333333335</v>
      </c>
      <c r="T21" s="23">
        <f t="shared" si="14"/>
        <v>2.8</v>
      </c>
      <c r="U21" s="23">
        <f t="shared" si="15"/>
        <v>2.7666666666666666</v>
      </c>
      <c r="V21" s="23">
        <f t="shared" si="16"/>
        <v>2.7333333333333334</v>
      </c>
      <c r="W21" s="23">
        <f t="shared" si="17"/>
        <v>2.7</v>
      </c>
      <c r="X21" s="23">
        <f t="shared" si="18"/>
        <v>2.6666666666666665</v>
      </c>
      <c r="Y21" s="23">
        <f t="shared" si="19"/>
        <v>2.6333333333333333</v>
      </c>
      <c r="Z21" s="23">
        <f t="shared" si="20"/>
        <v>2.6</v>
      </c>
      <c r="AA21" s="23">
        <f t="shared" si="21"/>
        <v>2.5666666666666669</v>
      </c>
      <c r="AB21" s="23">
        <f t="shared" si="22"/>
        <v>2.5333333333333332</v>
      </c>
      <c r="AC21" s="23">
        <f t="shared" si="23"/>
        <v>2.5</v>
      </c>
      <c r="AD21" s="23">
        <f t="shared" si="24"/>
        <v>2.4666666666666668</v>
      </c>
      <c r="AE21" s="23">
        <f t="shared" si="25"/>
        <v>2.4333333333333331</v>
      </c>
      <c r="AF21" s="23">
        <f t="shared" si="26"/>
        <v>2.4</v>
      </c>
      <c r="AG21" s="23">
        <f t="shared" si="27"/>
        <v>2.3666666666666667</v>
      </c>
      <c r="AH21" s="23">
        <f t="shared" si="28"/>
        <v>2.3333333333333335</v>
      </c>
      <c r="AI21" s="23">
        <f t="shared" si="29"/>
        <v>2.2999999999999998</v>
      </c>
      <c r="AJ21" s="24" t="str">
        <f t="shared" si="32"/>
        <v>1,2,7,14,49,98</v>
      </c>
      <c r="AK21" s="10"/>
      <c r="AL21" s="10"/>
      <c r="AM21" s="10"/>
      <c r="AN21" s="10"/>
      <c r="AO21" s="10"/>
      <c r="AP21" s="10"/>
      <c r="AQ21" s="10"/>
    </row>
    <row r="22" spans="1:43" x14ac:dyDescent="0.45">
      <c r="A22" s="11"/>
      <c r="B22" s="8"/>
      <c r="C22" s="8"/>
      <c r="D22" s="8">
        <v>15</v>
      </c>
      <c r="E22" s="9">
        <f>D22*$E$6</f>
        <v>105</v>
      </c>
      <c r="F22" s="23">
        <f t="shared" si="2"/>
        <v>3.5</v>
      </c>
      <c r="G22" s="23">
        <f t="shared" si="3"/>
        <v>3.4666666666666668</v>
      </c>
      <c r="H22" s="23">
        <f>(E22-2)/30</f>
        <v>3.4333333333333331</v>
      </c>
      <c r="I22" s="23">
        <f>(E22-3)/30</f>
        <v>3.4</v>
      </c>
      <c r="J22" s="23">
        <f>(E22-4)/30</f>
        <v>3.3666666666666667</v>
      </c>
      <c r="K22" s="23">
        <f>(E22-5)/30</f>
        <v>3.3333333333333335</v>
      </c>
      <c r="L22" s="23">
        <f>($E22-6)/30</f>
        <v>3.3</v>
      </c>
      <c r="M22" s="23">
        <f>($E22-7)/30</f>
        <v>3.2666666666666666</v>
      </c>
      <c r="N22" s="23">
        <f>($E22-8)/30</f>
        <v>3.2333333333333334</v>
      </c>
      <c r="O22" s="23">
        <f>($E22-9)/30</f>
        <v>3.2</v>
      </c>
      <c r="P22" s="23">
        <f>($E22-10)/30</f>
        <v>3.1666666666666665</v>
      </c>
      <c r="Q22" s="23">
        <f>($E22-11)/30</f>
        <v>3.1333333333333333</v>
      </c>
      <c r="R22" s="23">
        <f>($E22-12)/30</f>
        <v>3.1</v>
      </c>
      <c r="S22" s="23">
        <f>($E22-13)/30</f>
        <v>3.0666666666666669</v>
      </c>
      <c r="T22" s="23">
        <f>($E22-14)/30</f>
        <v>3.0333333333333332</v>
      </c>
      <c r="U22" s="23">
        <f>($E22-15)/30</f>
        <v>3</v>
      </c>
      <c r="V22" s="23">
        <f>($E22-16)/30</f>
        <v>2.9666666666666668</v>
      </c>
      <c r="W22" s="23">
        <f>($E22-17)/30</f>
        <v>2.9333333333333331</v>
      </c>
      <c r="X22" s="23">
        <f>($E22-18)/30</f>
        <v>2.9</v>
      </c>
      <c r="Y22" s="23">
        <f>($E22-19)/30</f>
        <v>2.8666666666666667</v>
      </c>
      <c r="Z22" s="23">
        <f>($E22-20)/30</f>
        <v>2.8333333333333335</v>
      </c>
      <c r="AA22" s="23">
        <f>($E22-21)/30</f>
        <v>2.8</v>
      </c>
      <c r="AB22" s="23">
        <f>($E22-22)/30</f>
        <v>2.7666666666666666</v>
      </c>
      <c r="AC22" s="23">
        <f>($E22-23)/30</f>
        <v>2.7333333333333334</v>
      </c>
      <c r="AD22" s="23">
        <f>($E22-24)/30</f>
        <v>2.7</v>
      </c>
      <c r="AE22" s="23">
        <f>($E22-25)/30</f>
        <v>2.6666666666666665</v>
      </c>
      <c r="AF22" s="23">
        <f>($E22-26)/30</f>
        <v>2.6333333333333333</v>
      </c>
      <c r="AG22" s="23">
        <f>($E22-27)/30</f>
        <v>2.6</v>
      </c>
      <c r="AH22" s="23">
        <f>($E22-28)/30</f>
        <v>2.5666666666666669</v>
      </c>
      <c r="AI22" s="23">
        <f>($E22-29)/30</f>
        <v>2.5333333333333332</v>
      </c>
      <c r="AJ22" s="24" t="str">
        <f>FactorNumber(E22)</f>
        <v>1,3,5,7,15,21,35,105</v>
      </c>
      <c r="AK22" s="10"/>
      <c r="AL22" s="10"/>
      <c r="AM22" s="10"/>
      <c r="AN22" s="10"/>
      <c r="AO22" s="10"/>
      <c r="AP22" s="10"/>
      <c r="AQ22" s="10"/>
    </row>
    <row r="23" spans="1:43" x14ac:dyDescent="0.45">
      <c r="A23" s="11"/>
      <c r="B23" s="8"/>
      <c r="C23" s="8"/>
      <c r="D23" s="8">
        <v>16</v>
      </c>
      <c r="E23" s="9">
        <f t="shared" si="30"/>
        <v>112</v>
      </c>
      <c r="F23" s="23">
        <f t="shared" si="2"/>
        <v>3.7333333333333334</v>
      </c>
      <c r="G23" s="23">
        <f t="shared" si="3"/>
        <v>3.7</v>
      </c>
      <c r="H23" s="23">
        <f t="shared" si="31"/>
        <v>3.6666666666666665</v>
      </c>
      <c r="I23" s="23">
        <f t="shared" si="4"/>
        <v>3.6333333333333333</v>
      </c>
      <c r="J23" s="23">
        <f t="shared" si="5"/>
        <v>3.6</v>
      </c>
      <c r="K23" s="23">
        <f t="shared" si="6"/>
        <v>3.5666666666666669</v>
      </c>
      <c r="L23" s="23">
        <f t="shared" si="1"/>
        <v>3.5333333333333332</v>
      </c>
      <c r="M23" s="23">
        <f t="shared" si="7"/>
        <v>3.5</v>
      </c>
      <c r="N23" s="23">
        <f t="shared" si="8"/>
        <v>3.4666666666666668</v>
      </c>
      <c r="O23" s="23">
        <f t="shared" si="9"/>
        <v>3.4333333333333331</v>
      </c>
      <c r="P23" s="23">
        <f t="shared" si="10"/>
        <v>3.4</v>
      </c>
      <c r="Q23" s="23">
        <f t="shared" si="11"/>
        <v>3.3666666666666667</v>
      </c>
      <c r="R23" s="23">
        <f t="shared" si="12"/>
        <v>3.3333333333333335</v>
      </c>
      <c r="S23" s="23">
        <f t="shared" si="13"/>
        <v>3.3</v>
      </c>
      <c r="T23" s="23">
        <f t="shared" si="14"/>
        <v>3.2666666666666666</v>
      </c>
      <c r="U23" s="23">
        <f t="shared" si="15"/>
        <v>3.2333333333333334</v>
      </c>
      <c r="V23" s="23">
        <f t="shared" si="16"/>
        <v>3.2</v>
      </c>
      <c r="W23" s="23">
        <f t="shared" si="17"/>
        <v>3.1666666666666665</v>
      </c>
      <c r="X23" s="23">
        <f t="shared" si="18"/>
        <v>3.1333333333333333</v>
      </c>
      <c r="Y23" s="23">
        <f t="shared" si="19"/>
        <v>3.1</v>
      </c>
      <c r="Z23" s="23">
        <f t="shared" si="20"/>
        <v>3.0666666666666669</v>
      </c>
      <c r="AA23" s="23">
        <f t="shared" si="21"/>
        <v>3.0333333333333332</v>
      </c>
      <c r="AB23" s="23">
        <f t="shared" si="22"/>
        <v>3</v>
      </c>
      <c r="AC23" s="23">
        <f t="shared" si="23"/>
        <v>2.9666666666666668</v>
      </c>
      <c r="AD23" s="23">
        <f t="shared" si="24"/>
        <v>2.9333333333333331</v>
      </c>
      <c r="AE23" s="23">
        <f t="shared" si="25"/>
        <v>2.9</v>
      </c>
      <c r="AF23" s="23">
        <f t="shared" si="26"/>
        <v>2.8666666666666667</v>
      </c>
      <c r="AG23" s="23">
        <f t="shared" si="27"/>
        <v>2.8333333333333335</v>
      </c>
      <c r="AH23" s="23">
        <f t="shared" si="28"/>
        <v>2.8</v>
      </c>
      <c r="AI23" s="23">
        <f t="shared" si="29"/>
        <v>2.7666666666666666</v>
      </c>
      <c r="AJ23" s="24" t="str">
        <f t="shared" si="32"/>
        <v>1,2,4,7,8,14,16,28,56,112</v>
      </c>
      <c r="AK23" s="10"/>
      <c r="AL23" s="10"/>
      <c r="AM23" s="10"/>
      <c r="AN23" s="10"/>
      <c r="AO23" s="10"/>
      <c r="AP23" s="10"/>
      <c r="AQ23" s="10"/>
    </row>
    <row r="24" spans="1:43" x14ac:dyDescent="0.45">
      <c r="A24" s="11"/>
      <c r="B24" s="8"/>
      <c r="C24" s="8"/>
      <c r="D24" s="8">
        <v>17</v>
      </c>
      <c r="E24" s="9">
        <f t="shared" si="30"/>
        <v>119</v>
      </c>
      <c r="F24" s="23">
        <f t="shared" si="2"/>
        <v>3.9666666666666668</v>
      </c>
      <c r="G24" s="23">
        <f t="shared" si="3"/>
        <v>3.9333333333333331</v>
      </c>
      <c r="H24" s="23">
        <f t="shared" si="31"/>
        <v>3.9</v>
      </c>
      <c r="I24" s="23">
        <f t="shared" si="4"/>
        <v>3.8666666666666667</v>
      </c>
      <c r="J24" s="23">
        <f t="shared" si="5"/>
        <v>3.8333333333333335</v>
      </c>
      <c r="K24" s="23">
        <f t="shared" si="6"/>
        <v>3.8</v>
      </c>
      <c r="L24" s="23">
        <f t="shared" si="1"/>
        <v>3.7666666666666666</v>
      </c>
      <c r="M24" s="23">
        <f t="shared" si="7"/>
        <v>3.7333333333333334</v>
      </c>
      <c r="N24" s="23">
        <f t="shared" si="8"/>
        <v>3.7</v>
      </c>
      <c r="O24" s="23">
        <f t="shared" si="9"/>
        <v>3.6666666666666665</v>
      </c>
      <c r="P24" s="23">
        <f t="shared" si="10"/>
        <v>3.6333333333333333</v>
      </c>
      <c r="Q24" s="23">
        <f t="shared" si="11"/>
        <v>3.6</v>
      </c>
      <c r="R24" s="23">
        <f t="shared" si="12"/>
        <v>3.5666666666666669</v>
      </c>
      <c r="S24" s="23">
        <f t="shared" si="13"/>
        <v>3.5333333333333332</v>
      </c>
      <c r="T24" s="23">
        <f t="shared" si="14"/>
        <v>3.5</v>
      </c>
      <c r="U24" s="23">
        <f t="shared" si="15"/>
        <v>3.4666666666666668</v>
      </c>
      <c r="V24" s="23">
        <f t="shared" si="16"/>
        <v>3.4333333333333331</v>
      </c>
      <c r="W24" s="23">
        <f t="shared" si="17"/>
        <v>3.4</v>
      </c>
      <c r="X24" s="23">
        <f t="shared" si="18"/>
        <v>3.3666666666666667</v>
      </c>
      <c r="Y24" s="23">
        <f t="shared" si="19"/>
        <v>3.3333333333333335</v>
      </c>
      <c r="Z24" s="23">
        <f t="shared" si="20"/>
        <v>3.3</v>
      </c>
      <c r="AA24" s="23">
        <f t="shared" si="21"/>
        <v>3.2666666666666666</v>
      </c>
      <c r="AB24" s="23">
        <f t="shared" si="22"/>
        <v>3.2333333333333334</v>
      </c>
      <c r="AC24" s="23">
        <f t="shared" si="23"/>
        <v>3.2</v>
      </c>
      <c r="AD24" s="23">
        <f t="shared" si="24"/>
        <v>3.1666666666666665</v>
      </c>
      <c r="AE24" s="23">
        <f t="shared" si="25"/>
        <v>3.1333333333333333</v>
      </c>
      <c r="AF24" s="23">
        <f t="shared" si="26"/>
        <v>3.1</v>
      </c>
      <c r="AG24" s="23">
        <f t="shared" si="27"/>
        <v>3.0666666666666669</v>
      </c>
      <c r="AH24" s="23">
        <f t="shared" si="28"/>
        <v>3.0333333333333332</v>
      </c>
      <c r="AI24" s="23">
        <f t="shared" si="29"/>
        <v>3</v>
      </c>
      <c r="AJ24" s="24" t="str">
        <f t="shared" si="32"/>
        <v>1,7,17,119</v>
      </c>
      <c r="AK24" s="10"/>
      <c r="AL24" s="10"/>
      <c r="AM24" s="10"/>
      <c r="AN24" s="10"/>
      <c r="AO24" s="10"/>
      <c r="AP24" s="10"/>
      <c r="AQ24" s="10"/>
    </row>
    <row r="25" spans="1:43" x14ac:dyDescent="0.45">
      <c r="A25" s="11"/>
      <c r="B25" s="8"/>
      <c r="C25" s="8"/>
      <c r="D25" s="8">
        <v>18</v>
      </c>
      <c r="E25" s="9">
        <f t="shared" si="30"/>
        <v>126</v>
      </c>
      <c r="F25" s="23">
        <f t="shared" si="2"/>
        <v>4.2</v>
      </c>
      <c r="G25" s="23">
        <f t="shared" si="3"/>
        <v>4.166666666666667</v>
      </c>
      <c r="H25" s="23">
        <f t="shared" si="31"/>
        <v>4.1333333333333337</v>
      </c>
      <c r="I25" s="23">
        <f t="shared" si="4"/>
        <v>4.0999999999999996</v>
      </c>
      <c r="J25" s="23">
        <f t="shared" si="5"/>
        <v>4.0666666666666664</v>
      </c>
      <c r="K25" s="23">
        <f t="shared" si="6"/>
        <v>4.0333333333333332</v>
      </c>
      <c r="L25" s="23">
        <f t="shared" si="1"/>
        <v>4</v>
      </c>
      <c r="M25" s="23">
        <f t="shared" si="7"/>
        <v>3.9666666666666668</v>
      </c>
      <c r="N25" s="23">
        <f t="shared" si="8"/>
        <v>3.9333333333333331</v>
      </c>
      <c r="O25" s="23">
        <f t="shared" si="9"/>
        <v>3.9</v>
      </c>
      <c r="P25" s="23">
        <f t="shared" si="10"/>
        <v>3.8666666666666667</v>
      </c>
      <c r="Q25" s="23">
        <f t="shared" si="11"/>
        <v>3.8333333333333335</v>
      </c>
      <c r="R25" s="23">
        <f t="shared" si="12"/>
        <v>3.8</v>
      </c>
      <c r="S25" s="23">
        <f t="shared" si="13"/>
        <v>3.7666666666666666</v>
      </c>
      <c r="T25" s="23">
        <f t="shared" si="14"/>
        <v>3.7333333333333334</v>
      </c>
      <c r="U25" s="23">
        <f t="shared" si="15"/>
        <v>3.7</v>
      </c>
      <c r="V25" s="23">
        <f t="shared" si="16"/>
        <v>3.6666666666666665</v>
      </c>
      <c r="W25" s="23">
        <f t="shared" si="17"/>
        <v>3.6333333333333333</v>
      </c>
      <c r="X25" s="23">
        <f t="shared" si="18"/>
        <v>3.6</v>
      </c>
      <c r="Y25" s="23">
        <f t="shared" si="19"/>
        <v>3.5666666666666669</v>
      </c>
      <c r="Z25" s="23">
        <f t="shared" si="20"/>
        <v>3.5333333333333332</v>
      </c>
      <c r="AA25" s="23">
        <f t="shared" si="21"/>
        <v>3.5</v>
      </c>
      <c r="AB25" s="23">
        <f t="shared" si="22"/>
        <v>3.4666666666666668</v>
      </c>
      <c r="AC25" s="23">
        <f t="shared" si="23"/>
        <v>3.4333333333333331</v>
      </c>
      <c r="AD25" s="23">
        <f t="shared" si="24"/>
        <v>3.4</v>
      </c>
      <c r="AE25" s="23">
        <f t="shared" si="25"/>
        <v>3.3666666666666667</v>
      </c>
      <c r="AF25" s="23">
        <f t="shared" si="26"/>
        <v>3.3333333333333335</v>
      </c>
      <c r="AG25" s="23">
        <f t="shared" si="27"/>
        <v>3.3</v>
      </c>
      <c r="AH25" s="23">
        <f t="shared" si="28"/>
        <v>3.2666666666666666</v>
      </c>
      <c r="AI25" s="23">
        <f t="shared" si="29"/>
        <v>3.2333333333333334</v>
      </c>
      <c r="AJ25" s="24" t="str">
        <f t="shared" si="32"/>
        <v>1,2,3,6,7,9,14,18,21,42,63,126</v>
      </c>
      <c r="AK25" s="10"/>
      <c r="AL25" s="10"/>
      <c r="AM25" s="10"/>
      <c r="AN25" s="10"/>
      <c r="AO25" s="10"/>
      <c r="AP25" s="10"/>
      <c r="AQ25" s="10"/>
    </row>
    <row r="26" spans="1:43" x14ac:dyDescent="0.45">
      <c r="A26" s="11"/>
      <c r="B26" s="8"/>
      <c r="C26" s="8"/>
      <c r="D26" s="8">
        <v>19</v>
      </c>
      <c r="E26" s="9">
        <f t="shared" si="30"/>
        <v>133</v>
      </c>
      <c r="F26" s="23">
        <f t="shared" si="2"/>
        <v>4.4333333333333336</v>
      </c>
      <c r="G26" s="23">
        <f t="shared" si="3"/>
        <v>4.4000000000000004</v>
      </c>
      <c r="H26" s="23">
        <f t="shared" si="31"/>
        <v>4.3666666666666663</v>
      </c>
      <c r="I26" s="23">
        <f t="shared" si="4"/>
        <v>4.333333333333333</v>
      </c>
      <c r="J26" s="23">
        <f t="shared" si="5"/>
        <v>4.3</v>
      </c>
      <c r="K26" s="23">
        <f t="shared" si="6"/>
        <v>4.2666666666666666</v>
      </c>
      <c r="L26" s="23">
        <f t="shared" si="1"/>
        <v>4.2333333333333334</v>
      </c>
      <c r="M26" s="23">
        <f t="shared" si="7"/>
        <v>4.2</v>
      </c>
      <c r="N26" s="23">
        <f t="shared" si="8"/>
        <v>4.166666666666667</v>
      </c>
      <c r="O26" s="23">
        <f t="shared" si="9"/>
        <v>4.1333333333333337</v>
      </c>
      <c r="P26" s="23">
        <f t="shared" si="10"/>
        <v>4.0999999999999996</v>
      </c>
      <c r="Q26" s="23">
        <f t="shared" si="11"/>
        <v>4.0666666666666664</v>
      </c>
      <c r="R26" s="23">
        <f t="shared" si="12"/>
        <v>4.0333333333333332</v>
      </c>
      <c r="S26" s="23">
        <f t="shared" si="13"/>
        <v>4</v>
      </c>
      <c r="T26" s="23">
        <f t="shared" si="14"/>
        <v>3.9666666666666668</v>
      </c>
      <c r="U26" s="23">
        <f t="shared" si="15"/>
        <v>3.9333333333333331</v>
      </c>
      <c r="V26" s="23">
        <f t="shared" si="16"/>
        <v>3.9</v>
      </c>
      <c r="W26" s="23">
        <f t="shared" si="17"/>
        <v>3.8666666666666667</v>
      </c>
      <c r="X26" s="23">
        <f t="shared" si="18"/>
        <v>3.8333333333333335</v>
      </c>
      <c r="Y26" s="23">
        <f t="shared" si="19"/>
        <v>3.8</v>
      </c>
      <c r="Z26" s="23">
        <f t="shared" si="20"/>
        <v>3.7666666666666666</v>
      </c>
      <c r="AA26" s="23">
        <f t="shared" si="21"/>
        <v>3.7333333333333334</v>
      </c>
      <c r="AB26" s="23">
        <f t="shared" si="22"/>
        <v>3.7</v>
      </c>
      <c r="AC26" s="23">
        <f t="shared" si="23"/>
        <v>3.6666666666666665</v>
      </c>
      <c r="AD26" s="23">
        <f t="shared" si="24"/>
        <v>3.6333333333333333</v>
      </c>
      <c r="AE26" s="23">
        <f t="shared" si="25"/>
        <v>3.6</v>
      </c>
      <c r="AF26" s="23">
        <f t="shared" si="26"/>
        <v>3.5666666666666669</v>
      </c>
      <c r="AG26" s="23">
        <f t="shared" si="27"/>
        <v>3.5333333333333332</v>
      </c>
      <c r="AH26" s="23">
        <f t="shared" si="28"/>
        <v>3.5</v>
      </c>
      <c r="AI26" s="23">
        <f t="shared" si="29"/>
        <v>3.4666666666666668</v>
      </c>
      <c r="AJ26" s="24" t="str">
        <f t="shared" si="32"/>
        <v>1,7,19,133</v>
      </c>
      <c r="AK26" s="10"/>
      <c r="AL26" s="10"/>
      <c r="AM26" s="10"/>
      <c r="AN26" s="10"/>
      <c r="AO26" s="10"/>
      <c r="AP26" s="10"/>
      <c r="AQ26" s="10"/>
    </row>
    <row r="27" spans="1:43" x14ac:dyDescent="0.45">
      <c r="A27" s="11"/>
      <c r="B27" s="8"/>
      <c r="C27" s="8"/>
      <c r="D27" s="8">
        <v>20</v>
      </c>
      <c r="E27" s="9">
        <f t="shared" si="30"/>
        <v>140</v>
      </c>
      <c r="F27" s="23">
        <f t="shared" si="2"/>
        <v>4.666666666666667</v>
      </c>
      <c r="G27" s="23">
        <f t="shared" si="3"/>
        <v>4.6333333333333337</v>
      </c>
      <c r="H27" s="23">
        <f t="shared" si="31"/>
        <v>4.5999999999999996</v>
      </c>
      <c r="I27" s="23">
        <f t="shared" si="4"/>
        <v>4.5666666666666664</v>
      </c>
      <c r="J27" s="23">
        <f t="shared" si="5"/>
        <v>4.5333333333333332</v>
      </c>
      <c r="K27" s="23">
        <f t="shared" si="6"/>
        <v>4.5</v>
      </c>
      <c r="L27" s="23">
        <f t="shared" si="1"/>
        <v>4.4666666666666668</v>
      </c>
      <c r="M27" s="23">
        <f t="shared" si="7"/>
        <v>4.4333333333333336</v>
      </c>
      <c r="N27" s="23">
        <f t="shared" si="8"/>
        <v>4.4000000000000004</v>
      </c>
      <c r="O27" s="23">
        <f t="shared" si="9"/>
        <v>4.3666666666666663</v>
      </c>
      <c r="P27" s="23">
        <f t="shared" si="10"/>
        <v>4.333333333333333</v>
      </c>
      <c r="Q27" s="23">
        <f t="shared" si="11"/>
        <v>4.3</v>
      </c>
      <c r="R27" s="23">
        <f t="shared" si="12"/>
        <v>4.2666666666666666</v>
      </c>
      <c r="S27" s="23">
        <f t="shared" si="13"/>
        <v>4.2333333333333334</v>
      </c>
      <c r="T27" s="23">
        <f t="shared" si="14"/>
        <v>4.2</v>
      </c>
      <c r="U27" s="23">
        <f t="shared" si="15"/>
        <v>4.166666666666667</v>
      </c>
      <c r="V27" s="23">
        <f t="shared" si="16"/>
        <v>4.1333333333333337</v>
      </c>
      <c r="W27" s="23">
        <f t="shared" si="17"/>
        <v>4.0999999999999996</v>
      </c>
      <c r="X27" s="23">
        <f t="shared" si="18"/>
        <v>4.0666666666666664</v>
      </c>
      <c r="Y27" s="23">
        <f t="shared" si="19"/>
        <v>4.0333333333333332</v>
      </c>
      <c r="Z27" s="23">
        <f t="shared" si="20"/>
        <v>4</v>
      </c>
      <c r="AA27" s="23">
        <f t="shared" si="21"/>
        <v>3.9666666666666668</v>
      </c>
      <c r="AB27" s="23">
        <f t="shared" si="22"/>
        <v>3.9333333333333331</v>
      </c>
      <c r="AC27" s="23">
        <f t="shared" si="23"/>
        <v>3.9</v>
      </c>
      <c r="AD27" s="23">
        <f t="shared" si="24"/>
        <v>3.8666666666666667</v>
      </c>
      <c r="AE27" s="23">
        <f t="shared" si="25"/>
        <v>3.8333333333333335</v>
      </c>
      <c r="AF27" s="23">
        <f t="shared" si="26"/>
        <v>3.8</v>
      </c>
      <c r="AG27" s="23">
        <f t="shared" si="27"/>
        <v>3.7666666666666666</v>
      </c>
      <c r="AH27" s="23">
        <f t="shared" si="28"/>
        <v>3.7333333333333334</v>
      </c>
      <c r="AI27" s="23">
        <f t="shared" si="29"/>
        <v>3.7</v>
      </c>
      <c r="AJ27" s="24" t="str">
        <f t="shared" si="32"/>
        <v>1,2,4,5,7,10,14,20,28,35,70,140</v>
      </c>
      <c r="AK27" s="10"/>
      <c r="AL27" s="10"/>
      <c r="AM27" s="10"/>
      <c r="AN27" s="10"/>
      <c r="AO27" s="10"/>
      <c r="AP27" s="10"/>
      <c r="AQ27" s="10"/>
    </row>
    <row r="28" spans="1:43" x14ac:dyDescent="0.45">
      <c r="A28" s="11"/>
      <c r="B28" s="8"/>
      <c r="C28" s="8"/>
      <c r="D28" s="8">
        <v>21</v>
      </c>
      <c r="E28" s="9">
        <f t="shared" si="30"/>
        <v>147</v>
      </c>
      <c r="F28" s="23">
        <f t="shared" si="2"/>
        <v>4.9000000000000004</v>
      </c>
      <c r="G28" s="23">
        <f t="shared" si="3"/>
        <v>4.8666666666666663</v>
      </c>
      <c r="H28" s="23">
        <f t="shared" si="31"/>
        <v>4.833333333333333</v>
      </c>
      <c r="I28" s="23">
        <f t="shared" si="4"/>
        <v>4.8</v>
      </c>
      <c r="J28" s="23">
        <f t="shared" si="5"/>
        <v>4.7666666666666666</v>
      </c>
      <c r="K28" s="23">
        <f t="shared" si="6"/>
        <v>4.7333333333333334</v>
      </c>
      <c r="L28" s="23">
        <f t="shared" si="1"/>
        <v>4.7</v>
      </c>
      <c r="M28" s="23">
        <f t="shared" si="7"/>
        <v>4.666666666666667</v>
      </c>
      <c r="N28" s="23">
        <f t="shared" si="8"/>
        <v>4.6333333333333337</v>
      </c>
      <c r="O28" s="23">
        <f t="shared" si="9"/>
        <v>4.5999999999999996</v>
      </c>
      <c r="P28" s="23">
        <f t="shared" si="10"/>
        <v>4.5666666666666664</v>
      </c>
      <c r="Q28" s="23">
        <f t="shared" si="11"/>
        <v>4.5333333333333332</v>
      </c>
      <c r="R28" s="23">
        <f t="shared" si="12"/>
        <v>4.5</v>
      </c>
      <c r="S28" s="23">
        <f t="shared" si="13"/>
        <v>4.4666666666666668</v>
      </c>
      <c r="T28" s="23">
        <f t="shared" si="14"/>
        <v>4.4333333333333336</v>
      </c>
      <c r="U28" s="23">
        <f t="shared" si="15"/>
        <v>4.4000000000000004</v>
      </c>
      <c r="V28" s="23">
        <f t="shared" si="16"/>
        <v>4.3666666666666663</v>
      </c>
      <c r="W28" s="23">
        <f t="shared" si="17"/>
        <v>4.333333333333333</v>
      </c>
      <c r="X28" s="23">
        <f t="shared" si="18"/>
        <v>4.3</v>
      </c>
      <c r="Y28" s="23">
        <f t="shared" si="19"/>
        <v>4.2666666666666666</v>
      </c>
      <c r="Z28" s="23">
        <f t="shared" si="20"/>
        <v>4.2333333333333334</v>
      </c>
      <c r="AA28" s="23">
        <f t="shared" si="21"/>
        <v>4.2</v>
      </c>
      <c r="AB28" s="23">
        <f t="shared" si="22"/>
        <v>4.166666666666667</v>
      </c>
      <c r="AC28" s="23">
        <f t="shared" si="23"/>
        <v>4.1333333333333337</v>
      </c>
      <c r="AD28" s="23">
        <f t="shared" si="24"/>
        <v>4.0999999999999996</v>
      </c>
      <c r="AE28" s="23">
        <f t="shared" si="25"/>
        <v>4.0666666666666664</v>
      </c>
      <c r="AF28" s="23">
        <f t="shared" si="26"/>
        <v>4.0333333333333332</v>
      </c>
      <c r="AG28" s="23">
        <f t="shared" si="27"/>
        <v>4</v>
      </c>
      <c r="AH28" s="23">
        <f t="shared" si="28"/>
        <v>3.9666666666666668</v>
      </c>
      <c r="AI28" s="23">
        <f t="shared" si="29"/>
        <v>3.9333333333333331</v>
      </c>
      <c r="AJ28" s="24" t="str">
        <f t="shared" si="32"/>
        <v>1,3,7,21,49,147</v>
      </c>
      <c r="AK28" s="10"/>
      <c r="AL28" s="10"/>
      <c r="AM28" s="10"/>
      <c r="AN28" s="10"/>
      <c r="AO28" s="10"/>
      <c r="AP28" s="10"/>
      <c r="AQ28" s="10"/>
    </row>
    <row r="29" spans="1:43" x14ac:dyDescent="0.45">
      <c r="A29" s="11"/>
      <c r="B29" s="8"/>
      <c r="C29" s="8"/>
      <c r="D29" s="8">
        <v>22</v>
      </c>
      <c r="E29" s="9">
        <f t="shared" si="30"/>
        <v>154</v>
      </c>
      <c r="F29" s="23">
        <f t="shared" si="2"/>
        <v>5.1333333333333337</v>
      </c>
      <c r="G29" s="23">
        <f t="shared" si="3"/>
        <v>5.0999999999999996</v>
      </c>
      <c r="H29" s="23">
        <f t="shared" si="31"/>
        <v>5.0666666666666664</v>
      </c>
      <c r="I29" s="23">
        <f t="shared" si="4"/>
        <v>5.0333333333333332</v>
      </c>
      <c r="J29" s="23">
        <f t="shared" si="5"/>
        <v>5</v>
      </c>
      <c r="K29" s="23">
        <f t="shared" si="6"/>
        <v>4.9666666666666668</v>
      </c>
      <c r="L29" s="23">
        <f t="shared" si="1"/>
        <v>4.9333333333333336</v>
      </c>
      <c r="M29" s="23">
        <f t="shared" si="7"/>
        <v>4.9000000000000004</v>
      </c>
      <c r="N29" s="23">
        <f t="shared" si="8"/>
        <v>4.8666666666666663</v>
      </c>
      <c r="O29" s="23">
        <f t="shared" si="9"/>
        <v>4.833333333333333</v>
      </c>
      <c r="P29" s="23">
        <f t="shared" si="10"/>
        <v>4.8</v>
      </c>
      <c r="Q29" s="23">
        <f t="shared" si="11"/>
        <v>4.7666666666666666</v>
      </c>
      <c r="R29" s="23">
        <f t="shared" si="12"/>
        <v>4.7333333333333334</v>
      </c>
      <c r="S29" s="23">
        <f t="shared" si="13"/>
        <v>4.7</v>
      </c>
      <c r="T29" s="23">
        <f t="shared" si="14"/>
        <v>4.666666666666667</v>
      </c>
      <c r="U29" s="23">
        <f t="shared" si="15"/>
        <v>4.6333333333333337</v>
      </c>
      <c r="V29" s="23">
        <f t="shared" si="16"/>
        <v>4.5999999999999996</v>
      </c>
      <c r="W29" s="23">
        <f t="shared" si="17"/>
        <v>4.5666666666666664</v>
      </c>
      <c r="X29" s="23">
        <f t="shared" si="18"/>
        <v>4.5333333333333332</v>
      </c>
      <c r="Y29" s="23">
        <f t="shared" si="19"/>
        <v>4.5</v>
      </c>
      <c r="Z29" s="23">
        <f t="shared" si="20"/>
        <v>4.4666666666666668</v>
      </c>
      <c r="AA29" s="23">
        <f t="shared" si="21"/>
        <v>4.4333333333333336</v>
      </c>
      <c r="AB29" s="23">
        <f t="shared" si="22"/>
        <v>4.4000000000000004</v>
      </c>
      <c r="AC29" s="23">
        <f t="shared" si="23"/>
        <v>4.3666666666666663</v>
      </c>
      <c r="AD29" s="23">
        <f t="shared" si="24"/>
        <v>4.333333333333333</v>
      </c>
      <c r="AE29" s="23">
        <f t="shared" si="25"/>
        <v>4.3</v>
      </c>
      <c r="AF29" s="23">
        <f t="shared" si="26"/>
        <v>4.2666666666666666</v>
      </c>
      <c r="AG29" s="23">
        <f t="shared" si="27"/>
        <v>4.2333333333333334</v>
      </c>
      <c r="AH29" s="23">
        <f t="shared" si="28"/>
        <v>4.2</v>
      </c>
      <c r="AI29" s="23">
        <f t="shared" si="29"/>
        <v>4.166666666666667</v>
      </c>
      <c r="AJ29" s="24" t="str">
        <f t="shared" si="32"/>
        <v>1,2,7,11,14,22,77,154</v>
      </c>
      <c r="AK29" s="10"/>
      <c r="AL29" s="10"/>
      <c r="AM29" s="10"/>
      <c r="AN29" s="10"/>
      <c r="AO29" s="10"/>
      <c r="AP29" s="10"/>
      <c r="AQ29" s="10"/>
    </row>
    <row r="30" spans="1:43" x14ac:dyDescent="0.45">
      <c r="A30" s="11"/>
      <c r="B30" s="8"/>
      <c r="C30" s="8"/>
      <c r="D30" s="8">
        <v>23</v>
      </c>
      <c r="E30" s="9">
        <f t="shared" si="30"/>
        <v>161</v>
      </c>
      <c r="F30" s="23">
        <f t="shared" si="2"/>
        <v>5.3666666666666663</v>
      </c>
      <c r="G30" s="23">
        <f t="shared" si="3"/>
        <v>5.333333333333333</v>
      </c>
      <c r="H30" s="23">
        <f t="shared" si="31"/>
        <v>5.3</v>
      </c>
      <c r="I30" s="23">
        <f t="shared" si="4"/>
        <v>5.2666666666666666</v>
      </c>
      <c r="J30" s="23">
        <f t="shared" si="5"/>
        <v>5.2333333333333334</v>
      </c>
      <c r="K30" s="23">
        <f t="shared" si="6"/>
        <v>5.2</v>
      </c>
      <c r="L30" s="23">
        <f t="shared" si="1"/>
        <v>5.166666666666667</v>
      </c>
      <c r="M30" s="23">
        <f t="shared" si="7"/>
        <v>5.1333333333333337</v>
      </c>
      <c r="N30" s="23">
        <f t="shared" si="8"/>
        <v>5.0999999999999996</v>
      </c>
      <c r="O30" s="23">
        <f t="shared" si="9"/>
        <v>5.0666666666666664</v>
      </c>
      <c r="P30" s="23">
        <f t="shared" si="10"/>
        <v>5.0333333333333332</v>
      </c>
      <c r="Q30" s="23">
        <f t="shared" si="11"/>
        <v>5</v>
      </c>
      <c r="R30" s="23">
        <f t="shared" si="12"/>
        <v>4.9666666666666668</v>
      </c>
      <c r="S30" s="23">
        <f t="shared" si="13"/>
        <v>4.9333333333333336</v>
      </c>
      <c r="T30" s="23">
        <f t="shared" si="14"/>
        <v>4.9000000000000004</v>
      </c>
      <c r="U30" s="23">
        <f t="shared" si="15"/>
        <v>4.8666666666666663</v>
      </c>
      <c r="V30" s="23">
        <f t="shared" si="16"/>
        <v>4.833333333333333</v>
      </c>
      <c r="W30" s="23">
        <f t="shared" si="17"/>
        <v>4.8</v>
      </c>
      <c r="X30" s="23">
        <f t="shared" si="18"/>
        <v>4.7666666666666666</v>
      </c>
      <c r="Y30" s="23">
        <f t="shared" si="19"/>
        <v>4.7333333333333334</v>
      </c>
      <c r="Z30" s="23">
        <f t="shared" si="20"/>
        <v>4.7</v>
      </c>
      <c r="AA30" s="23">
        <f t="shared" si="21"/>
        <v>4.666666666666667</v>
      </c>
      <c r="AB30" s="23">
        <f t="shared" si="22"/>
        <v>4.6333333333333337</v>
      </c>
      <c r="AC30" s="23">
        <f t="shared" si="23"/>
        <v>4.5999999999999996</v>
      </c>
      <c r="AD30" s="23">
        <f t="shared" si="24"/>
        <v>4.5666666666666664</v>
      </c>
      <c r="AE30" s="23">
        <f t="shared" si="25"/>
        <v>4.5333333333333332</v>
      </c>
      <c r="AF30" s="23">
        <f t="shared" si="26"/>
        <v>4.5</v>
      </c>
      <c r="AG30" s="23">
        <f t="shared" si="27"/>
        <v>4.4666666666666668</v>
      </c>
      <c r="AH30" s="23">
        <f t="shared" si="28"/>
        <v>4.4333333333333336</v>
      </c>
      <c r="AI30" s="23">
        <f t="shared" si="29"/>
        <v>4.4000000000000004</v>
      </c>
      <c r="AJ30" s="24" t="str">
        <f t="shared" si="32"/>
        <v>1,7,23,161</v>
      </c>
      <c r="AK30" s="10"/>
      <c r="AL30" s="10"/>
      <c r="AM30" s="10"/>
      <c r="AN30" s="10"/>
      <c r="AO30" s="10"/>
      <c r="AP30" s="10"/>
      <c r="AQ30" s="10"/>
    </row>
    <row r="31" spans="1:43" x14ac:dyDescent="0.45">
      <c r="A31" s="11"/>
      <c r="B31" s="8"/>
      <c r="C31" s="8"/>
      <c r="D31" s="8">
        <v>24</v>
      </c>
      <c r="E31" s="9">
        <f t="shared" si="30"/>
        <v>168</v>
      </c>
      <c r="F31" s="23">
        <f t="shared" si="2"/>
        <v>5.6</v>
      </c>
      <c r="G31" s="23">
        <f t="shared" si="3"/>
        <v>5.5666666666666664</v>
      </c>
      <c r="H31" s="23">
        <f t="shared" si="31"/>
        <v>5.5333333333333332</v>
      </c>
      <c r="I31" s="23">
        <f t="shared" si="4"/>
        <v>5.5</v>
      </c>
      <c r="J31" s="23">
        <f t="shared" si="5"/>
        <v>5.4666666666666668</v>
      </c>
      <c r="K31" s="23">
        <f t="shared" si="6"/>
        <v>5.4333333333333336</v>
      </c>
      <c r="L31" s="23">
        <f t="shared" si="1"/>
        <v>5.4</v>
      </c>
      <c r="M31" s="23">
        <f t="shared" si="7"/>
        <v>5.3666666666666663</v>
      </c>
      <c r="N31" s="23">
        <f t="shared" si="8"/>
        <v>5.333333333333333</v>
      </c>
      <c r="O31" s="23">
        <f t="shared" si="9"/>
        <v>5.3</v>
      </c>
      <c r="P31" s="23">
        <f t="shared" si="10"/>
        <v>5.2666666666666666</v>
      </c>
      <c r="Q31" s="23">
        <f t="shared" si="11"/>
        <v>5.2333333333333334</v>
      </c>
      <c r="R31" s="23">
        <f t="shared" si="12"/>
        <v>5.2</v>
      </c>
      <c r="S31" s="23">
        <f t="shared" si="13"/>
        <v>5.166666666666667</v>
      </c>
      <c r="T31" s="23">
        <f t="shared" si="14"/>
        <v>5.1333333333333337</v>
      </c>
      <c r="U31" s="23">
        <f t="shared" si="15"/>
        <v>5.0999999999999996</v>
      </c>
      <c r="V31" s="23">
        <f t="shared" si="16"/>
        <v>5.0666666666666664</v>
      </c>
      <c r="W31" s="23">
        <f t="shared" si="17"/>
        <v>5.0333333333333332</v>
      </c>
      <c r="X31" s="23">
        <f t="shared" si="18"/>
        <v>5</v>
      </c>
      <c r="Y31" s="23">
        <f t="shared" si="19"/>
        <v>4.9666666666666668</v>
      </c>
      <c r="Z31" s="23">
        <f t="shared" si="20"/>
        <v>4.9333333333333336</v>
      </c>
      <c r="AA31" s="23">
        <f t="shared" si="21"/>
        <v>4.9000000000000004</v>
      </c>
      <c r="AB31" s="23">
        <f t="shared" si="22"/>
        <v>4.8666666666666663</v>
      </c>
      <c r="AC31" s="23">
        <f t="shared" si="23"/>
        <v>4.833333333333333</v>
      </c>
      <c r="AD31" s="23">
        <f t="shared" si="24"/>
        <v>4.8</v>
      </c>
      <c r="AE31" s="23">
        <f t="shared" si="25"/>
        <v>4.7666666666666666</v>
      </c>
      <c r="AF31" s="23">
        <f t="shared" si="26"/>
        <v>4.7333333333333334</v>
      </c>
      <c r="AG31" s="23">
        <f t="shared" si="27"/>
        <v>4.7</v>
      </c>
      <c r="AH31" s="23">
        <f t="shared" si="28"/>
        <v>4.666666666666667</v>
      </c>
      <c r="AI31" s="23">
        <f t="shared" si="29"/>
        <v>4.6333333333333337</v>
      </c>
      <c r="AJ31" s="24" t="str">
        <f t="shared" si="32"/>
        <v>1,2,3,4,6,7,8,12,14,21,24,28,42,56,84,168</v>
      </c>
      <c r="AK31" s="10"/>
      <c r="AL31" s="10"/>
      <c r="AM31" s="10"/>
      <c r="AN31" s="10"/>
      <c r="AO31" s="10"/>
      <c r="AP31" s="10"/>
      <c r="AQ31" s="10"/>
    </row>
    <row r="32" spans="1:43" x14ac:dyDescent="0.45">
      <c r="A32" s="11"/>
      <c r="B32" s="8"/>
      <c r="C32" s="8"/>
      <c r="D32" s="8">
        <v>25</v>
      </c>
      <c r="E32" s="9">
        <f t="shared" si="30"/>
        <v>175</v>
      </c>
      <c r="F32" s="23">
        <f t="shared" si="2"/>
        <v>5.833333333333333</v>
      </c>
      <c r="G32" s="23">
        <f t="shared" si="3"/>
        <v>5.8</v>
      </c>
      <c r="H32" s="23">
        <f t="shared" si="31"/>
        <v>5.7666666666666666</v>
      </c>
      <c r="I32" s="23">
        <f t="shared" si="4"/>
        <v>5.7333333333333334</v>
      </c>
      <c r="J32" s="23">
        <f t="shared" si="5"/>
        <v>5.7</v>
      </c>
      <c r="K32" s="23">
        <f t="shared" si="6"/>
        <v>5.666666666666667</v>
      </c>
      <c r="L32" s="23">
        <f t="shared" si="1"/>
        <v>5.6333333333333337</v>
      </c>
      <c r="M32" s="23">
        <f t="shared" si="7"/>
        <v>5.6</v>
      </c>
      <c r="N32" s="23">
        <f t="shared" si="8"/>
        <v>5.5666666666666664</v>
      </c>
      <c r="O32" s="23">
        <f t="shared" si="9"/>
        <v>5.5333333333333332</v>
      </c>
      <c r="P32" s="23">
        <f t="shared" si="10"/>
        <v>5.5</v>
      </c>
      <c r="Q32" s="23">
        <f t="shared" si="11"/>
        <v>5.4666666666666668</v>
      </c>
      <c r="R32" s="23">
        <f t="shared" si="12"/>
        <v>5.4333333333333336</v>
      </c>
      <c r="S32" s="23">
        <f t="shared" si="13"/>
        <v>5.4</v>
      </c>
      <c r="T32" s="23">
        <f t="shared" si="14"/>
        <v>5.3666666666666663</v>
      </c>
      <c r="U32" s="23">
        <f t="shared" si="15"/>
        <v>5.333333333333333</v>
      </c>
      <c r="V32" s="23">
        <f t="shared" si="16"/>
        <v>5.3</v>
      </c>
      <c r="W32" s="23">
        <f t="shared" si="17"/>
        <v>5.2666666666666666</v>
      </c>
      <c r="X32" s="23">
        <f t="shared" si="18"/>
        <v>5.2333333333333334</v>
      </c>
      <c r="Y32" s="23">
        <f t="shared" si="19"/>
        <v>5.2</v>
      </c>
      <c r="Z32" s="23">
        <f t="shared" si="20"/>
        <v>5.166666666666667</v>
      </c>
      <c r="AA32" s="23">
        <f t="shared" si="21"/>
        <v>5.1333333333333337</v>
      </c>
      <c r="AB32" s="23">
        <f t="shared" si="22"/>
        <v>5.0999999999999996</v>
      </c>
      <c r="AC32" s="23">
        <f t="shared" si="23"/>
        <v>5.0666666666666664</v>
      </c>
      <c r="AD32" s="23">
        <f t="shared" si="24"/>
        <v>5.0333333333333332</v>
      </c>
      <c r="AE32" s="23">
        <f t="shared" si="25"/>
        <v>5</v>
      </c>
      <c r="AF32" s="23">
        <f t="shared" si="26"/>
        <v>4.9666666666666668</v>
      </c>
      <c r="AG32" s="23">
        <f t="shared" si="27"/>
        <v>4.9333333333333336</v>
      </c>
      <c r="AH32" s="23">
        <f t="shared" si="28"/>
        <v>4.9000000000000004</v>
      </c>
      <c r="AI32" s="23">
        <f t="shared" si="29"/>
        <v>4.8666666666666663</v>
      </c>
      <c r="AJ32" s="24" t="str">
        <f t="shared" si="32"/>
        <v>1,5,7,25,35,175</v>
      </c>
      <c r="AK32" s="10"/>
      <c r="AL32" s="10"/>
      <c r="AM32" s="10"/>
      <c r="AN32" s="10"/>
      <c r="AO32" s="10"/>
      <c r="AP32" s="10"/>
      <c r="AQ32" s="10"/>
    </row>
    <row r="33" spans="1:43" x14ac:dyDescent="0.45">
      <c r="A33" s="11"/>
      <c r="B33" s="8"/>
      <c r="C33" s="8"/>
      <c r="D33" s="8">
        <v>26</v>
      </c>
      <c r="E33" s="9">
        <f t="shared" si="30"/>
        <v>182</v>
      </c>
      <c r="F33" s="23">
        <f t="shared" si="2"/>
        <v>6.0666666666666664</v>
      </c>
      <c r="G33" s="23">
        <f t="shared" si="3"/>
        <v>6.0333333333333332</v>
      </c>
      <c r="H33" s="23">
        <f t="shared" si="31"/>
        <v>6</v>
      </c>
      <c r="I33" s="23">
        <f t="shared" si="4"/>
        <v>5.9666666666666668</v>
      </c>
      <c r="J33" s="23">
        <f t="shared" si="5"/>
        <v>5.9333333333333336</v>
      </c>
      <c r="K33" s="23">
        <f t="shared" si="6"/>
        <v>5.9</v>
      </c>
      <c r="L33" s="23">
        <f t="shared" si="1"/>
        <v>5.8666666666666663</v>
      </c>
      <c r="M33" s="23">
        <f t="shared" si="7"/>
        <v>5.833333333333333</v>
      </c>
      <c r="N33" s="23">
        <f t="shared" si="8"/>
        <v>5.8</v>
      </c>
      <c r="O33" s="23">
        <f t="shared" si="9"/>
        <v>5.7666666666666666</v>
      </c>
      <c r="P33" s="23">
        <f t="shared" si="10"/>
        <v>5.7333333333333334</v>
      </c>
      <c r="Q33" s="23">
        <f t="shared" si="11"/>
        <v>5.7</v>
      </c>
      <c r="R33" s="23">
        <f t="shared" si="12"/>
        <v>5.666666666666667</v>
      </c>
      <c r="S33" s="23">
        <f t="shared" si="13"/>
        <v>5.6333333333333337</v>
      </c>
      <c r="T33" s="23">
        <f t="shared" si="14"/>
        <v>5.6</v>
      </c>
      <c r="U33" s="23">
        <f t="shared" si="15"/>
        <v>5.5666666666666664</v>
      </c>
      <c r="V33" s="23">
        <f t="shared" si="16"/>
        <v>5.5333333333333332</v>
      </c>
      <c r="W33" s="23">
        <f t="shared" si="17"/>
        <v>5.5</v>
      </c>
      <c r="X33" s="23">
        <f t="shared" si="18"/>
        <v>5.4666666666666668</v>
      </c>
      <c r="Y33" s="23">
        <f t="shared" si="19"/>
        <v>5.4333333333333336</v>
      </c>
      <c r="Z33" s="23">
        <f t="shared" si="20"/>
        <v>5.4</v>
      </c>
      <c r="AA33" s="23">
        <f t="shared" si="21"/>
        <v>5.3666666666666663</v>
      </c>
      <c r="AB33" s="23">
        <f t="shared" si="22"/>
        <v>5.333333333333333</v>
      </c>
      <c r="AC33" s="23">
        <f t="shared" si="23"/>
        <v>5.3</v>
      </c>
      <c r="AD33" s="23">
        <f t="shared" si="24"/>
        <v>5.2666666666666666</v>
      </c>
      <c r="AE33" s="23">
        <f t="shared" si="25"/>
        <v>5.2333333333333334</v>
      </c>
      <c r="AF33" s="23">
        <f t="shared" si="26"/>
        <v>5.2</v>
      </c>
      <c r="AG33" s="23">
        <f t="shared" si="27"/>
        <v>5.166666666666667</v>
      </c>
      <c r="AH33" s="23">
        <f t="shared" si="28"/>
        <v>5.1333333333333337</v>
      </c>
      <c r="AI33" s="23">
        <f t="shared" si="29"/>
        <v>5.0999999999999996</v>
      </c>
      <c r="AJ33" s="24" t="str">
        <f t="shared" si="32"/>
        <v>1,2,7,13,14,26,91,182</v>
      </c>
      <c r="AK33" s="10"/>
      <c r="AL33" s="10"/>
      <c r="AM33" s="10"/>
      <c r="AN33" s="10"/>
      <c r="AO33" s="10"/>
      <c r="AP33" s="10"/>
      <c r="AQ33" s="10"/>
    </row>
    <row r="34" spans="1:43" x14ac:dyDescent="0.45">
      <c r="A34" s="11"/>
      <c r="B34" s="8"/>
      <c r="C34" s="8"/>
      <c r="D34" s="8">
        <v>27</v>
      </c>
      <c r="E34" s="9">
        <f t="shared" si="30"/>
        <v>189</v>
      </c>
      <c r="F34" s="23">
        <f t="shared" si="2"/>
        <v>6.3</v>
      </c>
      <c r="G34" s="23">
        <f t="shared" si="3"/>
        <v>6.2666666666666666</v>
      </c>
      <c r="H34" s="23">
        <f t="shared" si="31"/>
        <v>6.2333333333333334</v>
      </c>
      <c r="I34" s="23">
        <f t="shared" si="4"/>
        <v>6.2</v>
      </c>
      <c r="J34" s="23">
        <f t="shared" si="5"/>
        <v>6.166666666666667</v>
      </c>
      <c r="K34" s="23">
        <f t="shared" si="6"/>
        <v>6.1333333333333337</v>
      </c>
      <c r="L34" s="23">
        <f t="shared" si="1"/>
        <v>6.1</v>
      </c>
      <c r="M34" s="23">
        <f t="shared" si="7"/>
        <v>6.0666666666666664</v>
      </c>
      <c r="N34" s="23">
        <f t="shared" si="8"/>
        <v>6.0333333333333332</v>
      </c>
      <c r="O34" s="23">
        <f t="shared" si="9"/>
        <v>6</v>
      </c>
      <c r="P34" s="23">
        <f t="shared" si="10"/>
        <v>5.9666666666666668</v>
      </c>
      <c r="Q34" s="23">
        <f t="shared" si="11"/>
        <v>5.9333333333333336</v>
      </c>
      <c r="R34" s="23">
        <f t="shared" si="12"/>
        <v>5.9</v>
      </c>
      <c r="S34" s="23">
        <f t="shared" si="13"/>
        <v>5.8666666666666663</v>
      </c>
      <c r="T34" s="23">
        <f t="shared" si="14"/>
        <v>5.833333333333333</v>
      </c>
      <c r="U34" s="23">
        <f t="shared" si="15"/>
        <v>5.8</v>
      </c>
      <c r="V34" s="23">
        <f t="shared" si="16"/>
        <v>5.7666666666666666</v>
      </c>
      <c r="W34" s="23">
        <f t="shared" si="17"/>
        <v>5.7333333333333334</v>
      </c>
      <c r="X34" s="23">
        <f t="shared" si="18"/>
        <v>5.7</v>
      </c>
      <c r="Y34" s="23">
        <f t="shared" si="19"/>
        <v>5.666666666666667</v>
      </c>
      <c r="Z34" s="23">
        <f t="shared" si="20"/>
        <v>5.6333333333333337</v>
      </c>
      <c r="AA34" s="23">
        <f t="shared" si="21"/>
        <v>5.6</v>
      </c>
      <c r="AB34" s="23">
        <f t="shared" si="22"/>
        <v>5.5666666666666664</v>
      </c>
      <c r="AC34" s="23">
        <f t="shared" si="23"/>
        <v>5.5333333333333332</v>
      </c>
      <c r="AD34" s="23">
        <f t="shared" si="24"/>
        <v>5.5</v>
      </c>
      <c r="AE34" s="23">
        <f t="shared" si="25"/>
        <v>5.4666666666666668</v>
      </c>
      <c r="AF34" s="23">
        <f t="shared" si="26"/>
        <v>5.4333333333333336</v>
      </c>
      <c r="AG34" s="23">
        <f t="shared" si="27"/>
        <v>5.4</v>
      </c>
      <c r="AH34" s="23">
        <f t="shared" si="28"/>
        <v>5.3666666666666663</v>
      </c>
      <c r="AI34" s="23">
        <f t="shared" si="29"/>
        <v>5.333333333333333</v>
      </c>
      <c r="AJ34" s="24" t="str">
        <f t="shared" si="32"/>
        <v>1,3,7,9,21,27,63,189</v>
      </c>
      <c r="AK34" s="10"/>
      <c r="AL34" s="10"/>
      <c r="AM34" s="10"/>
      <c r="AN34" s="10"/>
      <c r="AO34" s="10"/>
      <c r="AP34" s="10"/>
      <c r="AQ34" s="10"/>
    </row>
    <row r="35" spans="1:43" x14ac:dyDescent="0.45">
      <c r="A35" s="11"/>
      <c r="B35" s="8"/>
      <c r="C35" s="8"/>
      <c r="D35" s="8">
        <v>28</v>
      </c>
      <c r="E35" s="9">
        <f t="shared" si="30"/>
        <v>196</v>
      </c>
      <c r="F35" s="23">
        <f t="shared" si="2"/>
        <v>6.5333333333333332</v>
      </c>
      <c r="G35" s="23">
        <f t="shared" si="3"/>
        <v>6.5</v>
      </c>
      <c r="H35" s="23">
        <f t="shared" si="31"/>
        <v>6.4666666666666668</v>
      </c>
      <c r="I35" s="23">
        <f t="shared" si="4"/>
        <v>6.4333333333333336</v>
      </c>
      <c r="J35" s="23">
        <f t="shared" si="5"/>
        <v>6.4</v>
      </c>
      <c r="K35" s="23">
        <f t="shared" si="6"/>
        <v>6.3666666666666663</v>
      </c>
      <c r="L35" s="23">
        <f t="shared" si="1"/>
        <v>6.333333333333333</v>
      </c>
      <c r="M35" s="23">
        <f t="shared" si="7"/>
        <v>6.3</v>
      </c>
      <c r="N35" s="23">
        <f t="shared" si="8"/>
        <v>6.2666666666666666</v>
      </c>
      <c r="O35" s="23">
        <f t="shared" si="9"/>
        <v>6.2333333333333334</v>
      </c>
      <c r="P35" s="23">
        <f t="shared" si="10"/>
        <v>6.2</v>
      </c>
      <c r="Q35" s="23">
        <f t="shared" si="11"/>
        <v>6.166666666666667</v>
      </c>
      <c r="R35" s="23">
        <f t="shared" si="12"/>
        <v>6.1333333333333337</v>
      </c>
      <c r="S35" s="23">
        <f t="shared" si="13"/>
        <v>6.1</v>
      </c>
      <c r="T35" s="23">
        <f t="shared" si="14"/>
        <v>6.0666666666666664</v>
      </c>
      <c r="U35" s="23">
        <f t="shared" si="15"/>
        <v>6.0333333333333332</v>
      </c>
      <c r="V35" s="23">
        <f t="shared" si="16"/>
        <v>6</v>
      </c>
      <c r="W35" s="23">
        <f t="shared" si="17"/>
        <v>5.9666666666666668</v>
      </c>
      <c r="X35" s="23">
        <f t="shared" si="18"/>
        <v>5.9333333333333336</v>
      </c>
      <c r="Y35" s="23">
        <f t="shared" si="19"/>
        <v>5.9</v>
      </c>
      <c r="Z35" s="23">
        <f t="shared" si="20"/>
        <v>5.8666666666666663</v>
      </c>
      <c r="AA35" s="23">
        <f t="shared" si="21"/>
        <v>5.833333333333333</v>
      </c>
      <c r="AB35" s="23">
        <f t="shared" si="22"/>
        <v>5.8</v>
      </c>
      <c r="AC35" s="23">
        <f t="shared" si="23"/>
        <v>5.7666666666666666</v>
      </c>
      <c r="AD35" s="23">
        <f t="shared" si="24"/>
        <v>5.7333333333333334</v>
      </c>
      <c r="AE35" s="23">
        <f t="shared" si="25"/>
        <v>5.7</v>
      </c>
      <c r="AF35" s="23">
        <f t="shared" si="26"/>
        <v>5.666666666666667</v>
      </c>
      <c r="AG35" s="23">
        <f t="shared" si="27"/>
        <v>5.6333333333333337</v>
      </c>
      <c r="AH35" s="23">
        <f t="shared" si="28"/>
        <v>5.6</v>
      </c>
      <c r="AI35" s="23">
        <f t="shared" si="29"/>
        <v>5.5666666666666664</v>
      </c>
      <c r="AJ35" s="24" t="str">
        <f t="shared" si="32"/>
        <v>1,2,4,7,14,28,49,98,196</v>
      </c>
      <c r="AK35" s="10"/>
      <c r="AL35" s="10"/>
      <c r="AM35" s="10"/>
      <c r="AN35" s="10"/>
      <c r="AO35" s="10"/>
      <c r="AP35" s="10"/>
      <c r="AQ35" s="10"/>
    </row>
    <row r="36" spans="1:43" x14ac:dyDescent="0.45">
      <c r="A36" s="11"/>
      <c r="B36" s="8"/>
      <c r="C36" s="8"/>
      <c r="D36" s="8">
        <v>29</v>
      </c>
      <c r="E36" s="9">
        <f t="shared" si="30"/>
        <v>203</v>
      </c>
      <c r="F36" s="23">
        <f t="shared" si="2"/>
        <v>6.7666666666666666</v>
      </c>
      <c r="G36" s="23">
        <f t="shared" si="3"/>
        <v>6.7333333333333334</v>
      </c>
      <c r="H36" s="23">
        <f t="shared" si="31"/>
        <v>6.7</v>
      </c>
      <c r="I36" s="23">
        <f t="shared" si="4"/>
        <v>6.666666666666667</v>
      </c>
      <c r="J36" s="23">
        <f t="shared" si="5"/>
        <v>6.6333333333333337</v>
      </c>
      <c r="K36" s="23">
        <f t="shared" si="6"/>
        <v>6.6</v>
      </c>
      <c r="L36" s="23">
        <f t="shared" si="1"/>
        <v>6.5666666666666664</v>
      </c>
      <c r="M36" s="23">
        <f t="shared" si="7"/>
        <v>6.5333333333333332</v>
      </c>
      <c r="N36" s="23">
        <f t="shared" si="8"/>
        <v>6.5</v>
      </c>
      <c r="O36" s="23">
        <f t="shared" si="9"/>
        <v>6.4666666666666668</v>
      </c>
      <c r="P36" s="23">
        <f t="shared" si="10"/>
        <v>6.4333333333333336</v>
      </c>
      <c r="Q36" s="23">
        <f t="shared" si="11"/>
        <v>6.4</v>
      </c>
      <c r="R36" s="23">
        <f t="shared" si="12"/>
        <v>6.3666666666666663</v>
      </c>
      <c r="S36" s="23">
        <f t="shared" si="13"/>
        <v>6.333333333333333</v>
      </c>
      <c r="T36" s="23">
        <f t="shared" si="14"/>
        <v>6.3</v>
      </c>
      <c r="U36" s="23">
        <f t="shared" si="15"/>
        <v>6.2666666666666666</v>
      </c>
      <c r="V36" s="23">
        <f t="shared" si="16"/>
        <v>6.2333333333333334</v>
      </c>
      <c r="W36" s="23">
        <f t="shared" si="17"/>
        <v>6.2</v>
      </c>
      <c r="X36" s="23">
        <f t="shared" si="18"/>
        <v>6.166666666666667</v>
      </c>
      <c r="Y36" s="23">
        <f t="shared" si="19"/>
        <v>6.1333333333333337</v>
      </c>
      <c r="Z36" s="23">
        <f t="shared" si="20"/>
        <v>6.1</v>
      </c>
      <c r="AA36" s="23">
        <f t="shared" si="21"/>
        <v>6.0666666666666664</v>
      </c>
      <c r="AB36" s="23">
        <f t="shared" si="22"/>
        <v>6.0333333333333332</v>
      </c>
      <c r="AC36" s="23">
        <f t="shared" si="23"/>
        <v>6</v>
      </c>
      <c r="AD36" s="23">
        <f t="shared" si="24"/>
        <v>5.9666666666666668</v>
      </c>
      <c r="AE36" s="23">
        <f t="shared" si="25"/>
        <v>5.9333333333333336</v>
      </c>
      <c r="AF36" s="23">
        <f t="shared" si="26"/>
        <v>5.9</v>
      </c>
      <c r="AG36" s="23">
        <f t="shared" si="27"/>
        <v>5.8666666666666663</v>
      </c>
      <c r="AH36" s="23">
        <f t="shared" si="28"/>
        <v>5.833333333333333</v>
      </c>
      <c r="AI36" s="23">
        <f t="shared" si="29"/>
        <v>5.8</v>
      </c>
      <c r="AJ36" s="24" t="str">
        <f t="shared" si="32"/>
        <v>1,7,29,203</v>
      </c>
      <c r="AK36" s="10"/>
      <c r="AL36" s="10"/>
      <c r="AM36" s="10"/>
      <c r="AN36" s="10"/>
      <c r="AO36" s="10"/>
      <c r="AP36" s="10"/>
      <c r="AQ36" s="10"/>
    </row>
    <row r="37" spans="1:43" x14ac:dyDescent="0.45">
      <c r="A37" s="11"/>
      <c r="B37" s="8"/>
      <c r="C37" s="48" t="s">
        <v>5</v>
      </c>
      <c r="D37" s="8"/>
      <c r="E37" s="9"/>
      <c r="F37" s="9"/>
      <c r="G37" s="9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10"/>
      <c r="AL37" s="10"/>
      <c r="AM37" s="10"/>
      <c r="AN37" s="10"/>
      <c r="AO37" s="10"/>
      <c r="AP37" s="10"/>
      <c r="AQ37" s="10"/>
    </row>
    <row r="38" spans="1:43" x14ac:dyDescent="0.45">
      <c r="A38" s="11"/>
      <c r="B38" s="8"/>
      <c r="C38" s="23">
        <f>(D38-0)/30</f>
        <v>1</v>
      </c>
      <c r="D38" s="8">
        <v>30</v>
      </c>
      <c r="E38" s="9">
        <f>D38*$E$6</f>
        <v>210</v>
      </c>
      <c r="F38" s="23">
        <f>(E38-0)/30</f>
        <v>7</v>
      </c>
      <c r="G38" s="23">
        <f t="shared" ref="G38" si="33">(E38-1)/30</f>
        <v>6.9666666666666668</v>
      </c>
      <c r="H38" s="23">
        <f t="shared" ref="H38" si="34">(E38-2)/30</f>
        <v>6.9333333333333336</v>
      </c>
      <c r="I38" s="23">
        <f t="shared" ref="I38" si="35">(E38-3)/30</f>
        <v>6.9</v>
      </c>
      <c r="J38" s="23">
        <f t="shared" ref="J38" si="36">(E38-4)/30</f>
        <v>6.8666666666666663</v>
      </c>
      <c r="K38" s="23">
        <f t="shared" ref="K38" si="37">(E38-5)/30</f>
        <v>6.833333333333333</v>
      </c>
      <c r="L38" s="23">
        <f t="shared" si="1"/>
        <v>6.8</v>
      </c>
      <c r="M38" s="23">
        <f t="shared" si="7"/>
        <v>6.7666666666666666</v>
      </c>
      <c r="N38" s="23">
        <f t="shared" si="8"/>
        <v>6.7333333333333334</v>
      </c>
      <c r="O38" s="23">
        <f t="shared" si="9"/>
        <v>6.7</v>
      </c>
      <c r="P38" s="23">
        <f t="shared" si="10"/>
        <v>6.666666666666667</v>
      </c>
      <c r="Q38" s="23">
        <f t="shared" si="11"/>
        <v>6.6333333333333337</v>
      </c>
      <c r="R38" s="23">
        <f t="shared" si="12"/>
        <v>6.6</v>
      </c>
      <c r="S38" s="23">
        <f t="shared" si="13"/>
        <v>6.5666666666666664</v>
      </c>
      <c r="T38" s="23">
        <f t="shared" si="14"/>
        <v>6.5333333333333332</v>
      </c>
      <c r="U38" s="23">
        <f t="shared" si="15"/>
        <v>6.5</v>
      </c>
      <c r="V38" s="23">
        <f t="shared" si="16"/>
        <v>6.4666666666666668</v>
      </c>
      <c r="W38" s="23">
        <f t="shared" si="17"/>
        <v>6.4333333333333336</v>
      </c>
      <c r="X38" s="23">
        <f t="shared" si="18"/>
        <v>6.4</v>
      </c>
      <c r="Y38" s="23">
        <f t="shared" si="19"/>
        <v>6.3666666666666663</v>
      </c>
      <c r="Z38" s="23">
        <f t="shared" si="20"/>
        <v>6.333333333333333</v>
      </c>
      <c r="AA38" s="23">
        <f t="shared" si="21"/>
        <v>6.3</v>
      </c>
      <c r="AB38" s="23">
        <f t="shared" si="22"/>
        <v>6.2666666666666666</v>
      </c>
      <c r="AC38" s="23">
        <f t="shared" si="23"/>
        <v>6.2333333333333334</v>
      </c>
      <c r="AD38" s="23">
        <f t="shared" si="24"/>
        <v>6.2</v>
      </c>
      <c r="AE38" s="23">
        <f t="shared" si="25"/>
        <v>6.166666666666667</v>
      </c>
      <c r="AF38" s="23">
        <f t="shared" si="26"/>
        <v>6.1333333333333337</v>
      </c>
      <c r="AG38" s="23">
        <f t="shared" si="27"/>
        <v>6.1</v>
      </c>
      <c r="AH38" s="23">
        <f t="shared" si="28"/>
        <v>6.0666666666666664</v>
      </c>
      <c r="AI38" s="23">
        <f t="shared" si="29"/>
        <v>6.0333333333333332</v>
      </c>
      <c r="AJ38" s="24" t="str">
        <f>FactorNumber(E38)</f>
        <v>1,2,3,5,6,7,10,14,15,21,30,35,42,70,105,210</v>
      </c>
      <c r="AK38" s="10"/>
      <c r="AL38" s="10"/>
      <c r="AM38" s="10"/>
      <c r="AN38" s="10"/>
      <c r="AO38" s="10"/>
      <c r="AP38" s="10"/>
      <c r="AQ38" s="10"/>
    </row>
    <row r="39" spans="1:43" x14ac:dyDescent="0.45">
      <c r="A39" s="11"/>
      <c r="B39" s="8"/>
      <c r="C39" s="8"/>
      <c r="D39" s="8">
        <v>31</v>
      </c>
      <c r="E39" s="9">
        <f t="shared" si="30"/>
        <v>217</v>
      </c>
      <c r="F39" s="23">
        <f t="shared" ref="F39:F67" si="38">(E39-0)/30</f>
        <v>7.2333333333333334</v>
      </c>
      <c r="G39" s="23">
        <f t="shared" ref="G39:G104" si="39">(E39-1)/30</f>
        <v>7.2</v>
      </c>
      <c r="H39" s="23">
        <f t="shared" ref="H39:H104" si="40">(E39-2)/30</f>
        <v>7.166666666666667</v>
      </c>
      <c r="I39" s="23">
        <f t="shared" ref="I39:I104" si="41">(E39-3)/30</f>
        <v>7.1333333333333337</v>
      </c>
      <c r="J39" s="23">
        <f t="shared" ref="J39:J104" si="42">(E39-4)/30</f>
        <v>7.1</v>
      </c>
      <c r="K39" s="23">
        <f t="shared" ref="K39:K104" si="43">(E39-5)/30</f>
        <v>7.0666666666666664</v>
      </c>
      <c r="L39" s="23">
        <f t="shared" si="1"/>
        <v>7.0333333333333332</v>
      </c>
      <c r="M39" s="23">
        <f t="shared" si="7"/>
        <v>7</v>
      </c>
      <c r="N39" s="23">
        <f t="shared" si="8"/>
        <v>6.9666666666666668</v>
      </c>
      <c r="O39" s="23">
        <f t="shared" si="9"/>
        <v>6.9333333333333336</v>
      </c>
      <c r="P39" s="23">
        <f t="shared" si="10"/>
        <v>6.9</v>
      </c>
      <c r="Q39" s="23">
        <f t="shared" si="11"/>
        <v>6.8666666666666663</v>
      </c>
      <c r="R39" s="23">
        <f t="shared" si="12"/>
        <v>6.833333333333333</v>
      </c>
      <c r="S39" s="23">
        <f t="shared" si="13"/>
        <v>6.8</v>
      </c>
      <c r="T39" s="23">
        <f t="shared" si="14"/>
        <v>6.7666666666666666</v>
      </c>
      <c r="U39" s="23">
        <f t="shared" si="15"/>
        <v>6.7333333333333334</v>
      </c>
      <c r="V39" s="23">
        <f t="shared" si="16"/>
        <v>6.7</v>
      </c>
      <c r="W39" s="23">
        <f t="shared" si="17"/>
        <v>6.666666666666667</v>
      </c>
      <c r="X39" s="23">
        <f t="shared" si="18"/>
        <v>6.6333333333333337</v>
      </c>
      <c r="Y39" s="23">
        <f t="shared" si="19"/>
        <v>6.6</v>
      </c>
      <c r="Z39" s="23">
        <f t="shared" si="20"/>
        <v>6.5666666666666664</v>
      </c>
      <c r="AA39" s="23">
        <f t="shared" si="21"/>
        <v>6.5333333333333332</v>
      </c>
      <c r="AB39" s="23">
        <f t="shared" si="22"/>
        <v>6.5</v>
      </c>
      <c r="AC39" s="23">
        <f t="shared" si="23"/>
        <v>6.4666666666666668</v>
      </c>
      <c r="AD39" s="23">
        <f t="shared" si="24"/>
        <v>6.4333333333333336</v>
      </c>
      <c r="AE39" s="23">
        <f t="shared" si="25"/>
        <v>6.4</v>
      </c>
      <c r="AF39" s="23">
        <f t="shared" si="26"/>
        <v>6.3666666666666663</v>
      </c>
      <c r="AG39" s="23">
        <f t="shared" si="27"/>
        <v>6.333333333333333</v>
      </c>
      <c r="AH39" s="23">
        <f t="shared" si="28"/>
        <v>6.3</v>
      </c>
      <c r="AI39" s="23">
        <f t="shared" si="29"/>
        <v>6.2666666666666666</v>
      </c>
      <c r="AJ39" s="24" t="str">
        <f t="shared" ref="AJ39:AJ104" si="44">FactorNumber(E39)</f>
        <v>1,7,31,217</v>
      </c>
      <c r="AK39" s="10"/>
      <c r="AL39" s="10"/>
      <c r="AM39" s="10"/>
      <c r="AN39" s="10"/>
      <c r="AO39" s="10"/>
      <c r="AP39" s="10"/>
      <c r="AQ39" s="10"/>
    </row>
    <row r="40" spans="1:43" x14ac:dyDescent="0.45">
      <c r="A40" s="11"/>
      <c r="B40" s="8"/>
      <c r="C40" s="8"/>
      <c r="D40" s="8">
        <v>32</v>
      </c>
      <c r="E40" s="9">
        <f t="shared" si="30"/>
        <v>224</v>
      </c>
      <c r="F40" s="23">
        <f t="shared" si="38"/>
        <v>7.4666666666666668</v>
      </c>
      <c r="G40" s="23">
        <f t="shared" si="39"/>
        <v>7.4333333333333336</v>
      </c>
      <c r="H40" s="23">
        <f t="shared" si="40"/>
        <v>7.4</v>
      </c>
      <c r="I40" s="23">
        <f t="shared" si="41"/>
        <v>7.3666666666666663</v>
      </c>
      <c r="J40" s="23">
        <f t="shared" si="42"/>
        <v>7.333333333333333</v>
      </c>
      <c r="K40" s="23">
        <f t="shared" si="43"/>
        <v>7.3</v>
      </c>
      <c r="L40" s="23">
        <f t="shared" si="1"/>
        <v>7.2666666666666666</v>
      </c>
      <c r="M40" s="23">
        <f t="shared" si="7"/>
        <v>7.2333333333333334</v>
      </c>
      <c r="N40" s="23">
        <f t="shared" si="8"/>
        <v>7.2</v>
      </c>
      <c r="O40" s="23">
        <f t="shared" si="9"/>
        <v>7.166666666666667</v>
      </c>
      <c r="P40" s="23">
        <f t="shared" si="10"/>
        <v>7.1333333333333337</v>
      </c>
      <c r="Q40" s="23">
        <f t="shared" si="11"/>
        <v>7.1</v>
      </c>
      <c r="R40" s="23">
        <f t="shared" si="12"/>
        <v>7.0666666666666664</v>
      </c>
      <c r="S40" s="23">
        <f t="shared" si="13"/>
        <v>7.0333333333333332</v>
      </c>
      <c r="T40" s="23">
        <f t="shared" si="14"/>
        <v>7</v>
      </c>
      <c r="U40" s="23">
        <f t="shared" si="15"/>
        <v>6.9666666666666668</v>
      </c>
      <c r="V40" s="23">
        <f t="shared" si="16"/>
        <v>6.9333333333333336</v>
      </c>
      <c r="W40" s="23">
        <f t="shared" si="17"/>
        <v>6.9</v>
      </c>
      <c r="X40" s="23">
        <f t="shared" si="18"/>
        <v>6.8666666666666663</v>
      </c>
      <c r="Y40" s="23">
        <f t="shared" si="19"/>
        <v>6.833333333333333</v>
      </c>
      <c r="Z40" s="23">
        <f t="shared" si="20"/>
        <v>6.8</v>
      </c>
      <c r="AA40" s="23">
        <f t="shared" si="21"/>
        <v>6.7666666666666666</v>
      </c>
      <c r="AB40" s="23">
        <f t="shared" si="22"/>
        <v>6.7333333333333334</v>
      </c>
      <c r="AC40" s="23">
        <f t="shared" si="23"/>
        <v>6.7</v>
      </c>
      <c r="AD40" s="23">
        <f t="shared" si="24"/>
        <v>6.666666666666667</v>
      </c>
      <c r="AE40" s="23">
        <f t="shared" si="25"/>
        <v>6.6333333333333337</v>
      </c>
      <c r="AF40" s="23">
        <f t="shared" si="26"/>
        <v>6.6</v>
      </c>
      <c r="AG40" s="23">
        <f t="shared" si="27"/>
        <v>6.5666666666666664</v>
      </c>
      <c r="AH40" s="23">
        <f t="shared" si="28"/>
        <v>6.5333333333333332</v>
      </c>
      <c r="AI40" s="23">
        <f t="shared" si="29"/>
        <v>6.5</v>
      </c>
      <c r="AJ40" s="24" t="str">
        <f t="shared" si="44"/>
        <v>1,2,4,7,8,14,16,28,32,56,112,224</v>
      </c>
      <c r="AK40" s="10"/>
      <c r="AL40" s="10"/>
      <c r="AM40" s="10"/>
      <c r="AN40" s="10"/>
      <c r="AO40" s="10"/>
      <c r="AP40" s="10"/>
      <c r="AQ40" s="10"/>
    </row>
    <row r="41" spans="1:43" x14ac:dyDescent="0.45">
      <c r="A41" s="11"/>
      <c r="B41" s="8"/>
      <c r="C41" s="8"/>
      <c r="D41" s="8">
        <v>33</v>
      </c>
      <c r="E41" s="9">
        <f t="shared" si="30"/>
        <v>231</v>
      </c>
      <c r="F41" s="23">
        <f t="shared" si="38"/>
        <v>7.7</v>
      </c>
      <c r="G41" s="23">
        <f t="shared" si="39"/>
        <v>7.666666666666667</v>
      </c>
      <c r="H41" s="23">
        <f t="shared" si="40"/>
        <v>7.6333333333333337</v>
      </c>
      <c r="I41" s="23">
        <f t="shared" si="41"/>
        <v>7.6</v>
      </c>
      <c r="J41" s="23">
        <f t="shared" si="42"/>
        <v>7.5666666666666664</v>
      </c>
      <c r="K41" s="23">
        <f t="shared" si="43"/>
        <v>7.5333333333333332</v>
      </c>
      <c r="L41" s="23">
        <f t="shared" si="1"/>
        <v>7.5</v>
      </c>
      <c r="M41" s="23">
        <f t="shared" si="7"/>
        <v>7.4666666666666668</v>
      </c>
      <c r="N41" s="23">
        <f t="shared" si="8"/>
        <v>7.4333333333333336</v>
      </c>
      <c r="O41" s="23">
        <f t="shared" si="9"/>
        <v>7.4</v>
      </c>
      <c r="P41" s="23">
        <f t="shared" si="10"/>
        <v>7.3666666666666663</v>
      </c>
      <c r="Q41" s="23">
        <f t="shared" si="11"/>
        <v>7.333333333333333</v>
      </c>
      <c r="R41" s="23">
        <f t="shared" si="12"/>
        <v>7.3</v>
      </c>
      <c r="S41" s="23">
        <f t="shared" si="13"/>
        <v>7.2666666666666666</v>
      </c>
      <c r="T41" s="23">
        <f t="shared" si="14"/>
        <v>7.2333333333333334</v>
      </c>
      <c r="U41" s="23">
        <f t="shared" si="15"/>
        <v>7.2</v>
      </c>
      <c r="V41" s="23">
        <f t="shared" si="16"/>
        <v>7.166666666666667</v>
      </c>
      <c r="W41" s="23">
        <f t="shared" si="17"/>
        <v>7.1333333333333337</v>
      </c>
      <c r="X41" s="23">
        <f t="shared" si="18"/>
        <v>7.1</v>
      </c>
      <c r="Y41" s="23">
        <f t="shared" si="19"/>
        <v>7.0666666666666664</v>
      </c>
      <c r="Z41" s="23">
        <f t="shared" si="20"/>
        <v>7.0333333333333332</v>
      </c>
      <c r="AA41" s="23">
        <f t="shared" si="21"/>
        <v>7</v>
      </c>
      <c r="AB41" s="23">
        <f t="shared" si="22"/>
        <v>6.9666666666666668</v>
      </c>
      <c r="AC41" s="23">
        <f t="shared" si="23"/>
        <v>6.9333333333333336</v>
      </c>
      <c r="AD41" s="23">
        <f t="shared" si="24"/>
        <v>6.9</v>
      </c>
      <c r="AE41" s="23">
        <f t="shared" si="25"/>
        <v>6.8666666666666663</v>
      </c>
      <c r="AF41" s="23">
        <f t="shared" si="26"/>
        <v>6.833333333333333</v>
      </c>
      <c r="AG41" s="23">
        <f t="shared" si="27"/>
        <v>6.8</v>
      </c>
      <c r="AH41" s="23">
        <f t="shared" si="28"/>
        <v>6.7666666666666666</v>
      </c>
      <c r="AI41" s="23">
        <f t="shared" si="29"/>
        <v>6.7333333333333334</v>
      </c>
      <c r="AJ41" s="24" t="str">
        <f t="shared" si="44"/>
        <v>1,3,7,11,21,33,77,231</v>
      </c>
      <c r="AK41" s="10"/>
      <c r="AL41" s="10"/>
      <c r="AM41" s="10"/>
      <c r="AN41" s="10"/>
      <c r="AO41" s="10"/>
      <c r="AP41" s="10"/>
      <c r="AQ41" s="10"/>
    </row>
    <row r="42" spans="1:43" x14ac:dyDescent="0.45">
      <c r="A42" s="11"/>
      <c r="B42" s="8"/>
      <c r="C42" s="8"/>
      <c r="D42" s="8">
        <v>34</v>
      </c>
      <c r="E42" s="9">
        <f t="shared" si="30"/>
        <v>238</v>
      </c>
      <c r="F42" s="23">
        <f t="shared" si="38"/>
        <v>7.9333333333333336</v>
      </c>
      <c r="G42" s="23">
        <f t="shared" si="39"/>
        <v>7.9</v>
      </c>
      <c r="H42" s="23">
        <f t="shared" si="40"/>
        <v>7.8666666666666663</v>
      </c>
      <c r="I42" s="23">
        <f t="shared" si="41"/>
        <v>7.833333333333333</v>
      </c>
      <c r="J42" s="23">
        <f t="shared" si="42"/>
        <v>7.8</v>
      </c>
      <c r="K42" s="23">
        <f t="shared" si="43"/>
        <v>7.7666666666666666</v>
      </c>
      <c r="L42" s="23">
        <f t="shared" si="1"/>
        <v>7.7333333333333334</v>
      </c>
      <c r="M42" s="23">
        <f t="shared" si="7"/>
        <v>7.7</v>
      </c>
      <c r="N42" s="23">
        <f t="shared" si="8"/>
        <v>7.666666666666667</v>
      </c>
      <c r="O42" s="23">
        <f t="shared" si="9"/>
        <v>7.6333333333333337</v>
      </c>
      <c r="P42" s="23">
        <f t="shared" si="10"/>
        <v>7.6</v>
      </c>
      <c r="Q42" s="23">
        <f t="shared" si="11"/>
        <v>7.5666666666666664</v>
      </c>
      <c r="R42" s="23">
        <f t="shared" si="12"/>
        <v>7.5333333333333332</v>
      </c>
      <c r="S42" s="23">
        <f t="shared" si="13"/>
        <v>7.5</v>
      </c>
      <c r="T42" s="23">
        <f t="shared" si="14"/>
        <v>7.4666666666666668</v>
      </c>
      <c r="U42" s="23">
        <f t="shared" si="15"/>
        <v>7.4333333333333336</v>
      </c>
      <c r="V42" s="23">
        <f t="shared" si="16"/>
        <v>7.4</v>
      </c>
      <c r="W42" s="23">
        <f t="shared" si="17"/>
        <v>7.3666666666666663</v>
      </c>
      <c r="X42" s="23">
        <f t="shared" si="18"/>
        <v>7.333333333333333</v>
      </c>
      <c r="Y42" s="23">
        <f t="shared" si="19"/>
        <v>7.3</v>
      </c>
      <c r="Z42" s="23">
        <f t="shared" si="20"/>
        <v>7.2666666666666666</v>
      </c>
      <c r="AA42" s="23">
        <f t="shared" si="21"/>
        <v>7.2333333333333334</v>
      </c>
      <c r="AB42" s="23">
        <f t="shared" si="22"/>
        <v>7.2</v>
      </c>
      <c r="AC42" s="23">
        <f t="shared" si="23"/>
        <v>7.166666666666667</v>
      </c>
      <c r="AD42" s="23">
        <f t="shared" si="24"/>
        <v>7.1333333333333337</v>
      </c>
      <c r="AE42" s="23">
        <f t="shared" si="25"/>
        <v>7.1</v>
      </c>
      <c r="AF42" s="23">
        <f t="shared" si="26"/>
        <v>7.0666666666666664</v>
      </c>
      <c r="AG42" s="23">
        <f t="shared" si="27"/>
        <v>7.0333333333333332</v>
      </c>
      <c r="AH42" s="23">
        <f t="shared" si="28"/>
        <v>7</v>
      </c>
      <c r="AI42" s="23">
        <f t="shared" si="29"/>
        <v>6.9666666666666668</v>
      </c>
      <c r="AJ42" s="24" t="str">
        <f t="shared" si="44"/>
        <v>1,2,7,14,17,34,119,238</v>
      </c>
      <c r="AK42" s="10"/>
      <c r="AL42" s="10"/>
      <c r="AM42" s="10"/>
      <c r="AN42" s="10"/>
      <c r="AO42" s="10"/>
      <c r="AP42" s="10"/>
      <c r="AQ42" s="10"/>
    </row>
    <row r="43" spans="1:43" x14ac:dyDescent="0.45">
      <c r="A43" s="11"/>
      <c r="B43" s="8"/>
      <c r="C43" s="8"/>
      <c r="D43" s="8">
        <v>35</v>
      </c>
      <c r="E43" s="9">
        <f t="shared" si="30"/>
        <v>245</v>
      </c>
      <c r="F43" s="23">
        <f t="shared" si="38"/>
        <v>8.1666666666666661</v>
      </c>
      <c r="G43" s="23">
        <f t="shared" si="39"/>
        <v>8.1333333333333329</v>
      </c>
      <c r="H43" s="23">
        <f t="shared" si="40"/>
        <v>8.1</v>
      </c>
      <c r="I43" s="23">
        <f t="shared" si="41"/>
        <v>8.0666666666666664</v>
      </c>
      <c r="J43" s="23">
        <f t="shared" si="42"/>
        <v>8.0333333333333332</v>
      </c>
      <c r="K43" s="23">
        <f t="shared" si="43"/>
        <v>8</v>
      </c>
      <c r="L43" s="23">
        <f t="shared" si="1"/>
        <v>7.9666666666666668</v>
      </c>
      <c r="M43" s="23">
        <f t="shared" si="7"/>
        <v>7.9333333333333336</v>
      </c>
      <c r="N43" s="23">
        <f t="shared" si="8"/>
        <v>7.9</v>
      </c>
      <c r="O43" s="23">
        <f t="shared" si="9"/>
        <v>7.8666666666666663</v>
      </c>
      <c r="P43" s="23">
        <f t="shared" si="10"/>
        <v>7.833333333333333</v>
      </c>
      <c r="Q43" s="23">
        <f t="shared" si="11"/>
        <v>7.8</v>
      </c>
      <c r="R43" s="23">
        <f t="shared" si="12"/>
        <v>7.7666666666666666</v>
      </c>
      <c r="S43" s="23">
        <f t="shared" si="13"/>
        <v>7.7333333333333334</v>
      </c>
      <c r="T43" s="23">
        <f t="shared" si="14"/>
        <v>7.7</v>
      </c>
      <c r="U43" s="23">
        <f t="shared" si="15"/>
        <v>7.666666666666667</v>
      </c>
      <c r="V43" s="23">
        <f t="shared" si="16"/>
        <v>7.6333333333333337</v>
      </c>
      <c r="W43" s="23">
        <f t="shared" si="17"/>
        <v>7.6</v>
      </c>
      <c r="X43" s="23">
        <f t="shared" si="18"/>
        <v>7.5666666666666664</v>
      </c>
      <c r="Y43" s="23">
        <f t="shared" si="19"/>
        <v>7.5333333333333332</v>
      </c>
      <c r="Z43" s="23">
        <f t="shared" si="20"/>
        <v>7.5</v>
      </c>
      <c r="AA43" s="23">
        <f t="shared" si="21"/>
        <v>7.4666666666666668</v>
      </c>
      <c r="AB43" s="23">
        <f t="shared" si="22"/>
        <v>7.4333333333333336</v>
      </c>
      <c r="AC43" s="23">
        <f t="shared" si="23"/>
        <v>7.4</v>
      </c>
      <c r="AD43" s="23">
        <f t="shared" si="24"/>
        <v>7.3666666666666663</v>
      </c>
      <c r="AE43" s="23">
        <f t="shared" si="25"/>
        <v>7.333333333333333</v>
      </c>
      <c r="AF43" s="23">
        <f t="shared" si="26"/>
        <v>7.3</v>
      </c>
      <c r="AG43" s="23">
        <f t="shared" si="27"/>
        <v>7.2666666666666666</v>
      </c>
      <c r="AH43" s="23">
        <f t="shared" si="28"/>
        <v>7.2333333333333334</v>
      </c>
      <c r="AI43" s="23">
        <f t="shared" si="29"/>
        <v>7.2</v>
      </c>
      <c r="AJ43" s="24" t="str">
        <f t="shared" si="44"/>
        <v>1,5,7,35,49,245</v>
      </c>
      <c r="AK43" s="10"/>
      <c r="AL43" s="10"/>
      <c r="AM43" s="10"/>
      <c r="AN43" s="10"/>
      <c r="AO43" s="10"/>
      <c r="AP43" s="10"/>
      <c r="AQ43" s="10"/>
    </row>
    <row r="44" spans="1:43" x14ac:dyDescent="0.45">
      <c r="A44" s="11"/>
      <c r="B44" s="8"/>
      <c r="C44" s="8"/>
      <c r="D44" s="8">
        <v>36</v>
      </c>
      <c r="E44" s="9">
        <f t="shared" si="30"/>
        <v>252</v>
      </c>
      <c r="F44" s="23">
        <f t="shared" si="38"/>
        <v>8.4</v>
      </c>
      <c r="G44" s="23">
        <f t="shared" si="39"/>
        <v>8.3666666666666671</v>
      </c>
      <c r="H44" s="23">
        <f t="shared" si="40"/>
        <v>8.3333333333333339</v>
      </c>
      <c r="I44" s="23">
        <f t="shared" si="41"/>
        <v>8.3000000000000007</v>
      </c>
      <c r="J44" s="23">
        <f t="shared" si="42"/>
        <v>8.2666666666666675</v>
      </c>
      <c r="K44" s="23">
        <f t="shared" si="43"/>
        <v>8.2333333333333325</v>
      </c>
      <c r="L44" s="23">
        <f t="shared" si="1"/>
        <v>8.1999999999999993</v>
      </c>
      <c r="M44" s="23">
        <f t="shared" si="7"/>
        <v>8.1666666666666661</v>
      </c>
      <c r="N44" s="23">
        <f t="shared" si="8"/>
        <v>8.1333333333333329</v>
      </c>
      <c r="O44" s="23">
        <f t="shared" si="9"/>
        <v>8.1</v>
      </c>
      <c r="P44" s="23">
        <f t="shared" si="10"/>
        <v>8.0666666666666664</v>
      </c>
      <c r="Q44" s="23">
        <f t="shared" si="11"/>
        <v>8.0333333333333332</v>
      </c>
      <c r="R44" s="23">
        <f t="shared" si="12"/>
        <v>8</v>
      </c>
      <c r="S44" s="23">
        <f t="shared" si="13"/>
        <v>7.9666666666666668</v>
      </c>
      <c r="T44" s="23">
        <f t="shared" si="14"/>
        <v>7.9333333333333336</v>
      </c>
      <c r="U44" s="23">
        <f t="shared" si="15"/>
        <v>7.9</v>
      </c>
      <c r="V44" s="23">
        <f t="shared" si="16"/>
        <v>7.8666666666666663</v>
      </c>
      <c r="W44" s="23">
        <f t="shared" si="17"/>
        <v>7.833333333333333</v>
      </c>
      <c r="X44" s="23">
        <f t="shared" si="18"/>
        <v>7.8</v>
      </c>
      <c r="Y44" s="23">
        <f t="shared" si="19"/>
        <v>7.7666666666666666</v>
      </c>
      <c r="Z44" s="23">
        <f t="shared" si="20"/>
        <v>7.7333333333333334</v>
      </c>
      <c r="AA44" s="23">
        <f t="shared" si="21"/>
        <v>7.7</v>
      </c>
      <c r="AB44" s="23">
        <f t="shared" si="22"/>
        <v>7.666666666666667</v>
      </c>
      <c r="AC44" s="23">
        <f t="shared" si="23"/>
        <v>7.6333333333333337</v>
      </c>
      <c r="AD44" s="23">
        <f t="shared" si="24"/>
        <v>7.6</v>
      </c>
      <c r="AE44" s="23">
        <f t="shared" si="25"/>
        <v>7.5666666666666664</v>
      </c>
      <c r="AF44" s="23">
        <f t="shared" si="26"/>
        <v>7.5333333333333332</v>
      </c>
      <c r="AG44" s="23">
        <f t="shared" si="27"/>
        <v>7.5</v>
      </c>
      <c r="AH44" s="23">
        <f t="shared" si="28"/>
        <v>7.4666666666666668</v>
      </c>
      <c r="AI44" s="23">
        <f t="shared" si="29"/>
        <v>7.4333333333333336</v>
      </c>
      <c r="AJ44" s="24" t="str">
        <f t="shared" si="44"/>
        <v>1,2,3,4,6,7,9,12,14,18,21,28,36,42,63,84,126,252</v>
      </c>
      <c r="AK44" s="10"/>
      <c r="AL44" s="10"/>
      <c r="AM44" s="10"/>
      <c r="AN44" s="10"/>
      <c r="AO44" s="10"/>
      <c r="AP44" s="10"/>
      <c r="AQ44" s="10"/>
    </row>
    <row r="45" spans="1:43" x14ac:dyDescent="0.45">
      <c r="A45" s="11"/>
      <c r="B45" s="8"/>
      <c r="C45" s="8"/>
      <c r="D45" s="8">
        <v>37</v>
      </c>
      <c r="E45" s="9">
        <f t="shared" si="30"/>
        <v>259</v>
      </c>
      <c r="F45" s="23">
        <f t="shared" si="38"/>
        <v>8.6333333333333329</v>
      </c>
      <c r="G45" s="23">
        <f t="shared" si="39"/>
        <v>8.6</v>
      </c>
      <c r="H45" s="23">
        <f t="shared" si="40"/>
        <v>8.5666666666666664</v>
      </c>
      <c r="I45" s="23">
        <f t="shared" si="41"/>
        <v>8.5333333333333332</v>
      </c>
      <c r="J45" s="23">
        <f t="shared" si="42"/>
        <v>8.5</v>
      </c>
      <c r="K45" s="23">
        <f t="shared" si="43"/>
        <v>8.4666666666666668</v>
      </c>
      <c r="L45" s="23">
        <f t="shared" si="1"/>
        <v>8.4333333333333336</v>
      </c>
      <c r="M45" s="23">
        <f t="shared" si="7"/>
        <v>8.4</v>
      </c>
      <c r="N45" s="23">
        <f t="shared" si="8"/>
        <v>8.3666666666666671</v>
      </c>
      <c r="O45" s="23">
        <f t="shared" si="9"/>
        <v>8.3333333333333339</v>
      </c>
      <c r="P45" s="23">
        <f t="shared" si="10"/>
        <v>8.3000000000000007</v>
      </c>
      <c r="Q45" s="23">
        <f t="shared" si="11"/>
        <v>8.2666666666666675</v>
      </c>
      <c r="R45" s="23">
        <f t="shared" si="12"/>
        <v>8.2333333333333325</v>
      </c>
      <c r="S45" s="23">
        <f t="shared" si="13"/>
        <v>8.1999999999999993</v>
      </c>
      <c r="T45" s="23">
        <f t="shared" si="14"/>
        <v>8.1666666666666661</v>
      </c>
      <c r="U45" s="23">
        <f t="shared" si="15"/>
        <v>8.1333333333333329</v>
      </c>
      <c r="V45" s="23">
        <f t="shared" si="16"/>
        <v>8.1</v>
      </c>
      <c r="W45" s="23">
        <f t="shared" si="17"/>
        <v>8.0666666666666664</v>
      </c>
      <c r="X45" s="23">
        <f t="shared" si="18"/>
        <v>8.0333333333333332</v>
      </c>
      <c r="Y45" s="23">
        <f t="shared" si="19"/>
        <v>8</v>
      </c>
      <c r="Z45" s="23">
        <f t="shared" si="20"/>
        <v>7.9666666666666668</v>
      </c>
      <c r="AA45" s="23">
        <f t="shared" si="21"/>
        <v>7.9333333333333336</v>
      </c>
      <c r="AB45" s="23">
        <f t="shared" si="22"/>
        <v>7.9</v>
      </c>
      <c r="AC45" s="23">
        <f t="shared" si="23"/>
        <v>7.8666666666666663</v>
      </c>
      <c r="AD45" s="23">
        <f t="shared" si="24"/>
        <v>7.833333333333333</v>
      </c>
      <c r="AE45" s="23">
        <f t="shared" si="25"/>
        <v>7.8</v>
      </c>
      <c r="AF45" s="23">
        <f t="shared" si="26"/>
        <v>7.7666666666666666</v>
      </c>
      <c r="AG45" s="23">
        <f t="shared" si="27"/>
        <v>7.7333333333333334</v>
      </c>
      <c r="AH45" s="23">
        <f t="shared" si="28"/>
        <v>7.7</v>
      </c>
      <c r="AI45" s="23">
        <f t="shared" si="29"/>
        <v>7.666666666666667</v>
      </c>
      <c r="AJ45" s="24" t="str">
        <f t="shared" si="44"/>
        <v>1,7,37,259</v>
      </c>
      <c r="AK45" s="10"/>
      <c r="AL45" s="10"/>
      <c r="AM45" s="10"/>
      <c r="AN45" s="10"/>
      <c r="AO45" s="10"/>
      <c r="AP45" s="10"/>
      <c r="AQ45" s="10"/>
    </row>
    <row r="46" spans="1:43" x14ac:dyDescent="0.45">
      <c r="A46" s="11"/>
      <c r="B46" s="8"/>
      <c r="C46" s="8"/>
      <c r="D46" s="8">
        <v>38</v>
      </c>
      <c r="E46" s="9">
        <f t="shared" si="30"/>
        <v>266</v>
      </c>
      <c r="F46" s="23">
        <f t="shared" si="38"/>
        <v>8.8666666666666671</v>
      </c>
      <c r="G46" s="23">
        <f t="shared" si="39"/>
        <v>8.8333333333333339</v>
      </c>
      <c r="H46" s="23">
        <f t="shared" si="40"/>
        <v>8.8000000000000007</v>
      </c>
      <c r="I46" s="23">
        <f t="shared" si="41"/>
        <v>8.7666666666666675</v>
      </c>
      <c r="J46" s="23">
        <f t="shared" si="42"/>
        <v>8.7333333333333325</v>
      </c>
      <c r="K46" s="23">
        <f t="shared" si="43"/>
        <v>8.6999999999999993</v>
      </c>
      <c r="L46" s="23">
        <f t="shared" si="1"/>
        <v>8.6666666666666661</v>
      </c>
      <c r="M46" s="23">
        <f t="shared" si="7"/>
        <v>8.6333333333333329</v>
      </c>
      <c r="N46" s="23">
        <f t="shared" si="8"/>
        <v>8.6</v>
      </c>
      <c r="O46" s="23">
        <f t="shared" si="9"/>
        <v>8.5666666666666664</v>
      </c>
      <c r="P46" s="23">
        <f t="shared" si="10"/>
        <v>8.5333333333333332</v>
      </c>
      <c r="Q46" s="23">
        <f t="shared" si="11"/>
        <v>8.5</v>
      </c>
      <c r="R46" s="23">
        <f t="shared" si="12"/>
        <v>8.4666666666666668</v>
      </c>
      <c r="S46" s="23">
        <f t="shared" si="13"/>
        <v>8.4333333333333336</v>
      </c>
      <c r="T46" s="23">
        <f t="shared" si="14"/>
        <v>8.4</v>
      </c>
      <c r="U46" s="23">
        <f t="shared" si="15"/>
        <v>8.3666666666666671</v>
      </c>
      <c r="V46" s="23">
        <f t="shared" si="16"/>
        <v>8.3333333333333339</v>
      </c>
      <c r="W46" s="23">
        <f t="shared" si="17"/>
        <v>8.3000000000000007</v>
      </c>
      <c r="X46" s="23">
        <f t="shared" si="18"/>
        <v>8.2666666666666675</v>
      </c>
      <c r="Y46" s="23">
        <f t="shared" si="19"/>
        <v>8.2333333333333325</v>
      </c>
      <c r="Z46" s="23">
        <f t="shared" si="20"/>
        <v>8.1999999999999993</v>
      </c>
      <c r="AA46" s="23">
        <f t="shared" si="21"/>
        <v>8.1666666666666661</v>
      </c>
      <c r="AB46" s="23">
        <f t="shared" si="22"/>
        <v>8.1333333333333329</v>
      </c>
      <c r="AC46" s="23">
        <f t="shared" si="23"/>
        <v>8.1</v>
      </c>
      <c r="AD46" s="23">
        <f t="shared" si="24"/>
        <v>8.0666666666666664</v>
      </c>
      <c r="AE46" s="23">
        <f t="shared" si="25"/>
        <v>8.0333333333333332</v>
      </c>
      <c r="AF46" s="23">
        <f t="shared" si="26"/>
        <v>8</v>
      </c>
      <c r="AG46" s="23">
        <f t="shared" si="27"/>
        <v>7.9666666666666668</v>
      </c>
      <c r="AH46" s="23">
        <f t="shared" si="28"/>
        <v>7.9333333333333336</v>
      </c>
      <c r="AI46" s="23">
        <f t="shared" si="29"/>
        <v>7.9</v>
      </c>
      <c r="AJ46" s="24" t="str">
        <f t="shared" si="44"/>
        <v>1,2,7,14,19,38,133,266</v>
      </c>
      <c r="AK46" s="10"/>
      <c r="AL46" s="10"/>
      <c r="AM46" s="10"/>
      <c r="AN46" s="10"/>
      <c r="AO46" s="10"/>
      <c r="AP46" s="10"/>
      <c r="AQ46" s="10"/>
    </row>
    <row r="47" spans="1:43" x14ac:dyDescent="0.45">
      <c r="A47" s="11"/>
      <c r="B47" s="8"/>
      <c r="C47" s="8"/>
      <c r="D47" s="8">
        <v>39</v>
      </c>
      <c r="E47" s="9">
        <f t="shared" si="30"/>
        <v>273</v>
      </c>
      <c r="F47" s="23">
        <f t="shared" si="38"/>
        <v>9.1</v>
      </c>
      <c r="G47" s="23">
        <f t="shared" si="39"/>
        <v>9.0666666666666664</v>
      </c>
      <c r="H47" s="23">
        <f t="shared" si="40"/>
        <v>9.0333333333333332</v>
      </c>
      <c r="I47" s="23">
        <f t="shared" si="41"/>
        <v>9</v>
      </c>
      <c r="J47" s="23">
        <f t="shared" si="42"/>
        <v>8.9666666666666668</v>
      </c>
      <c r="K47" s="23">
        <f t="shared" si="43"/>
        <v>8.9333333333333336</v>
      </c>
      <c r="L47" s="23">
        <f t="shared" si="1"/>
        <v>8.9</v>
      </c>
      <c r="M47" s="23">
        <f t="shared" si="7"/>
        <v>8.8666666666666671</v>
      </c>
      <c r="N47" s="23">
        <f t="shared" si="8"/>
        <v>8.8333333333333339</v>
      </c>
      <c r="O47" s="23">
        <f t="shared" si="9"/>
        <v>8.8000000000000007</v>
      </c>
      <c r="P47" s="23">
        <f t="shared" si="10"/>
        <v>8.7666666666666675</v>
      </c>
      <c r="Q47" s="23">
        <f t="shared" si="11"/>
        <v>8.7333333333333325</v>
      </c>
      <c r="R47" s="23">
        <f t="shared" si="12"/>
        <v>8.6999999999999993</v>
      </c>
      <c r="S47" s="23">
        <f t="shared" si="13"/>
        <v>8.6666666666666661</v>
      </c>
      <c r="T47" s="23">
        <f t="shared" si="14"/>
        <v>8.6333333333333329</v>
      </c>
      <c r="U47" s="23">
        <f t="shared" si="15"/>
        <v>8.6</v>
      </c>
      <c r="V47" s="23">
        <f t="shared" si="16"/>
        <v>8.5666666666666664</v>
      </c>
      <c r="W47" s="23">
        <f t="shared" si="17"/>
        <v>8.5333333333333332</v>
      </c>
      <c r="X47" s="23">
        <f t="shared" si="18"/>
        <v>8.5</v>
      </c>
      <c r="Y47" s="23">
        <f t="shared" si="19"/>
        <v>8.4666666666666668</v>
      </c>
      <c r="Z47" s="23">
        <f t="shared" si="20"/>
        <v>8.4333333333333336</v>
      </c>
      <c r="AA47" s="23">
        <f t="shared" si="21"/>
        <v>8.4</v>
      </c>
      <c r="AB47" s="23">
        <f t="shared" si="22"/>
        <v>8.3666666666666671</v>
      </c>
      <c r="AC47" s="23">
        <f t="shared" si="23"/>
        <v>8.3333333333333339</v>
      </c>
      <c r="AD47" s="23">
        <f t="shared" si="24"/>
        <v>8.3000000000000007</v>
      </c>
      <c r="AE47" s="23">
        <f t="shared" si="25"/>
        <v>8.2666666666666675</v>
      </c>
      <c r="AF47" s="23">
        <f t="shared" si="26"/>
        <v>8.2333333333333325</v>
      </c>
      <c r="AG47" s="23">
        <f t="shared" si="27"/>
        <v>8.1999999999999993</v>
      </c>
      <c r="AH47" s="23">
        <f t="shared" si="28"/>
        <v>8.1666666666666661</v>
      </c>
      <c r="AI47" s="23">
        <f t="shared" si="29"/>
        <v>8.1333333333333329</v>
      </c>
      <c r="AJ47" s="24" t="str">
        <f t="shared" si="44"/>
        <v>1,3,7,13,21,39,91,273</v>
      </c>
      <c r="AK47" s="10"/>
      <c r="AL47" s="10"/>
      <c r="AM47" s="10"/>
      <c r="AN47" s="10"/>
      <c r="AO47" s="10"/>
      <c r="AP47" s="10"/>
      <c r="AQ47" s="10"/>
    </row>
    <row r="48" spans="1:43" x14ac:dyDescent="0.45">
      <c r="A48" s="11"/>
      <c r="B48" s="8"/>
      <c r="C48" s="8"/>
      <c r="D48" s="8">
        <v>40</v>
      </c>
      <c r="E48" s="9">
        <f t="shared" si="30"/>
        <v>280</v>
      </c>
      <c r="F48" s="23">
        <f t="shared" si="38"/>
        <v>9.3333333333333339</v>
      </c>
      <c r="G48" s="23">
        <f t="shared" si="39"/>
        <v>9.3000000000000007</v>
      </c>
      <c r="H48" s="23">
        <f t="shared" si="40"/>
        <v>9.2666666666666675</v>
      </c>
      <c r="I48" s="23">
        <f t="shared" si="41"/>
        <v>9.2333333333333325</v>
      </c>
      <c r="J48" s="23">
        <f t="shared" si="42"/>
        <v>9.1999999999999993</v>
      </c>
      <c r="K48" s="23">
        <f t="shared" si="43"/>
        <v>9.1666666666666661</v>
      </c>
      <c r="L48" s="23">
        <f t="shared" si="1"/>
        <v>9.1333333333333329</v>
      </c>
      <c r="M48" s="23">
        <f t="shared" si="7"/>
        <v>9.1</v>
      </c>
      <c r="N48" s="23">
        <f t="shared" si="8"/>
        <v>9.0666666666666664</v>
      </c>
      <c r="O48" s="23">
        <f t="shared" si="9"/>
        <v>9.0333333333333332</v>
      </c>
      <c r="P48" s="23">
        <f t="shared" si="10"/>
        <v>9</v>
      </c>
      <c r="Q48" s="23">
        <f t="shared" si="11"/>
        <v>8.9666666666666668</v>
      </c>
      <c r="R48" s="23">
        <f t="shared" si="12"/>
        <v>8.9333333333333336</v>
      </c>
      <c r="S48" s="23">
        <f t="shared" si="13"/>
        <v>8.9</v>
      </c>
      <c r="T48" s="23">
        <f t="shared" si="14"/>
        <v>8.8666666666666671</v>
      </c>
      <c r="U48" s="23">
        <f t="shared" si="15"/>
        <v>8.8333333333333339</v>
      </c>
      <c r="V48" s="23">
        <f t="shared" si="16"/>
        <v>8.8000000000000007</v>
      </c>
      <c r="W48" s="23">
        <f t="shared" si="17"/>
        <v>8.7666666666666675</v>
      </c>
      <c r="X48" s="23">
        <f t="shared" si="18"/>
        <v>8.7333333333333325</v>
      </c>
      <c r="Y48" s="23">
        <f t="shared" si="19"/>
        <v>8.6999999999999993</v>
      </c>
      <c r="Z48" s="23">
        <f t="shared" si="20"/>
        <v>8.6666666666666661</v>
      </c>
      <c r="AA48" s="23">
        <f t="shared" si="21"/>
        <v>8.6333333333333329</v>
      </c>
      <c r="AB48" s="23">
        <f t="shared" si="22"/>
        <v>8.6</v>
      </c>
      <c r="AC48" s="23">
        <f t="shared" si="23"/>
        <v>8.5666666666666664</v>
      </c>
      <c r="AD48" s="23">
        <f t="shared" si="24"/>
        <v>8.5333333333333332</v>
      </c>
      <c r="AE48" s="23">
        <f t="shared" si="25"/>
        <v>8.5</v>
      </c>
      <c r="AF48" s="23">
        <f t="shared" si="26"/>
        <v>8.4666666666666668</v>
      </c>
      <c r="AG48" s="23">
        <f t="shared" si="27"/>
        <v>8.4333333333333336</v>
      </c>
      <c r="AH48" s="23">
        <f t="shared" si="28"/>
        <v>8.4</v>
      </c>
      <c r="AI48" s="23">
        <f t="shared" si="29"/>
        <v>8.3666666666666671</v>
      </c>
      <c r="AJ48" s="24" t="str">
        <f t="shared" si="44"/>
        <v>1,2,4,5,7,8,10,14,20,28,35,40,56,70,140,280</v>
      </c>
      <c r="AK48" s="10"/>
      <c r="AL48" s="10"/>
      <c r="AM48" s="10"/>
      <c r="AN48" s="10"/>
      <c r="AO48" s="10"/>
      <c r="AP48" s="10"/>
      <c r="AQ48" s="10"/>
    </row>
    <row r="49" spans="1:43" x14ac:dyDescent="0.45">
      <c r="A49" s="11"/>
      <c r="B49" s="8"/>
      <c r="C49" s="8"/>
      <c r="D49" s="8">
        <v>41</v>
      </c>
      <c r="E49" s="9">
        <f t="shared" si="30"/>
        <v>287</v>
      </c>
      <c r="F49" s="23">
        <f t="shared" si="38"/>
        <v>9.5666666666666664</v>
      </c>
      <c r="G49" s="23">
        <f t="shared" si="39"/>
        <v>9.5333333333333332</v>
      </c>
      <c r="H49" s="23">
        <f t="shared" si="40"/>
        <v>9.5</v>
      </c>
      <c r="I49" s="23">
        <f t="shared" si="41"/>
        <v>9.4666666666666668</v>
      </c>
      <c r="J49" s="23">
        <f t="shared" si="42"/>
        <v>9.4333333333333336</v>
      </c>
      <c r="K49" s="23">
        <f t="shared" si="43"/>
        <v>9.4</v>
      </c>
      <c r="L49" s="23">
        <f t="shared" si="1"/>
        <v>9.3666666666666671</v>
      </c>
      <c r="M49" s="23">
        <f t="shared" si="7"/>
        <v>9.3333333333333339</v>
      </c>
      <c r="N49" s="23">
        <f t="shared" si="8"/>
        <v>9.3000000000000007</v>
      </c>
      <c r="O49" s="23">
        <f t="shared" si="9"/>
        <v>9.2666666666666675</v>
      </c>
      <c r="P49" s="23">
        <f t="shared" si="10"/>
        <v>9.2333333333333325</v>
      </c>
      <c r="Q49" s="23">
        <f t="shared" si="11"/>
        <v>9.1999999999999993</v>
      </c>
      <c r="R49" s="23">
        <f t="shared" si="12"/>
        <v>9.1666666666666661</v>
      </c>
      <c r="S49" s="23">
        <f t="shared" si="13"/>
        <v>9.1333333333333329</v>
      </c>
      <c r="T49" s="23">
        <f t="shared" si="14"/>
        <v>9.1</v>
      </c>
      <c r="U49" s="23">
        <f t="shared" si="15"/>
        <v>9.0666666666666664</v>
      </c>
      <c r="V49" s="23">
        <f t="shared" si="16"/>
        <v>9.0333333333333332</v>
      </c>
      <c r="W49" s="23">
        <f t="shared" si="17"/>
        <v>9</v>
      </c>
      <c r="X49" s="23">
        <f t="shared" si="18"/>
        <v>8.9666666666666668</v>
      </c>
      <c r="Y49" s="23">
        <f t="shared" si="19"/>
        <v>8.9333333333333336</v>
      </c>
      <c r="Z49" s="23">
        <f t="shared" si="20"/>
        <v>8.9</v>
      </c>
      <c r="AA49" s="23">
        <f t="shared" si="21"/>
        <v>8.8666666666666671</v>
      </c>
      <c r="AB49" s="23">
        <f t="shared" si="22"/>
        <v>8.8333333333333339</v>
      </c>
      <c r="AC49" s="23">
        <f t="shared" si="23"/>
        <v>8.8000000000000007</v>
      </c>
      <c r="AD49" s="23">
        <f t="shared" si="24"/>
        <v>8.7666666666666675</v>
      </c>
      <c r="AE49" s="23">
        <f t="shared" si="25"/>
        <v>8.7333333333333325</v>
      </c>
      <c r="AF49" s="23">
        <f t="shared" si="26"/>
        <v>8.6999999999999993</v>
      </c>
      <c r="AG49" s="23">
        <f t="shared" si="27"/>
        <v>8.6666666666666661</v>
      </c>
      <c r="AH49" s="23">
        <f t="shared" si="28"/>
        <v>8.6333333333333329</v>
      </c>
      <c r="AI49" s="23">
        <f t="shared" si="29"/>
        <v>8.6</v>
      </c>
      <c r="AJ49" s="24" t="str">
        <f t="shared" si="44"/>
        <v>1,7,41,287</v>
      </c>
      <c r="AK49" s="10"/>
      <c r="AL49" s="10"/>
      <c r="AM49" s="10"/>
      <c r="AN49" s="10"/>
      <c r="AO49" s="10"/>
      <c r="AP49" s="10"/>
      <c r="AQ49" s="10"/>
    </row>
    <row r="50" spans="1:43" x14ac:dyDescent="0.45">
      <c r="A50" s="11"/>
      <c r="B50" s="8"/>
      <c r="C50" s="8"/>
      <c r="D50" s="8">
        <v>42</v>
      </c>
      <c r="E50" s="9">
        <f t="shared" si="30"/>
        <v>294</v>
      </c>
      <c r="F50" s="23">
        <f t="shared" si="38"/>
        <v>9.8000000000000007</v>
      </c>
      <c r="G50" s="23">
        <f t="shared" si="39"/>
        <v>9.7666666666666675</v>
      </c>
      <c r="H50" s="23">
        <f t="shared" si="40"/>
        <v>9.7333333333333325</v>
      </c>
      <c r="I50" s="23">
        <f t="shared" si="41"/>
        <v>9.6999999999999993</v>
      </c>
      <c r="J50" s="23">
        <f t="shared" si="42"/>
        <v>9.6666666666666661</v>
      </c>
      <c r="K50" s="23">
        <f t="shared" si="43"/>
        <v>9.6333333333333329</v>
      </c>
      <c r="L50" s="23">
        <f t="shared" si="1"/>
        <v>9.6</v>
      </c>
      <c r="M50" s="23">
        <f t="shared" si="7"/>
        <v>9.5666666666666664</v>
      </c>
      <c r="N50" s="23">
        <f t="shared" si="8"/>
        <v>9.5333333333333332</v>
      </c>
      <c r="O50" s="23">
        <f t="shared" si="9"/>
        <v>9.5</v>
      </c>
      <c r="P50" s="23">
        <f t="shared" si="10"/>
        <v>9.4666666666666668</v>
      </c>
      <c r="Q50" s="23">
        <f t="shared" si="11"/>
        <v>9.4333333333333336</v>
      </c>
      <c r="R50" s="23">
        <f t="shared" si="12"/>
        <v>9.4</v>
      </c>
      <c r="S50" s="23">
        <f t="shared" si="13"/>
        <v>9.3666666666666671</v>
      </c>
      <c r="T50" s="23">
        <f t="shared" si="14"/>
        <v>9.3333333333333339</v>
      </c>
      <c r="U50" s="23">
        <f t="shared" si="15"/>
        <v>9.3000000000000007</v>
      </c>
      <c r="V50" s="23">
        <f t="shared" si="16"/>
        <v>9.2666666666666675</v>
      </c>
      <c r="W50" s="23">
        <f t="shared" si="17"/>
        <v>9.2333333333333325</v>
      </c>
      <c r="X50" s="23">
        <f t="shared" si="18"/>
        <v>9.1999999999999993</v>
      </c>
      <c r="Y50" s="23">
        <f t="shared" si="19"/>
        <v>9.1666666666666661</v>
      </c>
      <c r="Z50" s="23">
        <f t="shared" si="20"/>
        <v>9.1333333333333329</v>
      </c>
      <c r="AA50" s="23">
        <f t="shared" si="21"/>
        <v>9.1</v>
      </c>
      <c r="AB50" s="23">
        <f t="shared" si="22"/>
        <v>9.0666666666666664</v>
      </c>
      <c r="AC50" s="23">
        <f t="shared" si="23"/>
        <v>9.0333333333333332</v>
      </c>
      <c r="AD50" s="23">
        <f t="shared" si="24"/>
        <v>9</v>
      </c>
      <c r="AE50" s="23">
        <f t="shared" si="25"/>
        <v>8.9666666666666668</v>
      </c>
      <c r="AF50" s="23">
        <f t="shared" si="26"/>
        <v>8.9333333333333336</v>
      </c>
      <c r="AG50" s="23">
        <f t="shared" si="27"/>
        <v>8.9</v>
      </c>
      <c r="AH50" s="23">
        <f t="shared" si="28"/>
        <v>8.8666666666666671</v>
      </c>
      <c r="AI50" s="23">
        <f t="shared" si="29"/>
        <v>8.8333333333333339</v>
      </c>
      <c r="AJ50" s="24" t="str">
        <f t="shared" si="44"/>
        <v>1,2,3,6,7,14,21,42,49,98,147,294</v>
      </c>
      <c r="AK50" s="10"/>
      <c r="AL50" s="10"/>
      <c r="AM50" s="10"/>
      <c r="AN50" s="10"/>
      <c r="AO50" s="10"/>
      <c r="AP50" s="10"/>
      <c r="AQ50" s="10"/>
    </row>
    <row r="51" spans="1:43" x14ac:dyDescent="0.45">
      <c r="A51" s="11"/>
      <c r="B51" s="8"/>
      <c r="C51" s="8"/>
      <c r="D51" s="8">
        <v>43</v>
      </c>
      <c r="E51" s="9">
        <f t="shared" si="30"/>
        <v>301</v>
      </c>
      <c r="F51" s="23">
        <f t="shared" si="38"/>
        <v>10.033333333333333</v>
      </c>
      <c r="G51" s="23">
        <f t="shared" si="39"/>
        <v>10</v>
      </c>
      <c r="H51" s="23">
        <f t="shared" si="40"/>
        <v>9.9666666666666668</v>
      </c>
      <c r="I51" s="23">
        <f t="shared" si="41"/>
        <v>9.9333333333333336</v>
      </c>
      <c r="J51" s="23">
        <f t="shared" si="42"/>
        <v>9.9</v>
      </c>
      <c r="K51" s="23">
        <f t="shared" si="43"/>
        <v>9.8666666666666671</v>
      </c>
      <c r="L51" s="23">
        <f t="shared" si="1"/>
        <v>9.8333333333333339</v>
      </c>
      <c r="M51" s="23">
        <f t="shared" si="7"/>
        <v>9.8000000000000007</v>
      </c>
      <c r="N51" s="23">
        <f t="shared" si="8"/>
        <v>9.7666666666666675</v>
      </c>
      <c r="O51" s="23">
        <f t="shared" si="9"/>
        <v>9.7333333333333325</v>
      </c>
      <c r="P51" s="23">
        <f t="shared" si="10"/>
        <v>9.6999999999999993</v>
      </c>
      <c r="Q51" s="23">
        <f t="shared" si="11"/>
        <v>9.6666666666666661</v>
      </c>
      <c r="R51" s="23">
        <f t="shared" si="12"/>
        <v>9.6333333333333329</v>
      </c>
      <c r="S51" s="23">
        <f t="shared" si="13"/>
        <v>9.6</v>
      </c>
      <c r="T51" s="23">
        <f t="shared" si="14"/>
        <v>9.5666666666666664</v>
      </c>
      <c r="U51" s="23">
        <f t="shared" si="15"/>
        <v>9.5333333333333332</v>
      </c>
      <c r="V51" s="23">
        <f t="shared" si="16"/>
        <v>9.5</v>
      </c>
      <c r="W51" s="23">
        <f t="shared" si="17"/>
        <v>9.4666666666666668</v>
      </c>
      <c r="X51" s="23">
        <f t="shared" si="18"/>
        <v>9.4333333333333336</v>
      </c>
      <c r="Y51" s="23">
        <f t="shared" si="19"/>
        <v>9.4</v>
      </c>
      <c r="Z51" s="23">
        <f t="shared" si="20"/>
        <v>9.3666666666666671</v>
      </c>
      <c r="AA51" s="23">
        <f t="shared" si="21"/>
        <v>9.3333333333333339</v>
      </c>
      <c r="AB51" s="23">
        <f t="shared" si="22"/>
        <v>9.3000000000000007</v>
      </c>
      <c r="AC51" s="23">
        <f t="shared" si="23"/>
        <v>9.2666666666666675</v>
      </c>
      <c r="AD51" s="23">
        <f t="shared" si="24"/>
        <v>9.2333333333333325</v>
      </c>
      <c r="AE51" s="23">
        <f t="shared" si="25"/>
        <v>9.1999999999999993</v>
      </c>
      <c r="AF51" s="23">
        <f t="shared" si="26"/>
        <v>9.1666666666666661</v>
      </c>
      <c r="AG51" s="23">
        <f t="shared" si="27"/>
        <v>9.1333333333333329</v>
      </c>
      <c r="AH51" s="23">
        <f t="shared" si="28"/>
        <v>9.1</v>
      </c>
      <c r="AI51" s="23">
        <f t="shared" si="29"/>
        <v>9.0666666666666664</v>
      </c>
      <c r="AJ51" s="24" t="str">
        <f t="shared" si="44"/>
        <v>1,7,43,301</v>
      </c>
      <c r="AK51" s="10"/>
      <c r="AL51" s="10"/>
      <c r="AM51" s="10"/>
      <c r="AN51" s="10"/>
      <c r="AO51" s="10"/>
      <c r="AP51" s="10"/>
      <c r="AQ51" s="10"/>
    </row>
    <row r="52" spans="1:43" x14ac:dyDescent="0.45">
      <c r="A52" s="11"/>
      <c r="B52" s="8"/>
      <c r="C52" s="8"/>
      <c r="D52" s="8">
        <v>44</v>
      </c>
      <c r="E52" s="9">
        <f t="shared" si="30"/>
        <v>308</v>
      </c>
      <c r="F52" s="23">
        <f t="shared" si="38"/>
        <v>10.266666666666667</v>
      </c>
      <c r="G52" s="23">
        <f t="shared" si="39"/>
        <v>10.233333333333333</v>
      </c>
      <c r="H52" s="23">
        <f t="shared" si="40"/>
        <v>10.199999999999999</v>
      </c>
      <c r="I52" s="23">
        <f t="shared" si="41"/>
        <v>10.166666666666666</v>
      </c>
      <c r="J52" s="23">
        <f t="shared" si="42"/>
        <v>10.133333333333333</v>
      </c>
      <c r="K52" s="23">
        <f t="shared" si="43"/>
        <v>10.1</v>
      </c>
      <c r="L52" s="23">
        <f t="shared" si="1"/>
        <v>10.066666666666666</v>
      </c>
      <c r="M52" s="23">
        <f t="shared" si="7"/>
        <v>10.033333333333333</v>
      </c>
      <c r="N52" s="23">
        <f t="shared" si="8"/>
        <v>10</v>
      </c>
      <c r="O52" s="23">
        <f t="shared" si="9"/>
        <v>9.9666666666666668</v>
      </c>
      <c r="P52" s="23">
        <f t="shared" si="10"/>
        <v>9.9333333333333336</v>
      </c>
      <c r="Q52" s="23">
        <f t="shared" si="11"/>
        <v>9.9</v>
      </c>
      <c r="R52" s="23">
        <f t="shared" si="12"/>
        <v>9.8666666666666671</v>
      </c>
      <c r="S52" s="23">
        <f t="shared" si="13"/>
        <v>9.8333333333333339</v>
      </c>
      <c r="T52" s="23">
        <f t="shared" si="14"/>
        <v>9.8000000000000007</v>
      </c>
      <c r="U52" s="23">
        <f t="shared" si="15"/>
        <v>9.7666666666666675</v>
      </c>
      <c r="V52" s="23">
        <f t="shared" si="16"/>
        <v>9.7333333333333325</v>
      </c>
      <c r="W52" s="23">
        <f t="shared" si="17"/>
        <v>9.6999999999999993</v>
      </c>
      <c r="X52" s="23">
        <f t="shared" si="18"/>
        <v>9.6666666666666661</v>
      </c>
      <c r="Y52" s="23">
        <f t="shared" si="19"/>
        <v>9.6333333333333329</v>
      </c>
      <c r="Z52" s="23">
        <f t="shared" si="20"/>
        <v>9.6</v>
      </c>
      <c r="AA52" s="23">
        <f t="shared" si="21"/>
        <v>9.5666666666666664</v>
      </c>
      <c r="AB52" s="23">
        <f t="shared" si="22"/>
        <v>9.5333333333333332</v>
      </c>
      <c r="AC52" s="23">
        <f t="shared" si="23"/>
        <v>9.5</v>
      </c>
      <c r="AD52" s="23">
        <f t="shared" si="24"/>
        <v>9.4666666666666668</v>
      </c>
      <c r="AE52" s="23">
        <f t="shared" si="25"/>
        <v>9.4333333333333336</v>
      </c>
      <c r="AF52" s="23">
        <f t="shared" si="26"/>
        <v>9.4</v>
      </c>
      <c r="AG52" s="23">
        <f t="shared" si="27"/>
        <v>9.3666666666666671</v>
      </c>
      <c r="AH52" s="23">
        <f t="shared" si="28"/>
        <v>9.3333333333333339</v>
      </c>
      <c r="AI52" s="23">
        <f t="shared" si="29"/>
        <v>9.3000000000000007</v>
      </c>
      <c r="AJ52" s="24" t="str">
        <f t="shared" si="44"/>
        <v>1,2,4,7,11,14,22,28,44,77,154,308</v>
      </c>
      <c r="AK52" s="10"/>
      <c r="AL52" s="10"/>
      <c r="AM52" s="10"/>
      <c r="AN52" s="10"/>
      <c r="AO52" s="10"/>
      <c r="AP52" s="10"/>
      <c r="AQ52" s="10"/>
    </row>
    <row r="53" spans="1:43" x14ac:dyDescent="0.45">
      <c r="A53" s="11"/>
      <c r="B53" s="8"/>
      <c r="C53" s="8"/>
      <c r="D53" s="8">
        <v>45</v>
      </c>
      <c r="E53" s="9">
        <f t="shared" si="30"/>
        <v>315</v>
      </c>
      <c r="F53" s="23">
        <f t="shared" si="38"/>
        <v>10.5</v>
      </c>
      <c r="G53" s="23">
        <f t="shared" si="39"/>
        <v>10.466666666666667</v>
      </c>
      <c r="H53" s="23">
        <f t="shared" si="40"/>
        <v>10.433333333333334</v>
      </c>
      <c r="I53" s="23">
        <f t="shared" si="41"/>
        <v>10.4</v>
      </c>
      <c r="J53" s="23">
        <f t="shared" si="42"/>
        <v>10.366666666666667</v>
      </c>
      <c r="K53" s="23">
        <f t="shared" si="43"/>
        <v>10.333333333333334</v>
      </c>
      <c r="L53" s="23">
        <f t="shared" si="1"/>
        <v>10.3</v>
      </c>
      <c r="M53" s="23">
        <f t="shared" si="7"/>
        <v>10.266666666666667</v>
      </c>
      <c r="N53" s="23">
        <f t="shared" si="8"/>
        <v>10.233333333333333</v>
      </c>
      <c r="O53" s="23">
        <f t="shared" si="9"/>
        <v>10.199999999999999</v>
      </c>
      <c r="P53" s="23">
        <f t="shared" si="10"/>
        <v>10.166666666666666</v>
      </c>
      <c r="Q53" s="23">
        <f t="shared" si="11"/>
        <v>10.133333333333333</v>
      </c>
      <c r="R53" s="23">
        <f t="shared" si="12"/>
        <v>10.1</v>
      </c>
      <c r="S53" s="23">
        <f t="shared" si="13"/>
        <v>10.066666666666666</v>
      </c>
      <c r="T53" s="23">
        <f t="shared" si="14"/>
        <v>10.033333333333333</v>
      </c>
      <c r="U53" s="23">
        <f t="shared" si="15"/>
        <v>10</v>
      </c>
      <c r="V53" s="23">
        <f t="shared" si="16"/>
        <v>9.9666666666666668</v>
      </c>
      <c r="W53" s="23">
        <f t="shared" si="17"/>
        <v>9.9333333333333336</v>
      </c>
      <c r="X53" s="23">
        <f t="shared" si="18"/>
        <v>9.9</v>
      </c>
      <c r="Y53" s="23">
        <f t="shared" si="19"/>
        <v>9.8666666666666671</v>
      </c>
      <c r="Z53" s="23">
        <f t="shared" si="20"/>
        <v>9.8333333333333339</v>
      </c>
      <c r="AA53" s="23">
        <f t="shared" si="21"/>
        <v>9.8000000000000007</v>
      </c>
      <c r="AB53" s="23">
        <f t="shared" si="22"/>
        <v>9.7666666666666675</v>
      </c>
      <c r="AC53" s="23">
        <f t="shared" si="23"/>
        <v>9.7333333333333325</v>
      </c>
      <c r="AD53" s="23">
        <f t="shared" si="24"/>
        <v>9.6999999999999993</v>
      </c>
      <c r="AE53" s="23">
        <f t="shared" si="25"/>
        <v>9.6666666666666661</v>
      </c>
      <c r="AF53" s="23">
        <f t="shared" si="26"/>
        <v>9.6333333333333329</v>
      </c>
      <c r="AG53" s="23">
        <f t="shared" si="27"/>
        <v>9.6</v>
      </c>
      <c r="AH53" s="23">
        <f t="shared" si="28"/>
        <v>9.5666666666666664</v>
      </c>
      <c r="AI53" s="23">
        <f t="shared" si="29"/>
        <v>9.5333333333333332</v>
      </c>
      <c r="AJ53" s="24" t="str">
        <f t="shared" si="44"/>
        <v>1,3,5,7,9,15,21,35,45,63,105,315</v>
      </c>
      <c r="AK53" s="10"/>
      <c r="AL53" s="10"/>
      <c r="AM53" s="10"/>
      <c r="AN53" s="10"/>
      <c r="AO53" s="10"/>
      <c r="AP53" s="10"/>
      <c r="AQ53" s="10"/>
    </row>
    <row r="54" spans="1:43" x14ac:dyDescent="0.45">
      <c r="A54" s="11"/>
      <c r="B54" s="8"/>
      <c r="C54" s="8"/>
      <c r="D54" s="8">
        <v>46</v>
      </c>
      <c r="E54" s="9">
        <f t="shared" si="30"/>
        <v>322</v>
      </c>
      <c r="F54" s="23">
        <f t="shared" si="38"/>
        <v>10.733333333333333</v>
      </c>
      <c r="G54" s="23">
        <f t="shared" si="39"/>
        <v>10.7</v>
      </c>
      <c r="H54" s="23">
        <f t="shared" si="40"/>
        <v>10.666666666666666</v>
      </c>
      <c r="I54" s="23">
        <f t="shared" si="41"/>
        <v>10.633333333333333</v>
      </c>
      <c r="J54" s="23">
        <f t="shared" si="42"/>
        <v>10.6</v>
      </c>
      <c r="K54" s="23">
        <f t="shared" si="43"/>
        <v>10.566666666666666</v>
      </c>
      <c r="L54" s="23">
        <f t="shared" si="1"/>
        <v>10.533333333333333</v>
      </c>
      <c r="M54" s="23">
        <f t="shared" si="7"/>
        <v>10.5</v>
      </c>
      <c r="N54" s="23">
        <f t="shared" si="8"/>
        <v>10.466666666666667</v>
      </c>
      <c r="O54" s="23">
        <f t="shared" si="9"/>
        <v>10.433333333333334</v>
      </c>
      <c r="P54" s="23">
        <f t="shared" si="10"/>
        <v>10.4</v>
      </c>
      <c r="Q54" s="23">
        <f t="shared" si="11"/>
        <v>10.366666666666667</v>
      </c>
      <c r="R54" s="23">
        <f t="shared" si="12"/>
        <v>10.333333333333334</v>
      </c>
      <c r="S54" s="23">
        <f t="shared" si="13"/>
        <v>10.3</v>
      </c>
      <c r="T54" s="23">
        <f t="shared" si="14"/>
        <v>10.266666666666667</v>
      </c>
      <c r="U54" s="23">
        <f t="shared" si="15"/>
        <v>10.233333333333333</v>
      </c>
      <c r="V54" s="23">
        <f t="shared" si="16"/>
        <v>10.199999999999999</v>
      </c>
      <c r="W54" s="23">
        <f t="shared" si="17"/>
        <v>10.166666666666666</v>
      </c>
      <c r="X54" s="23">
        <f t="shared" si="18"/>
        <v>10.133333333333333</v>
      </c>
      <c r="Y54" s="23">
        <f t="shared" si="19"/>
        <v>10.1</v>
      </c>
      <c r="Z54" s="23">
        <f t="shared" si="20"/>
        <v>10.066666666666666</v>
      </c>
      <c r="AA54" s="23">
        <f t="shared" si="21"/>
        <v>10.033333333333333</v>
      </c>
      <c r="AB54" s="23">
        <f t="shared" si="22"/>
        <v>10</v>
      </c>
      <c r="AC54" s="23">
        <f t="shared" si="23"/>
        <v>9.9666666666666668</v>
      </c>
      <c r="AD54" s="23">
        <f t="shared" si="24"/>
        <v>9.9333333333333336</v>
      </c>
      <c r="AE54" s="23">
        <f t="shared" si="25"/>
        <v>9.9</v>
      </c>
      <c r="AF54" s="23">
        <f t="shared" si="26"/>
        <v>9.8666666666666671</v>
      </c>
      <c r="AG54" s="23">
        <f t="shared" si="27"/>
        <v>9.8333333333333339</v>
      </c>
      <c r="AH54" s="23">
        <f t="shared" si="28"/>
        <v>9.8000000000000007</v>
      </c>
      <c r="AI54" s="23">
        <f t="shared" si="29"/>
        <v>9.7666666666666675</v>
      </c>
      <c r="AJ54" s="24" t="str">
        <f t="shared" si="44"/>
        <v>1,2,7,14,23,46,161,322</v>
      </c>
      <c r="AK54" s="10"/>
      <c r="AL54" s="10"/>
      <c r="AM54" s="10"/>
      <c r="AN54" s="10"/>
      <c r="AO54" s="10"/>
      <c r="AP54" s="10"/>
      <c r="AQ54" s="10"/>
    </row>
    <row r="55" spans="1:43" x14ac:dyDescent="0.45">
      <c r="A55" s="11"/>
      <c r="B55" s="8"/>
      <c r="C55" s="8"/>
      <c r="D55" s="8">
        <v>47</v>
      </c>
      <c r="E55" s="9">
        <f t="shared" si="30"/>
        <v>329</v>
      </c>
      <c r="F55" s="23">
        <f t="shared" si="38"/>
        <v>10.966666666666667</v>
      </c>
      <c r="G55" s="23">
        <f t="shared" si="39"/>
        <v>10.933333333333334</v>
      </c>
      <c r="H55" s="23">
        <f t="shared" si="40"/>
        <v>10.9</v>
      </c>
      <c r="I55" s="23">
        <f t="shared" si="41"/>
        <v>10.866666666666667</v>
      </c>
      <c r="J55" s="23">
        <f t="shared" si="42"/>
        <v>10.833333333333334</v>
      </c>
      <c r="K55" s="23">
        <f t="shared" si="43"/>
        <v>10.8</v>
      </c>
      <c r="L55" s="23">
        <f t="shared" si="1"/>
        <v>10.766666666666667</v>
      </c>
      <c r="M55" s="23">
        <f t="shared" si="7"/>
        <v>10.733333333333333</v>
      </c>
      <c r="N55" s="23">
        <f t="shared" si="8"/>
        <v>10.7</v>
      </c>
      <c r="O55" s="23">
        <f t="shared" si="9"/>
        <v>10.666666666666666</v>
      </c>
      <c r="P55" s="23">
        <f t="shared" si="10"/>
        <v>10.633333333333333</v>
      </c>
      <c r="Q55" s="23">
        <f t="shared" si="11"/>
        <v>10.6</v>
      </c>
      <c r="R55" s="23">
        <f t="shared" si="12"/>
        <v>10.566666666666666</v>
      </c>
      <c r="S55" s="23">
        <f t="shared" si="13"/>
        <v>10.533333333333333</v>
      </c>
      <c r="T55" s="23">
        <f t="shared" si="14"/>
        <v>10.5</v>
      </c>
      <c r="U55" s="23">
        <f t="shared" si="15"/>
        <v>10.466666666666667</v>
      </c>
      <c r="V55" s="23">
        <f t="shared" si="16"/>
        <v>10.433333333333334</v>
      </c>
      <c r="W55" s="23">
        <f t="shared" si="17"/>
        <v>10.4</v>
      </c>
      <c r="X55" s="23">
        <f t="shared" si="18"/>
        <v>10.366666666666667</v>
      </c>
      <c r="Y55" s="23">
        <f t="shared" si="19"/>
        <v>10.333333333333334</v>
      </c>
      <c r="Z55" s="23">
        <f t="shared" si="20"/>
        <v>10.3</v>
      </c>
      <c r="AA55" s="23">
        <f t="shared" si="21"/>
        <v>10.266666666666667</v>
      </c>
      <c r="AB55" s="23">
        <f t="shared" si="22"/>
        <v>10.233333333333333</v>
      </c>
      <c r="AC55" s="23">
        <f t="shared" si="23"/>
        <v>10.199999999999999</v>
      </c>
      <c r="AD55" s="23">
        <f t="shared" si="24"/>
        <v>10.166666666666666</v>
      </c>
      <c r="AE55" s="23">
        <f t="shared" si="25"/>
        <v>10.133333333333333</v>
      </c>
      <c r="AF55" s="23">
        <f t="shared" si="26"/>
        <v>10.1</v>
      </c>
      <c r="AG55" s="23">
        <f t="shared" si="27"/>
        <v>10.066666666666666</v>
      </c>
      <c r="AH55" s="23">
        <f t="shared" si="28"/>
        <v>10.033333333333333</v>
      </c>
      <c r="AI55" s="23">
        <f t="shared" si="29"/>
        <v>10</v>
      </c>
      <c r="AJ55" s="24" t="str">
        <f t="shared" si="44"/>
        <v>1,7,47,329</v>
      </c>
      <c r="AK55" s="10"/>
      <c r="AL55" s="10"/>
      <c r="AM55" s="10"/>
      <c r="AN55" s="10"/>
      <c r="AO55" s="10"/>
      <c r="AP55" s="10"/>
      <c r="AQ55" s="10"/>
    </row>
    <row r="56" spans="1:43" x14ac:dyDescent="0.45">
      <c r="A56" s="11"/>
      <c r="B56" s="8"/>
      <c r="C56" s="8"/>
      <c r="D56" s="8">
        <v>48</v>
      </c>
      <c r="E56" s="9">
        <f t="shared" si="30"/>
        <v>336</v>
      </c>
      <c r="F56" s="23">
        <f t="shared" si="38"/>
        <v>11.2</v>
      </c>
      <c r="G56" s="23">
        <f t="shared" si="39"/>
        <v>11.166666666666666</v>
      </c>
      <c r="H56" s="23">
        <f t="shared" si="40"/>
        <v>11.133333333333333</v>
      </c>
      <c r="I56" s="23">
        <f t="shared" si="41"/>
        <v>11.1</v>
      </c>
      <c r="J56" s="23">
        <f t="shared" si="42"/>
        <v>11.066666666666666</v>
      </c>
      <c r="K56" s="23">
        <f t="shared" si="43"/>
        <v>11.033333333333333</v>
      </c>
      <c r="L56" s="23">
        <f t="shared" si="1"/>
        <v>11</v>
      </c>
      <c r="M56" s="23">
        <f t="shared" si="7"/>
        <v>10.966666666666667</v>
      </c>
      <c r="N56" s="23">
        <f t="shared" si="8"/>
        <v>10.933333333333334</v>
      </c>
      <c r="O56" s="23">
        <f t="shared" si="9"/>
        <v>10.9</v>
      </c>
      <c r="P56" s="23">
        <f t="shared" si="10"/>
        <v>10.866666666666667</v>
      </c>
      <c r="Q56" s="23">
        <f t="shared" si="11"/>
        <v>10.833333333333334</v>
      </c>
      <c r="R56" s="23">
        <f t="shared" si="12"/>
        <v>10.8</v>
      </c>
      <c r="S56" s="23">
        <f t="shared" si="13"/>
        <v>10.766666666666667</v>
      </c>
      <c r="T56" s="23">
        <f t="shared" si="14"/>
        <v>10.733333333333333</v>
      </c>
      <c r="U56" s="23">
        <f t="shared" si="15"/>
        <v>10.7</v>
      </c>
      <c r="V56" s="23">
        <f t="shared" si="16"/>
        <v>10.666666666666666</v>
      </c>
      <c r="W56" s="23">
        <f t="shared" si="17"/>
        <v>10.633333333333333</v>
      </c>
      <c r="X56" s="23">
        <f t="shared" si="18"/>
        <v>10.6</v>
      </c>
      <c r="Y56" s="23">
        <f t="shared" si="19"/>
        <v>10.566666666666666</v>
      </c>
      <c r="Z56" s="23">
        <f t="shared" si="20"/>
        <v>10.533333333333333</v>
      </c>
      <c r="AA56" s="23">
        <f t="shared" si="21"/>
        <v>10.5</v>
      </c>
      <c r="AB56" s="23">
        <f t="shared" si="22"/>
        <v>10.466666666666667</v>
      </c>
      <c r="AC56" s="23">
        <f t="shared" si="23"/>
        <v>10.433333333333334</v>
      </c>
      <c r="AD56" s="23">
        <f t="shared" si="24"/>
        <v>10.4</v>
      </c>
      <c r="AE56" s="23">
        <f t="shared" si="25"/>
        <v>10.366666666666667</v>
      </c>
      <c r="AF56" s="23">
        <f t="shared" si="26"/>
        <v>10.333333333333334</v>
      </c>
      <c r="AG56" s="23">
        <f t="shared" si="27"/>
        <v>10.3</v>
      </c>
      <c r="AH56" s="23">
        <f t="shared" si="28"/>
        <v>10.266666666666667</v>
      </c>
      <c r="AI56" s="23">
        <f t="shared" si="29"/>
        <v>10.233333333333333</v>
      </c>
      <c r="AJ56" s="24" t="str">
        <f t="shared" si="44"/>
        <v>1,2,3,4,6,7,8,12,14,16,21,24,28,42,48,56,84,112,168,336</v>
      </c>
      <c r="AK56" s="10"/>
      <c r="AL56" s="10"/>
      <c r="AM56" s="10"/>
      <c r="AN56" s="10"/>
      <c r="AO56" s="10"/>
      <c r="AP56" s="10"/>
      <c r="AQ56" s="10"/>
    </row>
    <row r="57" spans="1:43" x14ac:dyDescent="0.45">
      <c r="A57" s="11"/>
      <c r="B57" s="8"/>
      <c r="C57" s="8"/>
      <c r="D57" s="8">
        <v>49</v>
      </c>
      <c r="E57" s="9">
        <f t="shared" si="30"/>
        <v>343</v>
      </c>
      <c r="F57" s="23">
        <f t="shared" si="38"/>
        <v>11.433333333333334</v>
      </c>
      <c r="G57" s="23">
        <f t="shared" si="39"/>
        <v>11.4</v>
      </c>
      <c r="H57" s="23">
        <f t="shared" si="40"/>
        <v>11.366666666666667</v>
      </c>
      <c r="I57" s="23">
        <f t="shared" si="41"/>
        <v>11.333333333333334</v>
      </c>
      <c r="J57" s="23">
        <f t="shared" si="42"/>
        <v>11.3</v>
      </c>
      <c r="K57" s="23">
        <f t="shared" si="43"/>
        <v>11.266666666666667</v>
      </c>
      <c r="L57" s="23">
        <f t="shared" si="1"/>
        <v>11.233333333333333</v>
      </c>
      <c r="M57" s="23">
        <f t="shared" si="7"/>
        <v>11.2</v>
      </c>
      <c r="N57" s="23">
        <f t="shared" si="8"/>
        <v>11.166666666666666</v>
      </c>
      <c r="O57" s="23">
        <f t="shared" si="9"/>
        <v>11.133333333333333</v>
      </c>
      <c r="P57" s="23">
        <f t="shared" si="10"/>
        <v>11.1</v>
      </c>
      <c r="Q57" s="23">
        <f t="shared" si="11"/>
        <v>11.066666666666666</v>
      </c>
      <c r="R57" s="23">
        <f t="shared" si="12"/>
        <v>11.033333333333333</v>
      </c>
      <c r="S57" s="23">
        <f t="shared" si="13"/>
        <v>11</v>
      </c>
      <c r="T57" s="23">
        <f t="shared" si="14"/>
        <v>10.966666666666667</v>
      </c>
      <c r="U57" s="23">
        <f t="shared" si="15"/>
        <v>10.933333333333334</v>
      </c>
      <c r="V57" s="23">
        <f t="shared" si="16"/>
        <v>10.9</v>
      </c>
      <c r="W57" s="23">
        <f t="shared" si="17"/>
        <v>10.866666666666667</v>
      </c>
      <c r="X57" s="23">
        <f t="shared" si="18"/>
        <v>10.833333333333334</v>
      </c>
      <c r="Y57" s="23">
        <f t="shared" si="19"/>
        <v>10.8</v>
      </c>
      <c r="Z57" s="23">
        <f t="shared" si="20"/>
        <v>10.766666666666667</v>
      </c>
      <c r="AA57" s="23">
        <f t="shared" si="21"/>
        <v>10.733333333333333</v>
      </c>
      <c r="AB57" s="23">
        <f t="shared" si="22"/>
        <v>10.7</v>
      </c>
      <c r="AC57" s="23">
        <f t="shared" si="23"/>
        <v>10.666666666666666</v>
      </c>
      <c r="AD57" s="23">
        <f t="shared" si="24"/>
        <v>10.633333333333333</v>
      </c>
      <c r="AE57" s="23">
        <f t="shared" si="25"/>
        <v>10.6</v>
      </c>
      <c r="AF57" s="23">
        <f t="shared" si="26"/>
        <v>10.566666666666666</v>
      </c>
      <c r="AG57" s="23">
        <f t="shared" si="27"/>
        <v>10.533333333333333</v>
      </c>
      <c r="AH57" s="23">
        <f t="shared" si="28"/>
        <v>10.5</v>
      </c>
      <c r="AI57" s="23">
        <f t="shared" si="29"/>
        <v>10.466666666666667</v>
      </c>
      <c r="AJ57" s="24" t="str">
        <f t="shared" si="44"/>
        <v>1,7,49,343</v>
      </c>
      <c r="AK57" s="10"/>
      <c r="AL57" s="10"/>
      <c r="AM57" s="10"/>
      <c r="AN57" s="10"/>
      <c r="AO57" s="10"/>
      <c r="AP57" s="10"/>
      <c r="AQ57" s="10"/>
    </row>
    <row r="58" spans="1:43" x14ac:dyDescent="0.45">
      <c r="A58" s="11"/>
      <c r="B58" s="8"/>
      <c r="C58" s="8"/>
      <c r="D58" s="8">
        <v>50</v>
      </c>
      <c r="E58" s="9">
        <f t="shared" si="30"/>
        <v>350</v>
      </c>
      <c r="F58" s="23">
        <f t="shared" si="38"/>
        <v>11.666666666666666</v>
      </c>
      <c r="G58" s="23">
        <f t="shared" si="39"/>
        <v>11.633333333333333</v>
      </c>
      <c r="H58" s="23">
        <f t="shared" si="40"/>
        <v>11.6</v>
      </c>
      <c r="I58" s="23">
        <f t="shared" si="41"/>
        <v>11.566666666666666</v>
      </c>
      <c r="J58" s="23">
        <f t="shared" si="42"/>
        <v>11.533333333333333</v>
      </c>
      <c r="K58" s="23">
        <f t="shared" si="43"/>
        <v>11.5</v>
      </c>
      <c r="L58" s="23">
        <f t="shared" si="1"/>
        <v>11.466666666666667</v>
      </c>
      <c r="M58" s="23">
        <f t="shared" si="7"/>
        <v>11.433333333333334</v>
      </c>
      <c r="N58" s="23">
        <f t="shared" si="8"/>
        <v>11.4</v>
      </c>
      <c r="O58" s="23">
        <f t="shared" si="9"/>
        <v>11.366666666666667</v>
      </c>
      <c r="P58" s="23">
        <f t="shared" si="10"/>
        <v>11.333333333333334</v>
      </c>
      <c r="Q58" s="23">
        <f t="shared" si="11"/>
        <v>11.3</v>
      </c>
      <c r="R58" s="23">
        <f t="shared" si="12"/>
        <v>11.266666666666667</v>
      </c>
      <c r="S58" s="23">
        <f t="shared" si="13"/>
        <v>11.233333333333333</v>
      </c>
      <c r="T58" s="23">
        <f t="shared" si="14"/>
        <v>11.2</v>
      </c>
      <c r="U58" s="23">
        <f t="shared" si="15"/>
        <v>11.166666666666666</v>
      </c>
      <c r="V58" s="23">
        <f t="shared" si="16"/>
        <v>11.133333333333333</v>
      </c>
      <c r="W58" s="23">
        <f t="shared" si="17"/>
        <v>11.1</v>
      </c>
      <c r="X58" s="23">
        <f t="shared" si="18"/>
        <v>11.066666666666666</v>
      </c>
      <c r="Y58" s="23">
        <f t="shared" si="19"/>
        <v>11.033333333333333</v>
      </c>
      <c r="Z58" s="23">
        <f t="shared" si="20"/>
        <v>11</v>
      </c>
      <c r="AA58" s="23">
        <f t="shared" si="21"/>
        <v>10.966666666666667</v>
      </c>
      <c r="AB58" s="23">
        <f t="shared" si="22"/>
        <v>10.933333333333334</v>
      </c>
      <c r="AC58" s="23">
        <f t="shared" si="23"/>
        <v>10.9</v>
      </c>
      <c r="AD58" s="23">
        <f t="shared" si="24"/>
        <v>10.866666666666667</v>
      </c>
      <c r="AE58" s="23">
        <f t="shared" si="25"/>
        <v>10.833333333333334</v>
      </c>
      <c r="AF58" s="23">
        <f t="shared" si="26"/>
        <v>10.8</v>
      </c>
      <c r="AG58" s="23">
        <f t="shared" si="27"/>
        <v>10.766666666666667</v>
      </c>
      <c r="AH58" s="23">
        <f t="shared" si="28"/>
        <v>10.733333333333333</v>
      </c>
      <c r="AI58" s="23">
        <f t="shared" si="29"/>
        <v>10.7</v>
      </c>
      <c r="AJ58" s="24" t="str">
        <f t="shared" si="44"/>
        <v>1,2,5,7,10,14,25,35,50,70,175,350</v>
      </c>
      <c r="AK58" s="10"/>
      <c r="AL58" s="10"/>
      <c r="AM58" s="10"/>
      <c r="AN58" s="10"/>
      <c r="AO58" s="10"/>
      <c r="AP58" s="10"/>
      <c r="AQ58" s="10"/>
    </row>
    <row r="59" spans="1:43" x14ac:dyDescent="0.45">
      <c r="A59" s="11"/>
      <c r="B59" s="8"/>
      <c r="C59" s="8"/>
      <c r="D59" s="8">
        <v>51</v>
      </c>
      <c r="E59" s="9">
        <f t="shared" si="30"/>
        <v>357</v>
      </c>
      <c r="F59" s="23">
        <f t="shared" si="38"/>
        <v>11.9</v>
      </c>
      <c r="G59" s="23">
        <f t="shared" si="39"/>
        <v>11.866666666666667</v>
      </c>
      <c r="H59" s="23">
        <f t="shared" si="40"/>
        <v>11.833333333333334</v>
      </c>
      <c r="I59" s="23">
        <f t="shared" si="41"/>
        <v>11.8</v>
      </c>
      <c r="J59" s="23">
        <f t="shared" si="42"/>
        <v>11.766666666666667</v>
      </c>
      <c r="K59" s="23">
        <f t="shared" si="43"/>
        <v>11.733333333333333</v>
      </c>
      <c r="L59" s="23">
        <f t="shared" si="1"/>
        <v>11.7</v>
      </c>
      <c r="M59" s="23">
        <f t="shared" si="7"/>
        <v>11.666666666666666</v>
      </c>
      <c r="N59" s="23">
        <f t="shared" si="8"/>
        <v>11.633333333333333</v>
      </c>
      <c r="O59" s="23">
        <f t="shared" si="9"/>
        <v>11.6</v>
      </c>
      <c r="P59" s="23">
        <f t="shared" si="10"/>
        <v>11.566666666666666</v>
      </c>
      <c r="Q59" s="23">
        <f t="shared" si="11"/>
        <v>11.533333333333333</v>
      </c>
      <c r="R59" s="23">
        <f t="shared" si="12"/>
        <v>11.5</v>
      </c>
      <c r="S59" s="23">
        <f t="shared" si="13"/>
        <v>11.466666666666667</v>
      </c>
      <c r="T59" s="23">
        <f t="shared" si="14"/>
        <v>11.433333333333334</v>
      </c>
      <c r="U59" s="23">
        <f t="shared" si="15"/>
        <v>11.4</v>
      </c>
      <c r="V59" s="23">
        <f t="shared" si="16"/>
        <v>11.366666666666667</v>
      </c>
      <c r="W59" s="23">
        <f t="shared" si="17"/>
        <v>11.333333333333334</v>
      </c>
      <c r="X59" s="23">
        <f t="shared" si="18"/>
        <v>11.3</v>
      </c>
      <c r="Y59" s="23">
        <f t="shared" si="19"/>
        <v>11.266666666666667</v>
      </c>
      <c r="Z59" s="23">
        <f t="shared" si="20"/>
        <v>11.233333333333333</v>
      </c>
      <c r="AA59" s="23">
        <f t="shared" si="21"/>
        <v>11.2</v>
      </c>
      <c r="AB59" s="23">
        <f t="shared" si="22"/>
        <v>11.166666666666666</v>
      </c>
      <c r="AC59" s="23">
        <f t="shared" si="23"/>
        <v>11.133333333333333</v>
      </c>
      <c r="AD59" s="23">
        <f t="shared" si="24"/>
        <v>11.1</v>
      </c>
      <c r="AE59" s="23">
        <f t="shared" si="25"/>
        <v>11.066666666666666</v>
      </c>
      <c r="AF59" s="23">
        <f t="shared" si="26"/>
        <v>11.033333333333333</v>
      </c>
      <c r="AG59" s="23">
        <f t="shared" si="27"/>
        <v>11</v>
      </c>
      <c r="AH59" s="23">
        <f t="shared" si="28"/>
        <v>10.966666666666667</v>
      </c>
      <c r="AI59" s="23">
        <f t="shared" si="29"/>
        <v>10.933333333333334</v>
      </c>
      <c r="AJ59" s="24" t="str">
        <f t="shared" si="44"/>
        <v>1,3,7,17,21,51,119,357</v>
      </c>
      <c r="AK59" s="10"/>
      <c r="AL59" s="10"/>
      <c r="AM59" s="10"/>
      <c r="AN59" s="10"/>
      <c r="AO59" s="10"/>
      <c r="AP59" s="10"/>
      <c r="AQ59" s="10"/>
    </row>
    <row r="60" spans="1:43" x14ac:dyDescent="0.45">
      <c r="A60" s="11"/>
      <c r="B60" s="8"/>
      <c r="C60" s="8"/>
      <c r="D60" s="8">
        <v>52</v>
      </c>
      <c r="E60" s="9">
        <f t="shared" si="30"/>
        <v>364</v>
      </c>
      <c r="F60" s="23">
        <f t="shared" si="38"/>
        <v>12.133333333333333</v>
      </c>
      <c r="G60" s="23">
        <f t="shared" si="39"/>
        <v>12.1</v>
      </c>
      <c r="H60" s="23">
        <f t="shared" si="40"/>
        <v>12.066666666666666</v>
      </c>
      <c r="I60" s="23">
        <f t="shared" si="41"/>
        <v>12.033333333333333</v>
      </c>
      <c r="J60" s="23">
        <f t="shared" si="42"/>
        <v>12</v>
      </c>
      <c r="K60" s="23">
        <f t="shared" si="43"/>
        <v>11.966666666666667</v>
      </c>
      <c r="L60" s="23">
        <f t="shared" si="1"/>
        <v>11.933333333333334</v>
      </c>
      <c r="M60" s="23">
        <f t="shared" si="7"/>
        <v>11.9</v>
      </c>
      <c r="N60" s="23">
        <f t="shared" si="8"/>
        <v>11.866666666666667</v>
      </c>
      <c r="O60" s="23">
        <f t="shared" si="9"/>
        <v>11.833333333333334</v>
      </c>
      <c r="P60" s="23">
        <f t="shared" si="10"/>
        <v>11.8</v>
      </c>
      <c r="Q60" s="23">
        <f t="shared" si="11"/>
        <v>11.766666666666667</v>
      </c>
      <c r="R60" s="23">
        <f t="shared" si="12"/>
        <v>11.733333333333333</v>
      </c>
      <c r="S60" s="23">
        <f t="shared" si="13"/>
        <v>11.7</v>
      </c>
      <c r="T60" s="23">
        <f t="shared" si="14"/>
        <v>11.666666666666666</v>
      </c>
      <c r="U60" s="23">
        <f t="shared" si="15"/>
        <v>11.633333333333333</v>
      </c>
      <c r="V60" s="23">
        <f t="shared" si="16"/>
        <v>11.6</v>
      </c>
      <c r="W60" s="23">
        <f t="shared" si="17"/>
        <v>11.566666666666666</v>
      </c>
      <c r="X60" s="23">
        <f t="shared" si="18"/>
        <v>11.533333333333333</v>
      </c>
      <c r="Y60" s="23">
        <f t="shared" si="19"/>
        <v>11.5</v>
      </c>
      <c r="Z60" s="23">
        <f t="shared" si="20"/>
        <v>11.466666666666667</v>
      </c>
      <c r="AA60" s="23">
        <f t="shared" si="21"/>
        <v>11.433333333333334</v>
      </c>
      <c r="AB60" s="23">
        <f t="shared" si="22"/>
        <v>11.4</v>
      </c>
      <c r="AC60" s="23">
        <f t="shared" si="23"/>
        <v>11.366666666666667</v>
      </c>
      <c r="AD60" s="23">
        <f t="shared" si="24"/>
        <v>11.333333333333334</v>
      </c>
      <c r="AE60" s="23">
        <f t="shared" si="25"/>
        <v>11.3</v>
      </c>
      <c r="AF60" s="23">
        <f t="shared" si="26"/>
        <v>11.266666666666667</v>
      </c>
      <c r="AG60" s="23">
        <f t="shared" si="27"/>
        <v>11.233333333333333</v>
      </c>
      <c r="AH60" s="23">
        <f t="shared" si="28"/>
        <v>11.2</v>
      </c>
      <c r="AI60" s="23">
        <f t="shared" si="29"/>
        <v>11.166666666666666</v>
      </c>
      <c r="AJ60" s="24" t="str">
        <f t="shared" si="44"/>
        <v>1,2,4,7,13,14,26,28,52,91,182,364</v>
      </c>
      <c r="AK60" s="10"/>
      <c r="AL60" s="10"/>
      <c r="AM60" s="10"/>
      <c r="AN60" s="10"/>
      <c r="AO60" s="10"/>
      <c r="AP60" s="10"/>
      <c r="AQ60" s="10"/>
    </row>
    <row r="61" spans="1:43" x14ac:dyDescent="0.45">
      <c r="A61" s="11"/>
      <c r="B61" s="8"/>
      <c r="C61" s="8"/>
      <c r="D61" s="8">
        <v>53</v>
      </c>
      <c r="E61" s="9">
        <f t="shared" si="30"/>
        <v>371</v>
      </c>
      <c r="F61" s="23">
        <f t="shared" si="38"/>
        <v>12.366666666666667</v>
      </c>
      <c r="G61" s="23">
        <f t="shared" si="39"/>
        <v>12.333333333333334</v>
      </c>
      <c r="H61" s="23">
        <f t="shared" si="40"/>
        <v>12.3</v>
      </c>
      <c r="I61" s="23">
        <f t="shared" si="41"/>
        <v>12.266666666666667</v>
      </c>
      <c r="J61" s="23">
        <f t="shared" si="42"/>
        <v>12.233333333333333</v>
      </c>
      <c r="K61" s="23">
        <f t="shared" si="43"/>
        <v>12.2</v>
      </c>
      <c r="L61" s="23">
        <f t="shared" si="1"/>
        <v>12.166666666666666</v>
      </c>
      <c r="M61" s="23">
        <f t="shared" si="7"/>
        <v>12.133333333333333</v>
      </c>
      <c r="N61" s="23">
        <f t="shared" si="8"/>
        <v>12.1</v>
      </c>
      <c r="O61" s="23">
        <f t="shared" si="9"/>
        <v>12.066666666666666</v>
      </c>
      <c r="P61" s="23">
        <f t="shared" si="10"/>
        <v>12.033333333333333</v>
      </c>
      <c r="Q61" s="23">
        <f t="shared" si="11"/>
        <v>12</v>
      </c>
      <c r="R61" s="23">
        <f t="shared" si="12"/>
        <v>11.966666666666667</v>
      </c>
      <c r="S61" s="23">
        <f t="shared" si="13"/>
        <v>11.933333333333334</v>
      </c>
      <c r="T61" s="23">
        <f t="shared" si="14"/>
        <v>11.9</v>
      </c>
      <c r="U61" s="23">
        <f t="shared" si="15"/>
        <v>11.866666666666667</v>
      </c>
      <c r="V61" s="23">
        <f t="shared" si="16"/>
        <v>11.833333333333334</v>
      </c>
      <c r="W61" s="23">
        <f t="shared" si="17"/>
        <v>11.8</v>
      </c>
      <c r="X61" s="23">
        <f t="shared" si="18"/>
        <v>11.766666666666667</v>
      </c>
      <c r="Y61" s="23">
        <f t="shared" si="19"/>
        <v>11.733333333333333</v>
      </c>
      <c r="Z61" s="23">
        <f t="shared" si="20"/>
        <v>11.7</v>
      </c>
      <c r="AA61" s="23">
        <f t="shared" si="21"/>
        <v>11.666666666666666</v>
      </c>
      <c r="AB61" s="23">
        <f t="shared" si="22"/>
        <v>11.633333333333333</v>
      </c>
      <c r="AC61" s="23">
        <f t="shared" si="23"/>
        <v>11.6</v>
      </c>
      <c r="AD61" s="23">
        <f t="shared" si="24"/>
        <v>11.566666666666666</v>
      </c>
      <c r="AE61" s="23">
        <f t="shared" si="25"/>
        <v>11.533333333333333</v>
      </c>
      <c r="AF61" s="23">
        <f t="shared" si="26"/>
        <v>11.5</v>
      </c>
      <c r="AG61" s="23">
        <f t="shared" si="27"/>
        <v>11.466666666666667</v>
      </c>
      <c r="AH61" s="23">
        <f t="shared" si="28"/>
        <v>11.433333333333334</v>
      </c>
      <c r="AI61" s="23">
        <f t="shared" si="29"/>
        <v>11.4</v>
      </c>
      <c r="AJ61" s="24" t="str">
        <f t="shared" si="44"/>
        <v>1,7,53,371</v>
      </c>
      <c r="AK61" s="10"/>
      <c r="AL61" s="10"/>
      <c r="AM61" s="10"/>
      <c r="AN61" s="10"/>
      <c r="AO61" s="10"/>
      <c r="AP61" s="10"/>
      <c r="AQ61" s="10"/>
    </row>
    <row r="62" spans="1:43" x14ac:dyDescent="0.45">
      <c r="A62" s="11"/>
      <c r="B62" s="8"/>
      <c r="C62" s="8"/>
      <c r="D62" s="8">
        <v>54</v>
      </c>
      <c r="E62" s="9">
        <f t="shared" si="30"/>
        <v>378</v>
      </c>
      <c r="F62" s="23">
        <f t="shared" si="38"/>
        <v>12.6</v>
      </c>
      <c r="G62" s="23">
        <f t="shared" si="39"/>
        <v>12.566666666666666</v>
      </c>
      <c r="H62" s="23">
        <f t="shared" si="40"/>
        <v>12.533333333333333</v>
      </c>
      <c r="I62" s="23">
        <f t="shared" si="41"/>
        <v>12.5</v>
      </c>
      <c r="J62" s="23">
        <f t="shared" si="42"/>
        <v>12.466666666666667</v>
      </c>
      <c r="K62" s="23">
        <f t="shared" si="43"/>
        <v>12.433333333333334</v>
      </c>
      <c r="L62" s="23">
        <f t="shared" si="1"/>
        <v>12.4</v>
      </c>
      <c r="M62" s="23">
        <f t="shared" si="7"/>
        <v>12.366666666666667</v>
      </c>
      <c r="N62" s="23">
        <f t="shared" si="8"/>
        <v>12.333333333333334</v>
      </c>
      <c r="O62" s="23">
        <f t="shared" si="9"/>
        <v>12.3</v>
      </c>
      <c r="P62" s="23">
        <f t="shared" si="10"/>
        <v>12.266666666666667</v>
      </c>
      <c r="Q62" s="23">
        <f t="shared" si="11"/>
        <v>12.233333333333333</v>
      </c>
      <c r="R62" s="23">
        <f t="shared" si="12"/>
        <v>12.2</v>
      </c>
      <c r="S62" s="23">
        <f t="shared" si="13"/>
        <v>12.166666666666666</v>
      </c>
      <c r="T62" s="23">
        <f t="shared" si="14"/>
        <v>12.133333333333333</v>
      </c>
      <c r="U62" s="23">
        <f t="shared" si="15"/>
        <v>12.1</v>
      </c>
      <c r="V62" s="23">
        <f t="shared" si="16"/>
        <v>12.066666666666666</v>
      </c>
      <c r="W62" s="23">
        <f t="shared" si="17"/>
        <v>12.033333333333333</v>
      </c>
      <c r="X62" s="23">
        <f t="shared" si="18"/>
        <v>12</v>
      </c>
      <c r="Y62" s="23">
        <f t="shared" si="19"/>
        <v>11.966666666666667</v>
      </c>
      <c r="Z62" s="23">
        <f t="shared" si="20"/>
        <v>11.933333333333334</v>
      </c>
      <c r="AA62" s="23">
        <f t="shared" si="21"/>
        <v>11.9</v>
      </c>
      <c r="AB62" s="23">
        <f t="shared" si="22"/>
        <v>11.866666666666667</v>
      </c>
      <c r="AC62" s="23">
        <f t="shared" si="23"/>
        <v>11.833333333333334</v>
      </c>
      <c r="AD62" s="23">
        <f t="shared" si="24"/>
        <v>11.8</v>
      </c>
      <c r="AE62" s="23">
        <f t="shared" si="25"/>
        <v>11.766666666666667</v>
      </c>
      <c r="AF62" s="23">
        <f t="shared" si="26"/>
        <v>11.733333333333333</v>
      </c>
      <c r="AG62" s="23">
        <f t="shared" si="27"/>
        <v>11.7</v>
      </c>
      <c r="AH62" s="23">
        <f t="shared" si="28"/>
        <v>11.666666666666666</v>
      </c>
      <c r="AI62" s="23">
        <f t="shared" si="29"/>
        <v>11.633333333333333</v>
      </c>
      <c r="AJ62" s="24" t="str">
        <f t="shared" si="44"/>
        <v>1,2,3,6,7,9,14,18,21,27,42,54,63,126,189,378</v>
      </c>
      <c r="AK62" s="10"/>
      <c r="AL62" s="10"/>
      <c r="AM62" s="10"/>
      <c r="AN62" s="10"/>
      <c r="AO62" s="10"/>
      <c r="AP62" s="10"/>
      <c r="AQ62" s="10"/>
    </row>
    <row r="63" spans="1:43" x14ac:dyDescent="0.45">
      <c r="A63" s="11"/>
      <c r="B63" s="8"/>
      <c r="C63" s="8"/>
      <c r="D63" s="8">
        <v>55</v>
      </c>
      <c r="E63" s="9">
        <f t="shared" si="30"/>
        <v>385</v>
      </c>
      <c r="F63" s="23">
        <f t="shared" si="38"/>
        <v>12.833333333333334</v>
      </c>
      <c r="G63" s="23">
        <f t="shared" si="39"/>
        <v>12.8</v>
      </c>
      <c r="H63" s="23">
        <f t="shared" si="40"/>
        <v>12.766666666666667</v>
      </c>
      <c r="I63" s="23">
        <f t="shared" si="41"/>
        <v>12.733333333333333</v>
      </c>
      <c r="J63" s="23">
        <f t="shared" si="42"/>
        <v>12.7</v>
      </c>
      <c r="K63" s="23">
        <f t="shared" si="43"/>
        <v>12.666666666666666</v>
      </c>
      <c r="L63" s="23">
        <f t="shared" si="1"/>
        <v>12.633333333333333</v>
      </c>
      <c r="M63" s="23">
        <f t="shared" si="7"/>
        <v>12.6</v>
      </c>
      <c r="N63" s="23">
        <f t="shared" si="8"/>
        <v>12.566666666666666</v>
      </c>
      <c r="O63" s="23">
        <f t="shared" si="9"/>
        <v>12.533333333333333</v>
      </c>
      <c r="P63" s="23">
        <f t="shared" si="10"/>
        <v>12.5</v>
      </c>
      <c r="Q63" s="23">
        <f t="shared" si="11"/>
        <v>12.466666666666667</v>
      </c>
      <c r="R63" s="23">
        <f t="shared" si="12"/>
        <v>12.433333333333334</v>
      </c>
      <c r="S63" s="23">
        <f t="shared" si="13"/>
        <v>12.4</v>
      </c>
      <c r="T63" s="23">
        <f t="shared" si="14"/>
        <v>12.366666666666667</v>
      </c>
      <c r="U63" s="23">
        <f t="shared" si="15"/>
        <v>12.333333333333334</v>
      </c>
      <c r="V63" s="23">
        <f t="shared" si="16"/>
        <v>12.3</v>
      </c>
      <c r="W63" s="23">
        <f t="shared" si="17"/>
        <v>12.266666666666667</v>
      </c>
      <c r="X63" s="23">
        <f t="shared" si="18"/>
        <v>12.233333333333333</v>
      </c>
      <c r="Y63" s="23">
        <f t="shared" si="19"/>
        <v>12.2</v>
      </c>
      <c r="Z63" s="23">
        <f t="shared" si="20"/>
        <v>12.166666666666666</v>
      </c>
      <c r="AA63" s="23">
        <f t="shared" si="21"/>
        <v>12.133333333333333</v>
      </c>
      <c r="AB63" s="23">
        <f t="shared" si="22"/>
        <v>12.1</v>
      </c>
      <c r="AC63" s="23">
        <f t="shared" si="23"/>
        <v>12.066666666666666</v>
      </c>
      <c r="AD63" s="23">
        <f t="shared" si="24"/>
        <v>12.033333333333333</v>
      </c>
      <c r="AE63" s="23">
        <f t="shared" si="25"/>
        <v>12</v>
      </c>
      <c r="AF63" s="23">
        <f t="shared" si="26"/>
        <v>11.966666666666667</v>
      </c>
      <c r="AG63" s="23">
        <f t="shared" si="27"/>
        <v>11.933333333333334</v>
      </c>
      <c r="AH63" s="23">
        <f t="shared" si="28"/>
        <v>11.9</v>
      </c>
      <c r="AI63" s="23">
        <f t="shared" si="29"/>
        <v>11.866666666666667</v>
      </c>
      <c r="AJ63" s="24" t="str">
        <f t="shared" si="44"/>
        <v>1,5,7,11,35,55,77,385</v>
      </c>
      <c r="AK63" s="10"/>
      <c r="AL63" s="10"/>
      <c r="AM63" s="10"/>
      <c r="AN63" s="10"/>
      <c r="AO63" s="10"/>
      <c r="AP63" s="10"/>
      <c r="AQ63" s="10"/>
    </row>
    <row r="64" spans="1:43" x14ac:dyDescent="0.45">
      <c r="A64" s="11"/>
      <c r="B64" s="8"/>
      <c r="C64" s="8"/>
      <c r="D64" s="8">
        <v>56</v>
      </c>
      <c r="E64" s="9">
        <f t="shared" si="30"/>
        <v>392</v>
      </c>
      <c r="F64" s="23">
        <f t="shared" si="38"/>
        <v>13.066666666666666</v>
      </c>
      <c r="G64" s="23">
        <f t="shared" si="39"/>
        <v>13.033333333333333</v>
      </c>
      <c r="H64" s="23">
        <f t="shared" si="40"/>
        <v>13</v>
      </c>
      <c r="I64" s="23">
        <f t="shared" si="41"/>
        <v>12.966666666666667</v>
      </c>
      <c r="J64" s="23">
        <f t="shared" si="42"/>
        <v>12.933333333333334</v>
      </c>
      <c r="K64" s="23">
        <f t="shared" si="43"/>
        <v>12.9</v>
      </c>
      <c r="L64" s="23">
        <f t="shared" si="1"/>
        <v>12.866666666666667</v>
      </c>
      <c r="M64" s="23">
        <f t="shared" si="7"/>
        <v>12.833333333333334</v>
      </c>
      <c r="N64" s="23">
        <f t="shared" si="8"/>
        <v>12.8</v>
      </c>
      <c r="O64" s="23">
        <f t="shared" si="9"/>
        <v>12.766666666666667</v>
      </c>
      <c r="P64" s="23">
        <f t="shared" si="10"/>
        <v>12.733333333333333</v>
      </c>
      <c r="Q64" s="23">
        <f t="shared" si="11"/>
        <v>12.7</v>
      </c>
      <c r="R64" s="23">
        <f t="shared" si="12"/>
        <v>12.666666666666666</v>
      </c>
      <c r="S64" s="23">
        <f t="shared" si="13"/>
        <v>12.633333333333333</v>
      </c>
      <c r="T64" s="23">
        <f t="shared" si="14"/>
        <v>12.6</v>
      </c>
      <c r="U64" s="23">
        <f t="shared" si="15"/>
        <v>12.566666666666666</v>
      </c>
      <c r="V64" s="23">
        <f t="shared" si="16"/>
        <v>12.533333333333333</v>
      </c>
      <c r="W64" s="23">
        <f t="shared" si="17"/>
        <v>12.5</v>
      </c>
      <c r="X64" s="23">
        <f t="shared" si="18"/>
        <v>12.466666666666667</v>
      </c>
      <c r="Y64" s="23">
        <f t="shared" si="19"/>
        <v>12.433333333333334</v>
      </c>
      <c r="Z64" s="23">
        <f t="shared" si="20"/>
        <v>12.4</v>
      </c>
      <c r="AA64" s="23">
        <f t="shared" si="21"/>
        <v>12.366666666666667</v>
      </c>
      <c r="AB64" s="23">
        <f t="shared" si="22"/>
        <v>12.333333333333334</v>
      </c>
      <c r="AC64" s="23">
        <f t="shared" si="23"/>
        <v>12.3</v>
      </c>
      <c r="AD64" s="23">
        <f t="shared" si="24"/>
        <v>12.266666666666667</v>
      </c>
      <c r="AE64" s="23">
        <f t="shared" si="25"/>
        <v>12.233333333333333</v>
      </c>
      <c r="AF64" s="23">
        <f t="shared" si="26"/>
        <v>12.2</v>
      </c>
      <c r="AG64" s="23">
        <f t="shared" si="27"/>
        <v>12.166666666666666</v>
      </c>
      <c r="AH64" s="23">
        <f t="shared" si="28"/>
        <v>12.133333333333333</v>
      </c>
      <c r="AI64" s="23">
        <f t="shared" si="29"/>
        <v>12.1</v>
      </c>
      <c r="AJ64" s="24" t="str">
        <f t="shared" si="44"/>
        <v>1,2,4,7,8,14,28,49,56,98,196,392</v>
      </c>
      <c r="AK64" s="10"/>
      <c r="AL64" s="10"/>
      <c r="AM64" s="10"/>
      <c r="AN64" s="10"/>
      <c r="AO64" s="10"/>
      <c r="AP64" s="10"/>
      <c r="AQ64" s="10"/>
    </row>
    <row r="65" spans="1:43" x14ac:dyDescent="0.45">
      <c r="A65" s="11"/>
      <c r="B65" s="8"/>
      <c r="C65" s="8"/>
      <c r="D65" s="8">
        <v>57</v>
      </c>
      <c r="E65" s="9">
        <f t="shared" si="30"/>
        <v>399</v>
      </c>
      <c r="F65" s="23">
        <f t="shared" si="38"/>
        <v>13.3</v>
      </c>
      <c r="G65" s="23">
        <f t="shared" si="39"/>
        <v>13.266666666666667</v>
      </c>
      <c r="H65" s="23">
        <f t="shared" si="40"/>
        <v>13.233333333333333</v>
      </c>
      <c r="I65" s="23">
        <f t="shared" si="41"/>
        <v>13.2</v>
      </c>
      <c r="J65" s="23">
        <f t="shared" si="42"/>
        <v>13.166666666666666</v>
      </c>
      <c r="K65" s="23">
        <f t="shared" si="43"/>
        <v>13.133333333333333</v>
      </c>
      <c r="L65" s="23">
        <f t="shared" si="1"/>
        <v>13.1</v>
      </c>
      <c r="M65" s="23">
        <f t="shared" si="7"/>
        <v>13.066666666666666</v>
      </c>
      <c r="N65" s="23">
        <f t="shared" si="8"/>
        <v>13.033333333333333</v>
      </c>
      <c r="O65" s="23">
        <f t="shared" si="9"/>
        <v>13</v>
      </c>
      <c r="P65" s="23">
        <f t="shared" si="10"/>
        <v>12.966666666666667</v>
      </c>
      <c r="Q65" s="23">
        <f t="shared" si="11"/>
        <v>12.933333333333334</v>
      </c>
      <c r="R65" s="23">
        <f t="shared" si="12"/>
        <v>12.9</v>
      </c>
      <c r="S65" s="23">
        <f t="shared" si="13"/>
        <v>12.866666666666667</v>
      </c>
      <c r="T65" s="23">
        <f t="shared" si="14"/>
        <v>12.833333333333334</v>
      </c>
      <c r="U65" s="23">
        <f t="shared" si="15"/>
        <v>12.8</v>
      </c>
      <c r="V65" s="23">
        <f t="shared" si="16"/>
        <v>12.766666666666667</v>
      </c>
      <c r="W65" s="23">
        <f t="shared" si="17"/>
        <v>12.733333333333333</v>
      </c>
      <c r="X65" s="23">
        <f t="shared" si="18"/>
        <v>12.7</v>
      </c>
      <c r="Y65" s="23">
        <f t="shared" si="19"/>
        <v>12.666666666666666</v>
      </c>
      <c r="Z65" s="23">
        <f t="shared" si="20"/>
        <v>12.633333333333333</v>
      </c>
      <c r="AA65" s="23">
        <f t="shared" si="21"/>
        <v>12.6</v>
      </c>
      <c r="AB65" s="23">
        <f t="shared" si="22"/>
        <v>12.566666666666666</v>
      </c>
      <c r="AC65" s="23">
        <f t="shared" si="23"/>
        <v>12.533333333333333</v>
      </c>
      <c r="AD65" s="23">
        <f t="shared" si="24"/>
        <v>12.5</v>
      </c>
      <c r="AE65" s="23">
        <f t="shared" si="25"/>
        <v>12.466666666666667</v>
      </c>
      <c r="AF65" s="23">
        <f t="shared" si="26"/>
        <v>12.433333333333334</v>
      </c>
      <c r="AG65" s="23">
        <f t="shared" si="27"/>
        <v>12.4</v>
      </c>
      <c r="AH65" s="23">
        <f t="shared" si="28"/>
        <v>12.366666666666667</v>
      </c>
      <c r="AI65" s="23">
        <f t="shared" si="29"/>
        <v>12.333333333333334</v>
      </c>
      <c r="AJ65" s="24" t="str">
        <f t="shared" si="44"/>
        <v>1,3,7,19,21,57,133,399</v>
      </c>
      <c r="AK65" s="10"/>
      <c r="AL65" s="10"/>
      <c r="AM65" s="10"/>
      <c r="AN65" s="10"/>
      <c r="AO65" s="10"/>
      <c r="AP65" s="10"/>
      <c r="AQ65" s="10"/>
    </row>
    <row r="66" spans="1:43" x14ac:dyDescent="0.45">
      <c r="A66" s="11"/>
      <c r="B66" s="8"/>
      <c r="C66" s="8"/>
      <c r="D66" s="8">
        <v>58</v>
      </c>
      <c r="E66" s="9">
        <f t="shared" si="30"/>
        <v>406</v>
      </c>
      <c r="F66" s="23">
        <f t="shared" si="38"/>
        <v>13.533333333333333</v>
      </c>
      <c r="G66" s="23">
        <f t="shared" si="39"/>
        <v>13.5</v>
      </c>
      <c r="H66" s="23">
        <f t="shared" si="40"/>
        <v>13.466666666666667</v>
      </c>
      <c r="I66" s="23">
        <f t="shared" si="41"/>
        <v>13.433333333333334</v>
      </c>
      <c r="J66" s="23">
        <f t="shared" si="42"/>
        <v>13.4</v>
      </c>
      <c r="K66" s="23">
        <f t="shared" si="43"/>
        <v>13.366666666666667</v>
      </c>
      <c r="L66" s="23">
        <f t="shared" si="1"/>
        <v>13.333333333333334</v>
      </c>
      <c r="M66" s="23">
        <f t="shared" si="7"/>
        <v>13.3</v>
      </c>
      <c r="N66" s="23">
        <f t="shared" si="8"/>
        <v>13.266666666666667</v>
      </c>
      <c r="O66" s="23">
        <f t="shared" si="9"/>
        <v>13.233333333333333</v>
      </c>
      <c r="P66" s="23">
        <f t="shared" si="10"/>
        <v>13.2</v>
      </c>
      <c r="Q66" s="23">
        <f t="shared" si="11"/>
        <v>13.166666666666666</v>
      </c>
      <c r="R66" s="23">
        <f t="shared" si="12"/>
        <v>13.133333333333333</v>
      </c>
      <c r="S66" s="23">
        <f t="shared" si="13"/>
        <v>13.1</v>
      </c>
      <c r="T66" s="23">
        <f t="shared" si="14"/>
        <v>13.066666666666666</v>
      </c>
      <c r="U66" s="23">
        <f t="shared" si="15"/>
        <v>13.033333333333333</v>
      </c>
      <c r="V66" s="23">
        <f t="shared" si="16"/>
        <v>13</v>
      </c>
      <c r="W66" s="23">
        <f t="shared" si="17"/>
        <v>12.966666666666667</v>
      </c>
      <c r="X66" s="23">
        <f t="shared" si="18"/>
        <v>12.933333333333334</v>
      </c>
      <c r="Y66" s="23">
        <f t="shared" si="19"/>
        <v>12.9</v>
      </c>
      <c r="Z66" s="23">
        <f t="shared" si="20"/>
        <v>12.866666666666667</v>
      </c>
      <c r="AA66" s="23">
        <f t="shared" si="21"/>
        <v>12.833333333333334</v>
      </c>
      <c r="AB66" s="23">
        <f t="shared" si="22"/>
        <v>12.8</v>
      </c>
      <c r="AC66" s="23">
        <f t="shared" si="23"/>
        <v>12.766666666666667</v>
      </c>
      <c r="AD66" s="23">
        <f t="shared" si="24"/>
        <v>12.733333333333333</v>
      </c>
      <c r="AE66" s="23">
        <f t="shared" si="25"/>
        <v>12.7</v>
      </c>
      <c r="AF66" s="23">
        <f t="shared" si="26"/>
        <v>12.666666666666666</v>
      </c>
      <c r="AG66" s="23">
        <f t="shared" si="27"/>
        <v>12.633333333333333</v>
      </c>
      <c r="AH66" s="23">
        <f t="shared" si="28"/>
        <v>12.6</v>
      </c>
      <c r="AI66" s="23">
        <f t="shared" si="29"/>
        <v>12.566666666666666</v>
      </c>
      <c r="AJ66" s="24" t="str">
        <f t="shared" si="44"/>
        <v>1,2,7,14,29,58,203,406</v>
      </c>
      <c r="AK66" s="10"/>
      <c r="AL66" s="10"/>
      <c r="AM66" s="10"/>
      <c r="AN66" s="10"/>
      <c r="AO66" s="10"/>
      <c r="AP66" s="10"/>
      <c r="AQ66" s="10"/>
    </row>
    <row r="67" spans="1:43" x14ac:dyDescent="0.45">
      <c r="A67" s="11"/>
      <c r="B67" s="8"/>
      <c r="C67" s="8"/>
      <c r="D67" s="8">
        <v>59</v>
      </c>
      <c r="E67" s="9">
        <f t="shared" si="30"/>
        <v>413</v>
      </c>
      <c r="F67" s="23">
        <f t="shared" si="38"/>
        <v>13.766666666666667</v>
      </c>
      <c r="G67" s="23">
        <f t="shared" si="39"/>
        <v>13.733333333333333</v>
      </c>
      <c r="H67" s="23">
        <f t="shared" si="40"/>
        <v>13.7</v>
      </c>
      <c r="I67" s="23">
        <f t="shared" si="41"/>
        <v>13.666666666666666</v>
      </c>
      <c r="J67" s="23">
        <f t="shared" si="42"/>
        <v>13.633333333333333</v>
      </c>
      <c r="K67" s="23">
        <f t="shared" si="43"/>
        <v>13.6</v>
      </c>
      <c r="L67" s="23">
        <f t="shared" si="1"/>
        <v>13.566666666666666</v>
      </c>
      <c r="M67" s="23">
        <f t="shared" si="7"/>
        <v>13.533333333333333</v>
      </c>
      <c r="N67" s="23">
        <f t="shared" si="8"/>
        <v>13.5</v>
      </c>
      <c r="O67" s="23">
        <f t="shared" si="9"/>
        <v>13.466666666666667</v>
      </c>
      <c r="P67" s="23">
        <f t="shared" si="10"/>
        <v>13.433333333333334</v>
      </c>
      <c r="Q67" s="23">
        <f t="shared" si="11"/>
        <v>13.4</v>
      </c>
      <c r="R67" s="23">
        <f t="shared" si="12"/>
        <v>13.366666666666667</v>
      </c>
      <c r="S67" s="23">
        <f t="shared" si="13"/>
        <v>13.333333333333334</v>
      </c>
      <c r="T67" s="23">
        <f t="shared" si="14"/>
        <v>13.3</v>
      </c>
      <c r="U67" s="23">
        <f t="shared" si="15"/>
        <v>13.266666666666667</v>
      </c>
      <c r="V67" s="23">
        <f t="shared" si="16"/>
        <v>13.233333333333333</v>
      </c>
      <c r="W67" s="23">
        <f t="shared" si="17"/>
        <v>13.2</v>
      </c>
      <c r="X67" s="23">
        <f t="shared" si="18"/>
        <v>13.166666666666666</v>
      </c>
      <c r="Y67" s="23">
        <f t="shared" si="19"/>
        <v>13.133333333333333</v>
      </c>
      <c r="Z67" s="23">
        <f t="shared" si="20"/>
        <v>13.1</v>
      </c>
      <c r="AA67" s="23">
        <f t="shared" si="21"/>
        <v>13.066666666666666</v>
      </c>
      <c r="AB67" s="23">
        <f t="shared" si="22"/>
        <v>13.033333333333333</v>
      </c>
      <c r="AC67" s="23">
        <f t="shared" si="23"/>
        <v>13</v>
      </c>
      <c r="AD67" s="23">
        <f t="shared" si="24"/>
        <v>12.966666666666667</v>
      </c>
      <c r="AE67" s="23">
        <f t="shared" si="25"/>
        <v>12.933333333333334</v>
      </c>
      <c r="AF67" s="23">
        <f t="shared" si="26"/>
        <v>12.9</v>
      </c>
      <c r="AG67" s="23">
        <f t="shared" si="27"/>
        <v>12.866666666666667</v>
      </c>
      <c r="AH67" s="23">
        <f t="shared" si="28"/>
        <v>12.833333333333334</v>
      </c>
      <c r="AI67" s="23">
        <f t="shared" si="29"/>
        <v>12.8</v>
      </c>
      <c r="AJ67" s="24" t="str">
        <f t="shared" si="44"/>
        <v>1,7,59,413</v>
      </c>
      <c r="AK67" s="10"/>
      <c r="AL67" s="10"/>
      <c r="AM67" s="10"/>
      <c r="AN67" s="10"/>
      <c r="AO67" s="10"/>
      <c r="AP67" s="10"/>
      <c r="AQ67" s="10"/>
    </row>
    <row r="68" spans="1:43" x14ac:dyDescent="0.45">
      <c r="A68" s="11"/>
      <c r="B68" s="8"/>
      <c r="C68" s="48" t="s">
        <v>5</v>
      </c>
      <c r="D68" s="8"/>
      <c r="E68" s="9"/>
      <c r="F68" s="9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0"/>
      <c r="AL68" s="10"/>
      <c r="AM68" s="10"/>
      <c r="AN68" s="10"/>
      <c r="AO68" s="10"/>
      <c r="AP68" s="10"/>
      <c r="AQ68" s="10"/>
    </row>
    <row r="69" spans="1:43" x14ac:dyDescent="0.45">
      <c r="A69" s="11"/>
      <c r="B69" s="8"/>
      <c r="C69" s="23">
        <f>(D69-0)/30</f>
        <v>2</v>
      </c>
      <c r="D69" s="8">
        <v>60</v>
      </c>
      <c r="E69" s="9">
        <f t="shared" si="30"/>
        <v>420</v>
      </c>
      <c r="F69" s="23">
        <f>(E69-0)/30</f>
        <v>14</v>
      </c>
      <c r="G69" s="23">
        <f t="shared" si="39"/>
        <v>13.966666666666667</v>
      </c>
      <c r="H69" s="23">
        <f t="shared" si="40"/>
        <v>13.933333333333334</v>
      </c>
      <c r="I69" s="23">
        <f t="shared" si="41"/>
        <v>13.9</v>
      </c>
      <c r="J69" s="23">
        <f t="shared" si="42"/>
        <v>13.866666666666667</v>
      </c>
      <c r="K69" s="23">
        <f t="shared" si="43"/>
        <v>13.833333333333334</v>
      </c>
      <c r="L69" s="23">
        <f t="shared" si="1"/>
        <v>13.8</v>
      </c>
      <c r="M69" s="23">
        <f t="shared" si="7"/>
        <v>13.766666666666667</v>
      </c>
      <c r="N69" s="23">
        <f t="shared" si="8"/>
        <v>13.733333333333333</v>
      </c>
      <c r="O69" s="23">
        <f t="shared" si="9"/>
        <v>13.7</v>
      </c>
      <c r="P69" s="23">
        <f t="shared" si="10"/>
        <v>13.666666666666666</v>
      </c>
      <c r="Q69" s="23">
        <f t="shared" si="11"/>
        <v>13.633333333333333</v>
      </c>
      <c r="R69" s="23">
        <f t="shared" si="12"/>
        <v>13.6</v>
      </c>
      <c r="S69" s="23">
        <f t="shared" si="13"/>
        <v>13.566666666666666</v>
      </c>
      <c r="T69" s="23">
        <f t="shared" si="14"/>
        <v>13.533333333333333</v>
      </c>
      <c r="U69" s="23">
        <f t="shared" si="15"/>
        <v>13.5</v>
      </c>
      <c r="V69" s="23">
        <f t="shared" si="16"/>
        <v>13.466666666666667</v>
      </c>
      <c r="W69" s="23">
        <f t="shared" si="17"/>
        <v>13.433333333333334</v>
      </c>
      <c r="X69" s="23">
        <f t="shared" si="18"/>
        <v>13.4</v>
      </c>
      <c r="Y69" s="23">
        <f t="shared" si="19"/>
        <v>13.366666666666667</v>
      </c>
      <c r="Z69" s="23">
        <f t="shared" si="20"/>
        <v>13.333333333333334</v>
      </c>
      <c r="AA69" s="23">
        <f t="shared" si="21"/>
        <v>13.3</v>
      </c>
      <c r="AB69" s="23">
        <f t="shared" si="22"/>
        <v>13.266666666666667</v>
      </c>
      <c r="AC69" s="23">
        <f t="shared" si="23"/>
        <v>13.233333333333333</v>
      </c>
      <c r="AD69" s="23">
        <f t="shared" si="24"/>
        <v>13.2</v>
      </c>
      <c r="AE69" s="23">
        <f t="shared" si="25"/>
        <v>13.166666666666666</v>
      </c>
      <c r="AF69" s="23">
        <f t="shared" si="26"/>
        <v>13.133333333333333</v>
      </c>
      <c r="AG69" s="23">
        <f t="shared" si="27"/>
        <v>13.1</v>
      </c>
      <c r="AH69" s="23">
        <f t="shared" si="28"/>
        <v>13.066666666666666</v>
      </c>
      <c r="AI69" s="23">
        <f t="shared" si="29"/>
        <v>13.033333333333333</v>
      </c>
      <c r="AJ69" s="24" t="str">
        <f t="shared" si="44"/>
        <v>1,2,3,4,5,6,7,10,12,14,15,20,21,28,30,35,42,60,70,84,105,140,210,420</v>
      </c>
      <c r="AK69" s="10"/>
      <c r="AL69" s="10"/>
      <c r="AM69" s="10"/>
      <c r="AN69" s="10"/>
      <c r="AO69" s="10"/>
      <c r="AP69" s="10"/>
      <c r="AQ69" s="10"/>
    </row>
    <row r="70" spans="1:43" x14ac:dyDescent="0.45">
      <c r="A70" s="11"/>
      <c r="B70" s="8"/>
      <c r="C70" s="8"/>
      <c r="D70" s="8">
        <v>61</v>
      </c>
      <c r="E70" s="9">
        <f t="shared" si="30"/>
        <v>427</v>
      </c>
      <c r="F70" s="23">
        <f t="shared" ref="F70:F98" si="45">(E70-0)/30</f>
        <v>14.233333333333333</v>
      </c>
      <c r="G70" s="23">
        <f t="shared" si="39"/>
        <v>14.2</v>
      </c>
      <c r="H70" s="23">
        <f t="shared" si="40"/>
        <v>14.166666666666666</v>
      </c>
      <c r="I70" s="23">
        <f t="shared" si="41"/>
        <v>14.133333333333333</v>
      </c>
      <c r="J70" s="23">
        <f t="shared" si="42"/>
        <v>14.1</v>
      </c>
      <c r="K70" s="23">
        <f t="shared" si="43"/>
        <v>14.066666666666666</v>
      </c>
      <c r="L70" s="23">
        <f t="shared" si="1"/>
        <v>14.033333333333333</v>
      </c>
      <c r="M70" s="23">
        <f t="shared" si="7"/>
        <v>14</v>
      </c>
      <c r="N70" s="23">
        <f t="shared" si="8"/>
        <v>13.966666666666667</v>
      </c>
      <c r="O70" s="23">
        <f t="shared" si="9"/>
        <v>13.933333333333334</v>
      </c>
      <c r="P70" s="23">
        <f t="shared" si="10"/>
        <v>13.9</v>
      </c>
      <c r="Q70" s="23">
        <f t="shared" si="11"/>
        <v>13.866666666666667</v>
      </c>
      <c r="R70" s="23">
        <f t="shared" si="12"/>
        <v>13.833333333333334</v>
      </c>
      <c r="S70" s="23">
        <f t="shared" si="13"/>
        <v>13.8</v>
      </c>
      <c r="T70" s="23">
        <f t="shared" si="14"/>
        <v>13.766666666666667</v>
      </c>
      <c r="U70" s="23">
        <f t="shared" si="15"/>
        <v>13.733333333333333</v>
      </c>
      <c r="V70" s="23">
        <f t="shared" si="16"/>
        <v>13.7</v>
      </c>
      <c r="W70" s="23">
        <f t="shared" si="17"/>
        <v>13.666666666666666</v>
      </c>
      <c r="X70" s="23">
        <f t="shared" si="18"/>
        <v>13.633333333333333</v>
      </c>
      <c r="Y70" s="23">
        <f t="shared" si="19"/>
        <v>13.6</v>
      </c>
      <c r="Z70" s="23">
        <f t="shared" si="20"/>
        <v>13.566666666666666</v>
      </c>
      <c r="AA70" s="23">
        <f t="shared" si="21"/>
        <v>13.533333333333333</v>
      </c>
      <c r="AB70" s="23">
        <f t="shared" si="22"/>
        <v>13.5</v>
      </c>
      <c r="AC70" s="23">
        <f t="shared" si="23"/>
        <v>13.466666666666667</v>
      </c>
      <c r="AD70" s="23">
        <f t="shared" si="24"/>
        <v>13.433333333333334</v>
      </c>
      <c r="AE70" s="23">
        <f t="shared" si="25"/>
        <v>13.4</v>
      </c>
      <c r="AF70" s="23">
        <f t="shared" si="26"/>
        <v>13.366666666666667</v>
      </c>
      <c r="AG70" s="23">
        <f t="shared" si="27"/>
        <v>13.333333333333334</v>
      </c>
      <c r="AH70" s="23">
        <f t="shared" si="28"/>
        <v>13.3</v>
      </c>
      <c r="AI70" s="23">
        <f t="shared" si="29"/>
        <v>13.266666666666667</v>
      </c>
      <c r="AJ70" s="24" t="str">
        <f t="shared" si="44"/>
        <v>1,7,61,427</v>
      </c>
      <c r="AK70" s="10"/>
      <c r="AL70" s="10"/>
      <c r="AM70" s="10"/>
      <c r="AN70" s="10"/>
      <c r="AO70" s="10"/>
      <c r="AP70" s="10"/>
      <c r="AQ70" s="10"/>
    </row>
    <row r="71" spans="1:43" x14ac:dyDescent="0.45">
      <c r="A71" s="11"/>
      <c r="B71" s="8"/>
      <c r="C71" s="8"/>
      <c r="D71" s="8">
        <v>62</v>
      </c>
      <c r="E71" s="9">
        <f t="shared" si="30"/>
        <v>434</v>
      </c>
      <c r="F71" s="23">
        <f t="shared" si="45"/>
        <v>14.466666666666667</v>
      </c>
      <c r="G71" s="23">
        <f t="shared" si="39"/>
        <v>14.433333333333334</v>
      </c>
      <c r="H71" s="23">
        <f t="shared" si="40"/>
        <v>14.4</v>
      </c>
      <c r="I71" s="23">
        <f t="shared" si="41"/>
        <v>14.366666666666667</v>
      </c>
      <c r="J71" s="23">
        <f t="shared" si="42"/>
        <v>14.333333333333334</v>
      </c>
      <c r="K71" s="23">
        <f t="shared" si="43"/>
        <v>14.3</v>
      </c>
      <c r="L71" s="23">
        <f t="shared" si="1"/>
        <v>14.266666666666667</v>
      </c>
      <c r="M71" s="23">
        <f t="shared" si="7"/>
        <v>14.233333333333333</v>
      </c>
      <c r="N71" s="23">
        <f t="shared" si="8"/>
        <v>14.2</v>
      </c>
      <c r="O71" s="23">
        <f t="shared" si="9"/>
        <v>14.166666666666666</v>
      </c>
      <c r="P71" s="23">
        <f t="shared" si="10"/>
        <v>14.133333333333333</v>
      </c>
      <c r="Q71" s="23">
        <f t="shared" si="11"/>
        <v>14.1</v>
      </c>
      <c r="R71" s="23">
        <f t="shared" si="12"/>
        <v>14.066666666666666</v>
      </c>
      <c r="S71" s="23">
        <f t="shared" si="13"/>
        <v>14.033333333333333</v>
      </c>
      <c r="T71" s="23">
        <f t="shared" si="14"/>
        <v>14</v>
      </c>
      <c r="U71" s="23">
        <f t="shared" si="15"/>
        <v>13.966666666666667</v>
      </c>
      <c r="V71" s="23">
        <f t="shared" si="16"/>
        <v>13.933333333333334</v>
      </c>
      <c r="W71" s="23">
        <f t="shared" si="17"/>
        <v>13.9</v>
      </c>
      <c r="X71" s="23">
        <f t="shared" si="18"/>
        <v>13.866666666666667</v>
      </c>
      <c r="Y71" s="23">
        <f t="shared" si="19"/>
        <v>13.833333333333334</v>
      </c>
      <c r="Z71" s="23">
        <f t="shared" si="20"/>
        <v>13.8</v>
      </c>
      <c r="AA71" s="23">
        <f t="shared" si="21"/>
        <v>13.766666666666667</v>
      </c>
      <c r="AB71" s="23">
        <f t="shared" si="22"/>
        <v>13.733333333333333</v>
      </c>
      <c r="AC71" s="23">
        <f t="shared" si="23"/>
        <v>13.7</v>
      </c>
      <c r="AD71" s="23">
        <f t="shared" si="24"/>
        <v>13.666666666666666</v>
      </c>
      <c r="AE71" s="23">
        <f t="shared" si="25"/>
        <v>13.633333333333333</v>
      </c>
      <c r="AF71" s="23">
        <f t="shared" si="26"/>
        <v>13.6</v>
      </c>
      <c r="AG71" s="23">
        <f t="shared" si="27"/>
        <v>13.566666666666666</v>
      </c>
      <c r="AH71" s="23">
        <f t="shared" si="28"/>
        <v>13.533333333333333</v>
      </c>
      <c r="AI71" s="23">
        <f t="shared" si="29"/>
        <v>13.5</v>
      </c>
      <c r="AJ71" s="24" t="str">
        <f t="shared" si="44"/>
        <v>1,2,7,14,31,62,217,434</v>
      </c>
      <c r="AK71" s="10"/>
      <c r="AL71" s="10"/>
      <c r="AM71" s="10"/>
      <c r="AN71" s="10"/>
      <c r="AO71" s="10"/>
      <c r="AP71" s="10"/>
      <c r="AQ71" s="10"/>
    </row>
    <row r="72" spans="1:43" x14ac:dyDescent="0.45">
      <c r="A72" s="11"/>
      <c r="B72" s="8"/>
      <c r="C72" s="8"/>
      <c r="D72" s="8">
        <v>63</v>
      </c>
      <c r="E72" s="9">
        <f t="shared" si="30"/>
        <v>441</v>
      </c>
      <c r="F72" s="23">
        <f t="shared" si="45"/>
        <v>14.7</v>
      </c>
      <c r="G72" s="23">
        <f t="shared" si="39"/>
        <v>14.666666666666666</v>
      </c>
      <c r="H72" s="23">
        <f t="shared" si="40"/>
        <v>14.633333333333333</v>
      </c>
      <c r="I72" s="23">
        <f t="shared" si="41"/>
        <v>14.6</v>
      </c>
      <c r="J72" s="23">
        <f t="shared" si="42"/>
        <v>14.566666666666666</v>
      </c>
      <c r="K72" s="23">
        <f t="shared" si="43"/>
        <v>14.533333333333333</v>
      </c>
      <c r="L72" s="23">
        <f t="shared" si="1"/>
        <v>14.5</v>
      </c>
      <c r="M72" s="23">
        <f t="shared" si="7"/>
        <v>14.466666666666667</v>
      </c>
      <c r="N72" s="23">
        <f t="shared" si="8"/>
        <v>14.433333333333334</v>
      </c>
      <c r="O72" s="23">
        <f t="shared" si="9"/>
        <v>14.4</v>
      </c>
      <c r="P72" s="23">
        <f t="shared" si="10"/>
        <v>14.366666666666667</v>
      </c>
      <c r="Q72" s="23">
        <f t="shared" si="11"/>
        <v>14.333333333333334</v>
      </c>
      <c r="R72" s="23">
        <f t="shared" si="12"/>
        <v>14.3</v>
      </c>
      <c r="S72" s="23">
        <f t="shared" si="13"/>
        <v>14.266666666666667</v>
      </c>
      <c r="T72" s="23">
        <f t="shared" si="14"/>
        <v>14.233333333333333</v>
      </c>
      <c r="U72" s="23">
        <f t="shared" si="15"/>
        <v>14.2</v>
      </c>
      <c r="V72" s="23">
        <f t="shared" si="16"/>
        <v>14.166666666666666</v>
      </c>
      <c r="W72" s="23">
        <f t="shared" si="17"/>
        <v>14.133333333333333</v>
      </c>
      <c r="X72" s="23">
        <f t="shared" si="18"/>
        <v>14.1</v>
      </c>
      <c r="Y72" s="23">
        <f t="shared" si="19"/>
        <v>14.066666666666666</v>
      </c>
      <c r="Z72" s="23">
        <f t="shared" si="20"/>
        <v>14.033333333333333</v>
      </c>
      <c r="AA72" s="23">
        <f t="shared" si="21"/>
        <v>14</v>
      </c>
      <c r="AB72" s="23">
        <f t="shared" si="22"/>
        <v>13.966666666666667</v>
      </c>
      <c r="AC72" s="23">
        <f t="shared" si="23"/>
        <v>13.933333333333334</v>
      </c>
      <c r="AD72" s="23">
        <f t="shared" si="24"/>
        <v>13.9</v>
      </c>
      <c r="AE72" s="23">
        <f t="shared" si="25"/>
        <v>13.866666666666667</v>
      </c>
      <c r="AF72" s="23">
        <f t="shared" si="26"/>
        <v>13.833333333333334</v>
      </c>
      <c r="AG72" s="23">
        <f t="shared" si="27"/>
        <v>13.8</v>
      </c>
      <c r="AH72" s="23">
        <f t="shared" si="28"/>
        <v>13.766666666666667</v>
      </c>
      <c r="AI72" s="23">
        <f t="shared" si="29"/>
        <v>13.733333333333333</v>
      </c>
      <c r="AJ72" s="24" t="str">
        <f t="shared" si="44"/>
        <v>1,3,7,9,21,49,63,147,441</v>
      </c>
      <c r="AK72" s="10"/>
      <c r="AL72" s="10"/>
      <c r="AM72" s="10"/>
      <c r="AN72" s="10"/>
      <c r="AO72" s="10"/>
      <c r="AP72" s="10"/>
      <c r="AQ72" s="10"/>
    </row>
    <row r="73" spans="1:43" x14ac:dyDescent="0.45">
      <c r="A73" s="11"/>
      <c r="B73" s="8"/>
      <c r="C73" s="8"/>
      <c r="D73" s="8">
        <v>64</v>
      </c>
      <c r="E73" s="9">
        <f t="shared" si="30"/>
        <v>448</v>
      </c>
      <c r="F73" s="23">
        <f t="shared" si="45"/>
        <v>14.933333333333334</v>
      </c>
      <c r="G73" s="23">
        <f t="shared" si="39"/>
        <v>14.9</v>
      </c>
      <c r="H73" s="23">
        <f t="shared" si="40"/>
        <v>14.866666666666667</v>
      </c>
      <c r="I73" s="23">
        <f t="shared" si="41"/>
        <v>14.833333333333334</v>
      </c>
      <c r="J73" s="23">
        <f t="shared" si="42"/>
        <v>14.8</v>
      </c>
      <c r="K73" s="23">
        <f t="shared" si="43"/>
        <v>14.766666666666667</v>
      </c>
      <c r="L73" s="23">
        <f t="shared" ref="L73:L133" si="46">($E73-6)/30</f>
        <v>14.733333333333333</v>
      </c>
      <c r="M73" s="23">
        <f t="shared" si="7"/>
        <v>14.7</v>
      </c>
      <c r="N73" s="23">
        <f t="shared" si="8"/>
        <v>14.666666666666666</v>
      </c>
      <c r="O73" s="23">
        <f t="shared" si="9"/>
        <v>14.633333333333333</v>
      </c>
      <c r="P73" s="23">
        <f t="shared" si="10"/>
        <v>14.6</v>
      </c>
      <c r="Q73" s="23">
        <f t="shared" si="11"/>
        <v>14.566666666666666</v>
      </c>
      <c r="R73" s="23">
        <f t="shared" si="12"/>
        <v>14.533333333333333</v>
      </c>
      <c r="S73" s="23">
        <f t="shared" si="13"/>
        <v>14.5</v>
      </c>
      <c r="T73" s="23">
        <f t="shared" si="14"/>
        <v>14.466666666666667</v>
      </c>
      <c r="U73" s="23">
        <f t="shared" si="15"/>
        <v>14.433333333333334</v>
      </c>
      <c r="V73" s="23">
        <f t="shared" si="16"/>
        <v>14.4</v>
      </c>
      <c r="W73" s="23">
        <f t="shared" si="17"/>
        <v>14.366666666666667</v>
      </c>
      <c r="X73" s="23">
        <f t="shared" si="18"/>
        <v>14.333333333333334</v>
      </c>
      <c r="Y73" s="23">
        <f t="shared" si="19"/>
        <v>14.3</v>
      </c>
      <c r="Z73" s="23">
        <f t="shared" si="20"/>
        <v>14.266666666666667</v>
      </c>
      <c r="AA73" s="23">
        <f t="shared" si="21"/>
        <v>14.233333333333333</v>
      </c>
      <c r="AB73" s="23">
        <f t="shared" si="22"/>
        <v>14.2</v>
      </c>
      <c r="AC73" s="23">
        <f t="shared" si="23"/>
        <v>14.166666666666666</v>
      </c>
      <c r="AD73" s="23">
        <f t="shared" si="24"/>
        <v>14.133333333333333</v>
      </c>
      <c r="AE73" s="23">
        <f t="shared" si="25"/>
        <v>14.1</v>
      </c>
      <c r="AF73" s="23">
        <f t="shared" si="26"/>
        <v>14.066666666666666</v>
      </c>
      <c r="AG73" s="23">
        <f t="shared" si="27"/>
        <v>14.033333333333333</v>
      </c>
      <c r="AH73" s="23">
        <f t="shared" si="28"/>
        <v>14</v>
      </c>
      <c r="AI73" s="23">
        <f t="shared" si="29"/>
        <v>13.966666666666667</v>
      </c>
      <c r="AJ73" s="24" t="str">
        <f t="shared" si="44"/>
        <v>1,2,4,7,8,14,16,28,32,56,64,112,224,448</v>
      </c>
      <c r="AK73" s="10"/>
      <c r="AL73" s="10"/>
      <c r="AM73" s="10"/>
      <c r="AN73" s="10"/>
      <c r="AO73" s="10"/>
      <c r="AP73" s="10"/>
      <c r="AQ73" s="10"/>
    </row>
    <row r="74" spans="1:43" x14ac:dyDescent="0.45">
      <c r="A74" s="11"/>
      <c r="B74" s="8"/>
      <c r="C74" s="8"/>
      <c r="D74" s="8">
        <v>65</v>
      </c>
      <c r="E74" s="9">
        <f t="shared" si="30"/>
        <v>455</v>
      </c>
      <c r="F74" s="23">
        <f t="shared" si="45"/>
        <v>15.166666666666666</v>
      </c>
      <c r="G74" s="23">
        <f t="shared" si="39"/>
        <v>15.133333333333333</v>
      </c>
      <c r="H74" s="23">
        <f t="shared" si="40"/>
        <v>15.1</v>
      </c>
      <c r="I74" s="23">
        <f t="shared" si="41"/>
        <v>15.066666666666666</v>
      </c>
      <c r="J74" s="23">
        <f t="shared" si="42"/>
        <v>15.033333333333333</v>
      </c>
      <c r="K74" s="23">
        <f t="shared" si="43"/>
        <v>15</v>
      </c>
      <c r="L74" s="23">
        <f t="shared" si="46"/>
        <v>14.966666666666667</v>
      </c>
      <c r="M74" s="23">
        <f t="shared" si="7"/>
        <v>14.933333333333334</v>
      </c>
      <c r="N74" s="23">
        <f t="shared" si="8"/>
        <v>14.9</v>
      </c>
      <c r="O74" s="23">
        <f t="shared" si="9"/>
        <v>14.866666666666667</v>
      </c>
      <c r="P74" s="23">
        <f t="shared" si="10"/>
        <v>14.833333333333334</v>
      </c>
      <c r="Q74" s="23">
        <f t="shared" si="11"/>
        <v>14.8</v>
      </c>
      <c r="R74" s="23">
        <f t="shared" si="12"/>
        <v>14.766666666666667</v>
      </c>
      <c r="S74" s="23">
        <f t="shared" si="13"/>
        <v>14.733333333333333</v>
      </c>
      <c r="T74" s="23">
        <f t="shared" si="14"/>
        <v>14.7</v>
      </c>
      <c r="U74" s="23">
        <f t="shared" si="15"/>
        <v>14.666666666666666</v>
      </c>
      <c r="V74" s="23">
        <f t="shared" si="16"/>
        <v>14.633333333333333</v>
      </c>
      <c r="W74" s="23">
        <f t="shared" si="17"/>
        <v>14.6</v>
      </c>
      <c r="X74" s="23">
        <f t="shared" si="18"/>
        <v>14.566666666666666</v>
      </c>
      <c r="Y74" s="23">
        <f t="shared" si="19"/>
        <v>14.533333333333333</v>
      </c>
      <c r="Z74" s="23">
        <f t="shared" si="20"/>
        <v>14.5</v>
      </c>
      <c r="AA74" s="23">
        <f t="shared" si="21"/>
        <v>14.466666666666667</v>
      </c>
      <c r="AB74" s="23">
        <f t="shared" si="22"/>
        <v>14.433333333333334</v>
      </c>
      <c r="AC74" s="23">
        <f t="shared" si="23"/>
        <v>14.4</v>
      </c>
      <c r="AD74" s="23">
        <f t="shared" si="24"/>
        <v>14.366666666666667</v>
      </c>
      <c r="AE74" s="23">
        <f t="shared" si="25"/>
        <v>14.333333333333334</v>
      </c>
      <c r="AF74" s="23">
        <f t="shared" si="26"/>
        <v>14.3</v>
      </c>
      <c r="AG74" s="23">
        <f t="shared" si="27"/>
        <v>14.266666666666667</v>
      </c>
      <c r="AH74" s="23">
        <f t="shared" si="28"/>
        <v>14.233333333333333</v>
      </c>
      <c r="AI74" s="23">
        <f t="shared" si="29"/>
        <v>14.2</v>
      </c>
      <c r="AJ74" s="24" t="str">
        <f t="shared" si="44"/>
        <v>1,5,7,13,35,65,91,455</v>
      </c>
      <c r="AK74" s="10"/>
      <c r="AL74" s="10"/>
      <c r="AM74" s="10"/>
      <c r="AN74" s="10"/>
      <c r="AO74" s="10"/>
      <c r="AP74" s="10"/>
      <c r="AQ74" s="10"/>
    </row>
    <row r="75" spans="1:43" x14ac:dyDescent="0.45">
      <c r="A75" s="11"/>
      <c r="B75" s="8"/>
      <c r="C75" s="8"/>
      <c r="D75" s="8">
        <v>66</v>
      </c>
      <c r="E75" s="9">
        <f t="shared" ref="E75:E133" si="47">D75*$E$6</f>
        <v>462</v>
      </c>
      <c r="F75" s="23">
        <f t="shared" si="45"/>
        <v>15.4</v>
      </c>
      <c r="G75" s="23">
        <f t="shared" si="39"/>
        <v>15.366666666666667</v>
      </c>
      <c r="H75" s="23">
        <f t="shared" si="40"/>
        <v>15.333333333333334</v>
      </c>
      <c r="I75" s="23">
        <f t="shared" si="41"/>
        <v>15.3</v>
      </c>
      <c r="J75" s="23">
        <f t="shared" si="42"/>
        <v>15.266666666666667</v>
      </c>
      <c r="K75" s="23">
        <f t="shared" si="43"/>
        <v>15.233333333333333</v>
      </c>
      <c r="L75" s="23">
        <f t="shared" si="46"/>
        <v>15.2</v>
      </c>
      <c r="M75" s="23">
        <f t="shared" ref="M75:M133" si="48">($E75-7)/30</f>
        <v>15.166666666666666</v>
      </c>
      <c r="N75" s="23">
        <f t="shared" ref="N75:N133" si="49">($E75-8)/30</f>
        <v>15.133333333333333</v>
      </c>
      <c r="O75" s="23">
        <f t="shared" ref="O75:O133" si="50">($E75-9)/30</f>
        <v>15.1</v>
      </c>
      <c r="P75" s="23">
        <f t="shared" ref="P75:P133" si="51">($E75-10)/30</f>
        <v>15.066666666666666</v>
      </c>
      <c r="Q75" s="23">
        <f t="shared" ref="Q75:Q133" si="52">($E75-11)/30</f>
        <v>15.033333333333333</v>
      </c>
      <c r="R75" s="23">
        <f t="shared" ref="R75:R133" si="53">($E75-12)/30</f>
        <v>15</v>
      </c>
      <c r="S75" s="23">
        <f t="shared" ref="S75:S133" si="54">($E75-13)/30</f>
        <v>14.966666666666667</v>
      </c>
      <c r="T75" s="23">
        <f t="shared" ref="T75:T133" si="55">($E75-14)/30</f>
        <v>14.933333333333334</v>
      </c>
      <c r="U75" s="23">
        <f t="shared" ref="U75:U133" si="56">($E75-15)/30</f>
        <v>14.9</v>
      </c>
      <c r="V75" s="23">
        <f t="shared" ref="V75:V133" si="57">($E75-16)/30</f>
        <v>14.866666666666667</v>
      </c>
      <c r="W75" s="23">
        <f t="shared" ref="W75:W133" si="58">($E75-17)/30</f>
        <v>14.833333333333334</v>
      </c>
      <c r="X75" s="23">
        <f t="shared" ref="X75:X133" si="59">($E75-18)/30</f>
        <v>14.8</v>
      </c>
      <c r="Y75" s="23">
        <f t="shared" ref="Y75:Y133" si="60">($E75-19)/30</f>
        <v>14.766666666666667</v>
      </c>
      <c r="Z75" s="23">
        <f t="shared" ref="Z75:Z133" si="61">($E75-20)/30</f>
        <v>14.733333333333333</v>
      </c>
      <c r="AA75" s="23">
        <f t="shared" ref="AA75:AA133" si="62">($E75-21)/30</f>
        <v>14.7</v>
      </c>
      <c r="AB75" s="23">
        <f t="shared" ref="AB75:AB133" si="63">($E75-22)/30</f>
        <v>14.666666666666666</v>
      </c>
      <c r="AC75" s="23">
        <f t="shared" ref="AC75:AC133" si="64">($E75-23)/30</f>
        <v>14.633333333333333</v>
      </c>
      <c r="AD75" s="23">
        <f t="shared" ref="AD75:AD133" si="65">($E75-24)/30</f>
        <v>14.6</v>
      </c>
      <c r="AE75" s="23">
        <f t="shared" ref="AE75:AE133" si="66">($E75-25)/30</f>
        <v>14.566666666666666</v>
      </c>
      <c r="AF75" s="23">
        <f t="shared" ref="AF75:AF133" si="67">($E75-26)/30</f>
        <v>14.533333333333333</v>
      </c>
      <c r="AG75" s="23">
        <f t="shared" ref="AG75:AG133" si="68">($E75-27)/30</f>
        <v>14.5</v>
      </c>
      <c r="AH75" s="23">
        <f t="shared" ref="AH75:AH133" si="69">($E75-28)/30</f>
        <v>14.466666666666667</v>
      </c>
      <c r="AI75" s="23">
        <f t="shared" ref="AI75:AI133" si="70">($E75-29)/30</f>
        <v>14.433333333333334</v>
      </c>
      <c r="AJ75" s="24" t="str">
        <f t="shared" si="44"/>
        <v>1,2,3,6,7,11,14,21,22,33,42,66,77,154,231,462</v>
      </c>
      <c r="AK75" s="10"/>
      <c r="AL75" s="10"/>
      <c r="AM75" s="10"/>
      <c r="AN75" s="10"/>
      <c r="AO75" s="10"/>
      <c r="AP75" s="10"/>
      <c r="AQ75" s="10"/>
    </row>
    <row r="76" spans="1:43" x14ac:dyDescent="0.45">
      <c r="A76" s="11"/>
      <c r="B76" s="8"/>
      <c r="C76" s="8"/>
      <c r="D76" s="8">
        <v>67</v>
      </c>
      <c r="E76" s="9">
        <f t="shared" si="47"/>
        <v>469</v>
      </c>
      <c r="F76" s="23">
        <f t="shared" si="45"/>
        <v>15.633333333333333</v>
      </c>
      <c r="G76" s="23">
        <f t="shared" si="39"/>
        <v>15.6</v>
      </c>
      <c r="H76" s="23">
        <f t="shared" si="40"/>
        <v>15.566666666666666</v>
      </c>
      <c r="I76" s="23">
        <f t="shared" si="41"/>
        <v>15.533333333333333</v>
      </c>
      <c r="J76" s="23">
        <f t="shared" si="42"/>
        <v>15.5</v>
      </c>
      <c r="K76" s="23">
        <f t="shared" si="43"/>
        <v>15.466666666666667</v>
      </c>
      <c r="L76" s="23">
        <f t="shared" si="46"/>
        <v>15.433333333333334</v>
      </c>
      <c r="M76" s="23">
        <f t="shared" si="48"/>
        <v>15.4</v>
      </c>
      <c r="N76" s="23">
        <f t="shared" si="49"/>
        <v>15.366666666666667</v>
      </c>
      <c r="O76" s="23">
        <f t="shared" si="50"/>
        <v>15.333333333333334</v>
      </c>
      <c r="P76" s="23">
        <f t="shared" si="51"/>
        <v>15.3</v>
      </c>
      <c r="Q76" s="23">
        <f t="shared" si="52"/>
        <v>15.266666666666667</v>
      </c>
      <c r="R76" s="23">
        <f t="shared" si="53"/>
        <v>15.233333333333333</v>
      </c>
      <c r="S76" s="23">
        <f t="shared" si="54"/>
        <v>15.2</v>
      </c>
      <c r="T76" s="23">
        <f t="shared" si="55"/>
        <v>15.166666666666666</v>
      </c>
      <c r="U76" s="23">
        <f t="shared" si="56"/>
        <v>15.133333333333333</v>
      </c>
      <c r="V76" s="23">
        <f t="shared" si="57"/>
        <v>15.1</v>
      </c>
      <c r="W76" s="23">
        <f t="shared" si="58"/>
        <v>15.066666666666666</v>
      </c>
      <c r="X76" s="23">
        <f t="shared" si="59"/>
        <v>15.033333333333333</v>
      </c>
      <c r="Y76" s="23">
        <f t="shared" si="60"/>
        <v>15</v>
      </c>
      <c r="Z76" s="23">
        <f t="shared" si="61"/>
        <v>14.966666666666667</v>
      </c>
      <c r="AA76" s="23">
        <f t="shared" si="62"/>
        <v>14.933333333333334</v>
      </c>
      <c r="AB76" s="23">
        <f t="shared" si="63"/>
        <v>14.9</v>
      </c>
      <c r="AC76" s="23">
        <f t="shared" si="64"/>
        <v>14.866666666666667</v>
      </c>
      <c r="AD76" s="23">
        <f t="shared" si="65"/>
        <v>14.833333333333334</v>
      </c>
      <c r="AE76" s="23">
        <f t="shared" si="66"/>
        <v>14.8</v>
      </c>
      <c r="AF76" s="23">
        <f t="shared" si="67"/>
        <v>14.766666666666667</v>
      </c>
      <c r="AG76" s="23">
        <f t="shared" si="68"/>
        <v>14.733333333333333</v>
      </c>
      <c r="AH76" s="23">
        <f t="shared" si="69"/>
        <v>14.7</v>
      </c>
      <c r="AI76" s="23">
        <f t="shared" si="70"/>
        <v>14.666666666666666</v>
      </c>
      <c r="AJ76" s="24" t="str">
        <f t="shared" si="44"/>
        <v>1,7,67,469</v>
      </c>
      <c r="AK76" s="10"/>
      <c r="AL76" s="10"/>
      <c r="AM76" s="10"/>
      <c r="AN76" s="10"/>
      <c r="AO76" s="10"/>
      <c r="AP76" s="10"/>
      <c r="AQ76" s="10"/>
    </row>
    <row r="77" spans="1:43" x14ac:dyDescent="0.45">
      <c r="A77" s="11"/>
      <c r="B77" s="8"/>
      <c r="C77" s="8"/>
      <c r="D77" s="8">
        <v>68</v>
      </c>
      <c r="E77" s="9">
        <f t="shared" si="47"/>
        <v>476</v>
      </c>
      <c r="F77" s="23">
        <f t="shared" si="45"/>
        <v>15.866666666666667</v>
      </c>
      <c r="G77" s="23">
        <f t="shared" si="39"/>
        <v>15.833333333333334</v>
      </c>
      <c r="H77" s="23">
        <f t="shared" si="40"/>
        <v>15.8</v>
      </c>
      <c r="I77" s="23">
        <f t="shared" si="41"/>
        <v>15.766666666666667</v>
      </c>
      <c r="J77" s="23">
        <f t="shared" si="42"/>
        <v>15.733333333333333</v>
      </c>
      <c r="K77" s="23">
        <f t="shared" si="43"/>
        <v>15.7</v>
      </c>
      <c r="L77" s="23">
        <f t="shared" si="46"/>
        <v>15.666666666666666</v>
      </c>
      <c r="M77" s="23">
        <f t="shared" si="48"/>
        <v>15.633333333333333</v>
      </c>
      <c r="N77" s="23">
        <f t="shared" si="49"/>
        <v>15.6</v>
      </c>
      <c r="O77" s="23">
        <f t="shared" si="50"/>
        <v>15.566666666666666</v>
      </c>
      <c r="P77" s="23">
        <f t="shared" si="51"/>
        <v>15.533333333333333</v>
      </c>
      <c r="Q77" s="23">
        <f t="shared" si="52"/>
        <v>15.5</v>
      </c>
      <c r="R77" s="23">
        <f t="shared" si="53"/>
        <v>15.466666666666667</v>
      </c>
      <c r="S77" s="23">
        <f t="shared" si="54"/>
        <v>15.433333333333334</v>
      </c>
      <c r="T77" s="23">
        <f t="shared" si="55"/>
        <v>15.4</v>
      </c>
      <c r="U77" s="23">
        <f t="shared" si="56"/>
        <v>15.366666666666667</v>
      </c>
      <c r="V77" s="23">
        <f t="shared" si="57"/>
        <v>15.333333333333334</v>
      </c>
      <c r="W77" s="23">
        <f t="shared" si="58"/>
        <v>15.3</v>
      </c>
      <c r="X77" s="23">
        <f t="shared" si="59"/>
        <v>15.266666666666667</v>
      </c>
      <c r="Y77" s="23">
        <f t="shared" si="60"/>
        <v>15.233333333333333</v>
      </c>
      <c r="Z77" s="23">
        <f t="shared" si="61"/>
        <v>15.2</v>
      </c>
      <c r="AA77" s="23">
        <f t="shared" si="62"/>
        <v>15.166666666666666</v>
      </c>
      <c r="AB77" s="23">
        <f t="shared" si="63"/>
        <v>15.133333333333333</v>
      </c>
      <c r="AC77" s="23">
        <f t="shared" si="64"/>
        <v>15.1</v>
      </c>
      <c r="AD77" s="23">
        <f t="shared" si="65"/>
        <v>15.066666666666666</v>
      </c>
      <c r="AE77" s="23">
        <f t="shared" si="66"/>
        <v>15.033333333333333</v>
      </c>
      <c r="AF77" s="23">
        <f t="shared" si="67"/>
        <v>15</v>
      </c>
      <c r="AG77" s="23">
        <f t="shared" si="68"/>
        <v>14.966666666666667</v>
      </c>
      <c r="AH77" s="23">
        <f t="shared" si="69"/>
        <v>14.933333333333334</v>
      </c>
      <c r="AI77" s="23">
        <f t="shared" si="70"/>
        <v>14.9</v>
      </c>
      <c r="AJ77" s="24" t="str">
        <f t="shared" si="44"/>
        <v>1,2,4,7,14,17,28,34,68,119,238,476</v>
      </c>
      <c r="AK77" s="10"/>
      <c r="AL77" s="10"/>
      <c r="AM77" s="10"/>
      <c r="AN77" s="10"/>
      <c r="AO77" s="10"/>
      <c r="AP77" s="10"/>
      <c r="AQ77" s="10"/>
    </row>
    <row r="78" spans="1:43" x14ac:dyDescent="0.45">
      <c r="A78" s="11"/>
      <c r="B78" s="8"/>
      <c r="C78" s="8"/>
      <c r="D78" s="8">
        <v>69</v>
      </c>
      <c r="E78" s="9">
        <f t="shared" si="47"/>
        <v>483</v>
      </c>
      <c r="F78" s="23">
        <f t="shared" si="45"/>
        <v>16.100000000000001</v>
      </c>
      <c r="G78" s="23">
        <f t="shared" si="39"/>
        <v>16.066666666666666</v>
      </c>
      <c r="H78" s="23">
        <f t="shared" si="40"/>
        <v>16.033333333333335</v>
      </c>
      <c r="I78" s="23">
        <f t="shared" si="41"/>
        <v>16</v>
      </c>
      <c r="J78" s="23">
        <f t="shared" si="42"/>
        <v>15.966666666666667</v>
      </c>
      <c r="K78" s="23">
        <f t="shared" si="43"/>
        <v>15.933333333333334</v>
      </c>
      <c r="L78" s="23">
        <f t="shared" si="46"/>
        <v>15.9</v>
      </c>
      <c r="M78" s="23">
        <f t="shared" si="48"/>
        <v>15.866666666666667</v>
      </c>
      <c r="N78" s="23">
        <f t="shared" si="49"/>
        <v>15.833333333333334</v>
      </c>
      <c r="O78" s="23">
        <f t="shared" si="50"/>
        <v>15.8</v>
      </c>
      <c r="P78" s="23">
        <f t="shared" si="51"/>
        <v>15.766666666666667</v>
      </c>
      <c r="Q78" s="23">
        <f t="shared" si="52"/>
        <v>15.733333333333333</v>
      </c>
      <c r="R78" s="23">
        <f t="shared" si="53"/>
        <v>15.7</v>
      </c>
      <c r="S78" s="23">
        <f t="shared" si="54"/>
        <v>15.666666666666666</v>
      </c>
      <c r="T78" s="23">
        <f t="shared" si="55"/>
        <v>15.633333333333333</v>
      </c>
      <c r="U78" s="23">
        <f t="shared" si="56"/>
        <v>15.6</v>
      </c>
      <c r="V78" s="23">
        <f t="shared" si="57"/>
        <v>15.566666666666666</v>
      </c>
      <c r="W78" s="23">
        <f t="shared" si="58"/>
        <v>15.533333333333333</v>
      </c>
      <c r="X78" s="23">
        <f t="shared" si="59"/>
        <v>15.5</v>
      </c>
      <c r="Y78" s="23">
        <f t="shared" si="60"/>
        <v>15.466666666666667</v>
      </c>
      <c r="Z78" s="23">
        <f t="shared" si="61"/>
        <v>15.433333333333334</v>
      </c>
      <c r="AA78" s="23">
        <f t="shared" si="62"/>
        <v>15.4</v>
      </c>
      <c r="AB78" s="23">
        <f t="shared" si="63"/>
        <v>15.366666666666667</v>
      </c>
      <c r="AC78" s="23">
        <f t="shared" si="64"/>
        <v>15.333333333333334</v>
      </c>
      <c r="AD78" s="23">
        <f t="shared" si="65"/>
        <v>15.3</v>
      </c>
      <c r="AE78" s="23">
        <f t="shared" si="66"/>
        <v>15.266666666666667</v>
      </c>
      <c r="AF78" s="23">
        <f t="shared" si="67"/>
        <v>15.233333333333333</v>
      </c>
      <c r="AG78" s="23">
        <f t="shared" si="68"/>
        <v>15.2</v>
      </c>
      <c r="AH78" s="23">
        <f t="shared" si="69"/>
        <v>15.166666666666666</v>
      </c>
      <c r="AI78" s="23">
        <f t="shared" si="70"/>
        <v>15.133333333333333</v>
      </c>
      <c r="AJ78" s="24" t="str">
        <f t="shared" si="44"/>
        <v>1,3,7,21,23,69,161,483</v>
      </c>
      <c r="AK78" s="10"/>
      <c r="AL78" s="10"/>
      <c r="AM78" s="10"/>
      <c r="AN78" s="10"/>
      <c r="AO78" s="10"/>
      <c r="AP78" s="10"/>
      <c r="AQ78" s="10"/>
    </row>
    <row r="79" spans="1:43" x14ac:dyDescent="0.45">
      <c r="A79" s="11"/>
      <c r="B79" s="8"/>
      <c r="C79" s="8"/>
      <c r="D79" s="8">
        <v>70</v>
      </c>
      <c r="E79" s="9">
        <f t="shared" si="47"/>
        <v>490</v>
      </c>
      <c r="F79" s="23">
        <f t="shared" si="45"/>
        <v>16.333333333333332</v>
      </c>
      <c r="G79" s="23">
        <f t="shared" si="39"/>
        <v>16.3</v>
      </c>
      <c r="H79" s="23">
        <f t="shared" si="40"/>
        <v>16.266666666666666</v>
      </c>
      <c r="I79" s="23">
        <f t="shared" si="41"/>
        <v>16.233333333333334</v>
      </c>
      <c r="J79" s="23">
        <f t="shared" si="42"/>
        <v>16.2</v>
      </c>
      <c r="K79" s="23">
        <f t="shared" si="43"/>
        <v>16.166666666666668</v>
      </c>
      <c r="L79" s="23">
        <f t="shared" si="46"/>
        <v>16.133333333333333</v>
      </c>
      <c r="M79" s="23">
        <f t="shared" si="48"/>
        <v>16.100000000000001</v>
      </c>
      <c r="N79" s="23">
        <f t="shared" si="49"/>
        <v>16.066666666666666</v>
      </c>
      <c r="O79" s="23">
        <f t="shared" si="50"/>
        <v>16.033333333333335</v>
      </c>
      <c r="P79" s="23">
        <f t="shared" si="51"/>
        <v>16</v>
      </c>
      <c r="Q79" s="23">
        <f t="shared" si="52"/>
        <v>15.966666666666667</v>
      </c>
      <c r="R79" s="23">
        <f t="shared" si="53"/>
        <v>15.933333333333334</v>
      </c>
      <c r="S79" s="23">
        <f t="shared" si="54"/>
        <v>15.9</v>
      </c>
      <c r="T79" s="23">
        <f t="shared" si="55"/>
        <v>15.866666666666667</v>
      </c>
      <c r="U79" s="23">
        <f t="shared" si="56"/>
        <v>15.833333333333334</v>
      </c>
      <c r="V79" s="23">
        <f t="shared" si="57"/>
        <v>15.8</v>
      </c>
      <c r="W79" s="23">
        <f t="shared" si="58"/>
        <v>15.766666666666667</v>
      </c>
      <c r="X79" s="23">
        <f t="shared" si="59"/>
        <v>15.733333333333333</v>
      </c>
      <c r="Y79" s="23">
        <f t="shared" si="60"/>
        <v>15.7</v>
      </c>
      <c r="Z79" s="23">
        <f t="shared" si="61"/>
        <v>15.666666666666666</v>
      </c>
      <c r="AA79" s="23">
        <f t="shared" si="62"/>
        <v>15.633333333333333</v>
      </c>
      <c r="AB79" s="23">
        <f t="shared" si="63"/>
        <v>15.6</v>
      </c>
      <c r="AC79" s="23">
        <f t="shared" si="64"/>
        <v>15.566666666666666</v>
      </c>
      <c r="AD79" s="23">
        <f t="shared" si="65"/>
        <v>15.533333333333333</v>
      </c>
      <c r="AE79" s="23">
        <f t="shared" si="66"/>
        <v>15.5</v>
      </c>
      <c r="AF79" s="23">
        <f t="shared" si="67"/>
        <v>15.466666666666667</v>
      </c>
      <c r="AG79" s="23">
        <f t="shared" si="68"/>
        <v>15.433333333333334</v>
      </c>
      <c r="AH79" s="23">
        <f t="shared" si="69"/>
        <v>15.4</v>
      </c>
      <c r="AI79" s="23">
        <f t="shared" si="70"/>
        <v>15.366666666666667</v>
      </c>
      <c r="AJ79" s="24" t="str">
        <f t="shared" si="44"/>
        <v>1,2,5,7,10,14,35,49,70,98,245,490</v>
      </c>
      <c r="AK79" s="10"/>
      <c r="AL79" s="10"/>
      <c r="AM79" s="10"/>
      <c r="AN79" s="10"/>
      <c r="AO79" s="10"/>
      <c r="AP79" s="10"/>
      <c r="AQ79" s="10"/>
    </row>
    <row r="80" spans="1:43" x14ac:dyDescent="0.45">
      <c r="A80" s="11"/>
      <c r="B80" s="8"/>
      <c r="C80" s="8"/>
      <c r="D80" s="8">
        <v>71</v>
      </c>
      <c r="E80" s="9">
        <f t="shared" si="47"/>
        <v>497</v>
      </c>
      <c r="F80" s="23">
        <f t="shared" si="45"/>
        <v>16.566666666666666</v>
      </c>
      <c r="G80" s="23">
        <f t="shared" si="39"/>
        <v>16.533333333333335</v>
      </c>
      <c r="H80" s="23">
        <f t="shared" si="40"/>
        <v>16.5</v>
      </c>
      <c r="I80" s="23">
        <f t="shared" si="41"/>
        <v>16.466666666666665</v>
      </c>
      <c r="J80" s="23">
        <f t="shared" si="42"/>
        <v>16.433333333333334</v>
      </c>
      <c r="K80" s="23">
        <f t="shared" si="43"/>
        <v>16.399999999999999</v>
      </c>
      <c r="L80" s="23">
        <f t="shared" si="46"/>
        <v>16.366666666666667</v>
      </c>
      <c r="M80" s="23">
        <f t="shared" si="48"/>
        <v>16.333333333333332</v>
      </c>
      <c r="N80" s="23">
        <f t="shared" si="49"/>
        <v>16.3</v>
      </c>
      <c r="O80" s="23">
        <f t="shared" si="50"/>
        <v>16.266666666666666</v>
      </c>
      <c r="P80" s="23">
        <f t="shared" si="51"/>
        <v>16.233333333333334</v>
      </c>
      <c r="Q80" s="23">
        <f t="shared" si="52"/>
        <v>16.2</v>
      </c>
      <c r="R80" s="23">
        <f t="shared" si="53"/>
        <v>16.166666666666668</v>
      </c>
      <c r="S80" s="23">
        <f t="shared" si="54"/>
        <v>16.133333333333333</v>
      </c>
      <c r="T80" s="23">
        <f t="shared" si="55"/>
        <v>16.100000000000001</v>
      </c>
      <c r="U80" s="23">
        <f t="shared" si="56"/>
        <v>16.066666666666666</v>
      </c>
      <c r="V80" s="23">
        <f t="shared" si="57"/>
        <v>16.033333333333335</v>
      </c>
      <c r="W80" s="23">
        <f t="shared" si="58"/>
        <v>16</v>
      </c>
      <c r="X80" s="23">
        <f t="shared" si="59"/>
        <v>15.966666666666667</v>
      </c>
      <c r="Y80" s="23">
        <f t="shared" si="60"/>
        <v>15.933333333333334</v>
      </c>
      <c r="Z80" s="23">
        <f t="shared" si="61"/>
        <v>15.9</v>
      </c>
      <c r="AA80" s="23">
        <f t="shared" si="62"/>
        <v>15.866666666666667</v>
      </c>
      <c r="AB80" s="23">
        <f t="shared" si="63"/>
        <v>15.833333333333334</v>
      </c>
      <c r="AC80" s="23">
        <f t="shared" si="64"/>
        <v>15.8</v>
      </c>
      <c r="AD80" s="23">
        <f t="shared" si="65"/>
        <v>15.766666666666667</v>
      </c>
      <c r="AE80" s="23">
        <f t="shared" si="66"/>
        <v>15.733333333333333</v>
      </c>
      <c r="AF80" s="23">
        <f t="shared" si="67"/>
        <v>15.7</v>
      </c>
      <c r="AG80" s="23">
        <f t="shared" si="68"/>
        <v>15.666666666666666</v>
      </c>
      <c r="AH80" s="23">
        <f t="shared" si="69"/>
        <v>15.633333333333333</v>
      </c>
      <c r="AI80" s="23">
        <f t="shared" si="70"/>
        <v>15.6</v>
      </c>
      <c r="AJ80" s="24" t="str">
        <f t="shared" si="44"/>
        <v>1,7,71,497</v>
      </c>
      <c r="AK80" s="10"/>
      <c r="AL80" s="10"/>
      <c r="AM80" s="10"/>
      <c r="AN80" s="10"/>
      <c r="AO80" s="10"/>
      <c r="AP80" s="10"/>
      <c r="AQ80" s="10"/>
    </row>
    <row r="81" spans="1:43" x14ac:dyDescent="0.45">
      <c r="A81" s="11"/>
      <c r="B81" s="8"/>
      <c r="C81" s="8"/>
      <c r="D81" s="8">
        <v>72</v>
      </c>
      <c r="E81" s="9">
        <f t="shared" si="47"/>
        <v>504</v>
      </c>
      <c r="F81" s="23">
        <f t="shared" si="45"/>
        <v>16.8</v>
      </c>
      <c r="G81" s="23">
        <f t="shared" si="39"/>
        <v>16.766666666666666</v>
      </c>
      <c r="H81" s="23">
        <f t="shared" si="40"/>
        <v>16.733333333333334</v>
      </c>
      <c r="I81" s="23">
        <f t="shared" si="41"/>
        <v>16.7</v>
      </c>
      <c r="J81" s="23">
        <f t="shared" si="42"/>
        <v>16.666666666666668</v>
      </c>
      <c r="K81" s="23">
        <f t="shared" si="43"/>
        <v>16.633333333333333</v>
      </c>
      <c r="L81" s="23">
        <f t="shared" si="46"/>
        <v>16.600000000000001</v>
      </c>
      <c r="M81" s="23">
        <f t="shared" si="48"/>
        <v>16.566666666666666</v>
      </c>
      <c r="N81" s="23">
        <f t="shared" si="49"/>
        <v>16.533333333333335</v>
      </c>
      <c r="O81" s="23">
        <f t="shared" si="50"/>
        <v>16.5</v>
      </c>
      <c r="P81" s="23">
        <f t="shared" si="51"/>
        <v>16.466666666666665</v>
      </c>
      <c r="Q81" s="23">
        <f t="shared" si="52"/>
        <v>16.433333333333334</v>
      </c>
      <c r="R81" s="23">
        <f t="shared" si="53"/>
        <v>16.399999999999999</v>
      </c>
      <c r="S81" s="23">
        <f t="shared" si="54"/>
        <v>16.366666666666667</v>
      </c>
      <c r="T81" s="23">
        <f t="shared" si="55"/>
        <v>16.333333333333332</v>
      </c>
      <c r="U81" s="23">
        <f t="shared" si="56"/>
        <v>16.3</v>
      </c>
      <c r="V81" s="23">
        <f t="shared" si="57"/>
        <v>16.266666666666666</v>
      </c>
      <c r="W81" s="23">
        <f t="shared" si="58"/>
        <v>16.233333333333334</v>
      </c>
      <c r="X81" s="23">
        <f t="shared" si="59"/>
        <v>16.2</v>
      </c>
      <c r="Y81" s="23">
        <f t="shared" si="60"/>
        <v>16.166666666666668</v>
      </c>
      <c r="Z81" s="23">
        <f t="shared" si="61"/>
        <v>16.133333333333333</v>
      </c>
      <c r="AA81" s="23">
        <f t="shared" si="62"/>
        <v>16.100000000000001</v>
      </c>
      <c r="AB81" s="23">
        <f t="shared" si="63"/>
        <v>16.066666666666666</v>
      </c>
      <c r="AC81" s="23">
        <f t="shared" si="64"/>
        <v>16.033333333333335</v>
      </c>
      <c r="AD81" s="23">
        <f t="shared" si="65"/>
        <v>16</v>
      </c>
      <c r="AE81" s="23">
        <f t="shared" si="66"/>
        <v>15.966666666666667</v>
      </c>
      <c r="AF81" s="23">
        <f t="shared" si="67"/>
        <v>15.933333333333334</v>
      </c>
      <c r="AG81" s="23">
        <f t="shared" si="68"/>
        <v>15.9</v>
      </c>
      <c r="AH81" s="23">
        <f t="shared" si="69"/>
        <v>15.866666666666667</v>
      </c>
      <c r="AI81" s="23">
        <f t="shared" si="70"/>
        <v>15.833333333333334</v>
      </c>
      <c r="AJ81" s="24" t="str">
        <f t="shared" si="44"/>
        <v>1,2,3,4,6,7,8,9,12,14,18,21,24,28,36,42,56,63,72,84,126,168,252,504</v>
      </c>
      <c r="AK81" s="10"/>
      <c r="AL81" s="10"/>
      <c r="AM81" s="10"/>
      <c r="AN81" s="10"/>
      <c r="AO81" s="10"/>
      <c r="AP81" s="10"/>
      <c r="AQ81" s="10"/>
    </row>
    <row r="82" spans="1:43" x14ac:dyDescent="0.45">
      <c r="A82" s="11"/>
      <c r="B82" s="8"/>
      <c r="C82" s="8"/>
      <c r="D82" s="8">
        <v>73</v>
      </c>
      <c r="E82" s="9">
        <f t="shared" si="47"/>
        <v>511</v>
      </c>
      <c r="F82" s="23">
        <f t="shared" si="45"/>
        <v>17.033333333333335</v>
      </c>
      <c r="G82" s="23">
        <f t="shared" si="39"/>
        <v>17</v>
      </c>
      <c r="H82" s="23">
        <f t="shared" si="40"/>
        <v>16.966666666666665</v>
      </c>
      <c r="I82" s="23">
        <f t="shared" si="41"/>
        <v>16.933333333333334</v>
      </c>
      <c r="J82" s="23">
        <f t="shared" si="42"/>
        <v>16.899999999999999</v>
      </c>
      <c r="K82" s="23">
        <f t="shared" si="43"/>
        <v>16.866666666666667</v>
      </c>
      <c r="L82" s="23">
        <f t="shared" si="46"/>
        <v>16.833333333333332</v>
      </c>
      <c r="M82" s="23">
        <f t="shared" si="48"/>
        <v>16.8</v>
      </c>
      <c r="N82" s="23">
        <f t="shared" si="49"/>
        <v>16.766666666666666</v>
      </c>
      <c r="O82" s="23">
        <f t="shared" si="50"/>
        <v>16.733333333333334</v>
      </c>
      <c r="P82" s="23">
        <f t="shared" si="51"/>
        <v>16.7</v>
      </c>
      <c r="Q82" s="23">
        <f t="shared" si="52"/>
        <v>16.666666666666668</v>
      </c>
      <c r="R82" s="23">
        <f t="shared" si="53"/>
        <v>16.633333333333333</v>
      </c>
      <c r="S82" s="23">
        <f t="shared" si="54"/>
        <v>16.600000000000001</v>
      </c>
      <c r="T82" s="23">
        <f t="shared" si="55"/>
        <v>16.566666666666666</v>
      </c>
      <c r="U82" s="23">
        <f t="shared" si="56"/>
        <v>16.533333333333335</v>
      </c>
      <c r="V82" s="23">
        <f t="shared" si="57"/>
        <v>16.5</v>
      </c>
      <c r="W82" s="23">
        <f t="shared" si="58"/>
        <v>16.466666666666665</v>
      </c>
      <c r="X82" s="23">
        <f t="shared" si="59"/>
        <v>16.433333333333334</v>
      </c>
      <c r="Y82" s="23">
        <f t="shared" si="60"/>
        <v>16.399999999999999</v>
      </c>
      <c r="Z82" s="23">
        <f t="shared" si="61"/>
        <v>16.366666666666667</v>
      </c>
      <c r="AA82" s="23">
        <f t="shared" si="62"/>
        <v>16.333333333333332</v>
      </c>
      <c r="AB82" s="23">
        <f t="shared" si="63"/>
        <v>16.3</v>
      </c>
      <c r="AC82" s="23">
        <f t="shared" si="64"/>
        <v>16.266666666666666</v>
      </c>
      <c r="AD82" s="23">
        <f t="shared" si="65"/>
        <v>16.233333333333334</v>
      </c>
      <c r="AE82" s="23">
        <f t="shared" si="66"/>
        <v>16.2</v>
      </c>
      <c r="AF82" s="23">
        <f t="shared" si="67"/>
        <v>16.166666666666668</v>
      </c>
      <c r="AG82" s="23">
        <f t="shared" si="68"/>
        <v>16.133333333333333</v>
      </c>
      <c r="AH82" s="23">
        <f t="shared" si="69"/>
        <v>16.100000000000001</v>
      </c>
      <c r="AI82" s="23">
        <f t="shared" si="70"/>
        <v>16.066666666666666</v>
      </c>
      <c r="AJ82" s="24" t="str">
        <f t="shared" si="44"/>
        <v>1,7,73,511</v>
      </c>
      <c r="AK82" s="10"/>
      <c r="AL82" s="10"/>
      <c r="AM82" s="10"/>
      <c r="AN82" s="10"/>
      <c r="AO82" s="10"/>
      <c r="AP82" s="10"/>
      <c r="AQ82" s="10"/>
    </row>
    <row r="83" spans="1:43" x14ac:dyDescent="0.45">
      <c r="A83" s="11"/>
      <c r="B83" s="8"/>
      <c r="C83" s="8"/>
      <c r="D83" s="8">
        <v>74</v>
      </c>
      <c r="E83" s="9">
        <f t="shared" si="47"/>
        <v>518</v>
      </c>
      <c r="F83" s="23">
        <f t="shared" si="45"/>
        <v>17.266666666666666</v>
      </c>
      <c r="G83" s="23">
        <f t="shared" si="39"/>
        <v>17.233333333333334</v>
      </c>
      <c r="H83" s="23">
        <f t="shared" si="40"/>
        <v>17.2</v>
      </c>
      <c r="I83" s="23">
        <f t="shared" si="41"/>
        <v>17.166666666666668</v>
      </c>
      <c r="J83" s="23">
        <f t="shared" si="42"/>
        <v>17.133333333333333</v>
      </c>
      <c r="K83" s="23">
        <f t="shared" si="43"/>
        <v>17.100000000000001</v>
      </c>
      <c r="L83" s="23">
        <f t="shared" si="46"/>
        <v>17.066666666666666</v>
      </c>
      <c r="M83" s="23">
        <f t="shared" si="48"/>
        <v>17.033333333333335</v>
      </c>
      <c r="N83" s="23">
        <f t="shared" si="49"/>
        <v>17</v>
      </c>
      <c r="O83" s="23">
        <f t="shared" si="50"/>
        <v>16.966666666666665</v>
      </c>
      <c r="P83" s="23">
        <f t="shared" si="51"/>
        <v>16.933333333333334</v>
      </c>
      <c r="Q83" s="23">
        <f t="shared" si="52"/>
        <v>16.899999999999999</v>
      </c>
      <c r="R83" s="23">
        <f t="shared" si="53"/>
        <v>16.866666666666667</v>
      </c>
      <c r="S83" s="23">
        <f t="shared" si="54"/>
        <v>16.833333333333332</v>
      </c>
      <c r="T83" s="23">
        <f t="shared" si="55"/>
        <v>16.8</v>
      </c>
      <c r="U83" s="23">
        <f t="shared" si="56"/>
        <v>16.766666666666666</v>
      </c>
      <c r="V83" s="23">
        <f t="shared" si="57"/>
        <v>16.733333333333334</v>
      </c>
      <c r="W83" s="23">
        <f t="shared" si="58"/>
        <v>16.7</v>
      </c>
      <c r="X83" s="23">
        <f t="shared" si="59"/>
        <v>16.666666666666668</v>
      </c>
      <c r="Y83" s="23">
        <f t="shared" si="60"/>
        <v>16.633333333333333</v>
      </c>
      <c r="Z83" s="23">
        <f t="shared" si="61"/>
        <v>16.600000000000001</v>
      </c>
      <c r="AA83" s="23">
        <f t="shared" si="62"/>
        <v>16.566666666666666</v>
      </c>
      <c r="AB83" s="23">
        <f t="shared" si="63"/>
        <v>16.533333333333335</v>
      </c>
      <c r="AC83" s="23">
        <f t="shared" si="64"/>
        <v>16.5</v>
      </c>
      <c r="AD83" s="23">
        <f t="shared" si="65"/>
        <v>16.466666666666665</v>
      </c>
      <c r="AE83" s="23">
        <f t="shared" si="66"/>
        <v>16.433333333333334</v>
      </c>
      <c r="AF83" s="23">
        <f t="shared" si="67"/>
        <v>16.399999999999999</v>
      </c>
      <c r="AG83" s="23">
        <f t="shared" si="68"/>
        <v>16.366666666666667</v>
      </c>
      <c r="AH83" s="23">
        <f t="shared" si="69"/>
        <v>16.333333333333332</v>
      </c>
      <c r="AI83" s="23">
        <f t="shared" si="70"/>
        <v>16.3</v>
      </c>
      <c r="AJ83" s="24" t="str">
        <f t="shared" si="44"/>
        <v>1,2,7,14,37,74,259,518</v>
      </c>
      <c r="AK83" s="10"/>
      <c r="AL83" s="10"/>
      <c r="AM83" s="10"/>
      <c r="AN83" s="10"/>
      <c r="AO83" s="10"/>
      <c r="AP83" s="10"/>
      <c r="AQ83" s="10"/>
    </row>
    <row r="84" spans="1:43" x14ac:dyDescent="0.45">
      <c r="A84" s="11"/>
      <c r="B84" s="8"/>
      <c r="C84" s="8"/>
      <c r="D84" s="8">
        <v>75</v>
      </c>
      <c r="E84" s="9">
        <f t="shared" si="47"/>
        <v>525</v>
      </c>
      <c r="F84" s="23">
        <f t="shared" si="45"/>
        <v>17.5</v>
      </c>
      <c r="G84" s="23">
        <f t="shared" si="39"/>
        <v>17.466666666666665</v>
      </c>
      <c r="H84" s="23">
        <f t="shared" si="40"/>
        <v>17.433333333333334</v>
      </c>
      <c r="I84" s="23">
        <f t="shared" si="41"/>
        <v>17.399999999999999</v>
      </c>
      <c r="J84" s="23">
        <f t="shared" si="42"/>
        <v>17.366666666666667</v>
      </c>
      <c r="K84" s="23">
        <f t="shared" si="43"/>
        <v>17.333333333333332</v>
      </c>
      <c r="L84" s="23">
        <f t="shared" si="46"/>
        <v>17.3</v>
      </c>
      <c r="M84" s="23">
        <f t="shared" si="48"/>
        <v>17.266666666666666</v>
      </c>
      <c r="N84" s="23">
        <f t="shared" si="49"/>
        <v>17.233333333333334</v>
      </c>
      <c r="O84" s="23">
        <f t="shared" si="50"/>
        <v>17.2</v>
      </c>
      <c r="P84" s="23">
        <f t="shared" si="51"/>
        <v>17.166666666666668</v>
      </c>
      <c r="Q84" s="23">
        <f t="shared" si="52"/>
        <v>17.133333333333333</v>
      </c>
      <c r="R84" s="23">
        <f t="shared" si="53"/>
        <v>17.100000000000001</v>
      </c>
      <c r="S84" s="23">
        <f t="shared" si="54"/>
        <v>17.066666666666666</v>
      </c>
      <c r="T84" s="23">
        <f t="shared" si="55"/>
        <v>17.033333333333335</v>
      </c>
      <c r="U84" s="23">
        <f t="shared" si="56"/>
        <v>17</v>
      </c>
      <c r="V84" s="23">
        <f t="shared" si="57"/>
        <v>16.966666666666665</v>
      </c>
      <c r="W84" s="23">
        <f t="shared" si="58"/>
        <v>16.933333333333334</v>
      </c>
      <c r="X84" s="23">
        <f t="shared" si="59"/>
        <v>16.899999999999999</v>
      </c>
      <c r="Y84" s="23">
        <f t="shared" si="60"/>
        <v>16.866666666666667</v>
      </c>
      <c r="Z84" s="23">
        <f t="shared" si="61"/>
        <v>16.833333333333332</v>
      </c>
      <c r="AA84" s="23">
        <f t="shared" si="62"/>
        <v>16.8</v>
      </c>
      <c r="AB84" s="23">
        <f t="shared" si="63"/>
        <v>16.766666666666666</v>
      </c>
      <c r="AC84" s="23">
        <f t="shared" si="64"/>
        <v>16.733333333333334</v>
      </c>
      <c r="AD84" s="23">
        <f t="shared" si="65"/>
        <v>16.7</v>
      </c>
      <c r="AE84" s="23">
        <f t="shared" si="66"/>
        <v>16.666666666666668</v>
      </c>
      <c r="AF84" s="23">
        <f t="shared" si="67"/>
        <v>16.633333333333333</v>
      </c>
      <c r="AG84" s="23">
        <f t="shared" si="68"/>
        <v>16.600000000000001</v>
      </c>
      <c r="AH84" s="23">
        <f t="shared" si="69"/>
        <v>16.566666666666666</v>
      </c>
      <c r="AI84" s="23">
        <f t="shared" si="70"/>
        <v>16.533333333333335</v>
      </c>
      <c r="AJ84" s="24" t="str">
        <f t="shared" si="44"/>
        <v>1,3,5,7,15,21,25,35,75,105,175,525</v>
      </c>
      <c r="AK84" s="10"/>
      <c r="AL84" s="10"/>
      <c r="AM84" s="10"/>
      <c r="AN84" s="10"/>
      <c r="AO84" s="10"/>
      <c r="AP84" s="10"/>
      <c r="AQ84" s="10"/>
    </row>
    <row r="85" spans="1:43" x14ac:dyDescent="0.45">
      <c r="A85" s="11"/>
      <c r="B85" s="8"/>
      <c r="C85" s="8"/>
      <c r="D85" s="8">
        <v>76</v>
      </c>
      <c r="E85" s="9">
        <f t="shared" si="47"/>
        <v>532</v>
      </c>
      <c r="F85" s="23">
        <f t="shared" si="45"/>
        <v>17.733333333333334</v>
      </c>
      <c r="G85" s="23">
        <f t="shared" si="39"/>
        <v>17.7</v>
      </c>
      <c r="H85" s="23">
        <f t="shared" si="40"/>
        <v>17.666666666666668</v>
      </c>
      <c r="I85" s="23">
        <f t="shared" si="41"/>
        <v>17.633333333333333</v>
      </c>
      <c r="J85" s="23">
        <f t="shared" si="42"/>
        <v>17.600000000000001</v>
      </c>
      <c r="K85" s="23">
        <f t="shared" si="43"/>
        <v>17.566666666666666</v>
      </c>
      <c r="L85" s="23">
        <f t="shared" si="46"/>
        <v>17.533333333333335</v>
      </c>
      <c r="M85" s="23">
        <f t="shared" si="48"/>
        <v>17.5</v>
      </c>
      <c r="N85" s="23">
        <f t="shared" si="49"/>
        <v>17.466666666666665</v>
      </c>
      <c r="O85" s="23">
        <f t="shared" si="50"/>
        <v>17.433333333333334</v>
      </c>
      <c r="P85" s="23">
        <f t="shared" si="51"/>
        <v>17.399999999999999</v>
      </c>
      <c r="Q85" s="23">
        <f t="shared" si="52"/>
        <v>17.366666666666667</v>
      </c>
      <c r="R85" s="23">
        <f t="shared" si="53"/>
        <v>17.333333333333332</v>
      </c>
      <c r="S85" s="23">
        <f t="shared" si="54"/>
        <v>17.3</v>
      </c>
      <c r="T85" s="23">
        <f t="shared" si="55"/>
        <v>17.266666666666666</v>
      </c>
      <c r="U85" s="23">
        <f t="shared" si="56"/>
        <v>17.233333333333334</v>
      </c>
      <c r="V85" s="23">
        <f t="shared" si="57"/>
        <v>17.2</v>
      </c>
      <c r="W85" s="23">
        <f t="shared" si="58"/>
        <v>17.166666666666668</v>
      </c>
      <c r="X85" s="23">
        <f t="shared" si="59"/>
        <v>17.133333333333333</v>
      </c>
      <c r="Y85" s="23">
        <f t="shared" si="60"/>
        <v>17.100000000000001</v>
      </c>
      <c r="Z85" s="23">
        <f t="shared" si="61"/>
        <v>17.066666666666666</v>
      </c>
      <c r="AA85" s="23">
        <f t="shared" si="62"/>
        <v>17.033333333333335</v>
      </c>
      <c r="AB85" s="23">
        <f t="shared" si="63"/>
        <v>17</v>
      </c>
      <c r="AC85" s="23">
        <f t="shared" si="64"/>
        <v>16.966666666666665</v>
      </c>
      <c r="AD85" s="23">
        <f t="shared" si="65"/>
        <v>16.933333333333334</v>
      </c>
      <c r="AE85" s="23">
        <f t="shared" si="66"/>
        <v>16.899999999999999</v>
      </c>
      <c r="AF85" s="23">
        <f t="shared" si="67"/>
        <v>16.866666666666667</v>
      </c>
      <c r="AG85" s="23">
        <f t="shared" si="68"/>
        <v>16.833333333333332</v>
      </c>
      <c r="AH85" s="23">
        <f t="shared" si="69"/>
        <v>16.8</v>
      </c>
      <c r="AI85" s="23">
        <f t="shared" si="70"/>
        <v>16.766666666666666</v>
      </c>
      <c r="AJ85" s="24" t="str">
        <f t="shared" si="44"/>
        <v>1,2,4,7,14,19,28,38,76,133,266,532</v>
      </c>
      <c r="AK85" s="10"/>
      <c r="AL85" s="10"/>
      <c r="AM85" s="10"/>
      <c r="AN85" s="10"/>
      <c r="AO85" s="10"/>
      <c r="AP85" s="10"/>
      <c r="AQ85" s="10"/>
    </row>
    <row r="86" spans="1:43" x14ac:dyDescent="0.45">
      <c r="A86" s="11"/>
      <c r="B86" s="8"/>
      <c r="C86" s="8"/>
      <c r="D86" s="8">
        <v>77</v>
      </c>
      <c r="E86" s="9">
        <f t="shared" si="47"/>
        <v>539</v>
      </c>
      <c r="F86" s="23">
        <f t="shared" si="45"/>
        <v>17.966666666666665</v>
      </c>
      <c r="G86" s="23">
        <f t="shared" si="39"/>
        <v>17.933333333333334</v>
      </c>
      <c r="H86" s="23">
        <f t="shared" si="40"/>
        <v>17.899999999999999</v>
      </c>
      <c r="I86" s="23">
        <f t="shared" si="41"/>
        <v>17.866666666666667</v>
      </c>
      <c r="J86" s="23">
        <f t="shared" si="42"/>
        <v>17.833333333333332</v>
      </c>
      <c r="K86" s="23">
        <f t="shared" si="43"/>
        <v>17.8</v>
      </c>
      <c r="L86" s="23">
        <f t="shared" si="46"/>
        <v>17.766666666666666</v>
      </c>
      <c r="M86" s="23">
        <f t="shared" si="48"/>
        <v>17.733333333333334</v>
      </c>
      <c r="N86" s="23">
        <f t="shared" si="49"/>
        <v>17.7</v>
      </c>
      <c r="O86" s="23">
        <f t="shared" si="50"/>
        <v>17.666666666666668</v>
      </c>
      <c r="P86" s="23">
        <f t="shared" si="51"/>
        <v>17.633333333333333</v>
      </c>
      <c r="Q86" s="23">
        <f t="shared" si="52"/>
        <v>17.600000000000001</v>
      </c>
      <c r="R86" s="23">
        <f t="shared" si="53"/>
        <v>17.566666666666666</v>
      </c>
      <c r="S86" s="23">
        <f t="shared" si="54"/>
        <v>17.533333333333335</v>
      </c>
      <c r="T86" s="23">
        <f t="shared" si="55"/>
        <v>17.5</v>
      </c>
      <c r="U86" s="23">
        <f t="shared" si="56"/>
        <v>17.466666666666665</v>
      </c>
      <c r="V86" s="23">
        <f t="shared" si="57"/>
        <v>17.433333333333334</v>
      </c>
      <c r="W86" s="23">
        <f t="shared" si="58"/>
        <v>17.399999999999999</v>
      </c>
      <c r="X86" s="23">
        <f t="shared" si="59"/>
        <v>17.366666666666667</v>
      </c>
      <c r="Y86" s="23">
        <f t="shared" si="60"/>
        <v>17.333333333333332</v>
      </c>
      <c r="Z86" s="23">
        <f t="shared" si="61"/>
        <v>17.3</v>
      </c>
      <c r="AA86" s="23">
        <f t="shared" si="62"/>
        <v>17.266666666666666</v>
      </c>
      <c r="AB86" s="23">
        <f t="shared" si="63"/>
        <v>17.233333333333334</v>
      </c>
      <c r="AC86" s="23">
        <f t="shared" si="64"/>
        <v>17.2</v>
      </c>
      <c r="AD86" s="23">
        <f t="shared" si="65"/>
        <v>17.166666666666668</v>
      </c>
      <c r="AE86" s="23">
        <f t="shared" si="66"/>
        <v>17.133333333333333</v>
      </c>
      <c r="AF86" s="23">
        <f t="shared" si="67"/>
        <v>17.100000000000001</v>
      </c>
      <c r="AG86" s="23">
        <f t="shared" si="68"/>
        <v>17.066666666666666</v>
      </c>
      <c r="AH86" s="23">
        <f t="shared" si="69"/>
        <v>17.033333333333335</v>
      </c>
      <c r="AI86" s="23">
        <f t="shared" si="70"/>
        <v>17</v>
      </c>
      <c r="AJ86" s="24" t="str">
        <f t="shared" si="44"/>
        <v>1,7,11,49,77,539</v>
      </c>
      <c r="AK86" s="10"/>
      <c r="AL86" s="10"/>
      <c r="AM86" s="10"/>
      <c r="AN86" s="10"/>
      <c r="AO86" s="10"/>
      <c r="AP86" s="10"/>
      <c r="AQ86" s="10"/>
    </row>
    <row r="87" spans="1:43" x14ac:dyDescent="0.45">
      <c r="A87" s="11"/>
      <c r="B87" s="8"/>
      <c r="C87" s="8"/>
      <c r="D87" s="8">
        <v>78</v>
      </c>
      <c r="E87" s="9">
        <f t="shared" si="47"/>
        <v>546</v>
      </c>
      <c r="F87" s="23">
        <f t="shared" si="45"/>
        <v>18.2</v>
      </c>
      <c r="G87" s="23">
        <f t="shared" si="39"/>
        <v>18.166666666666668</v>
      </c>
      <c r="H87" s="23">
        <f t="shared" si="40"/>
        <v>18.133333333333333</v>
      </c>
      <c r="I87" s="23">
        <f t="shared" si="41"/>
        <v>18.100000000000001</v>
      </c>
      <c r="J87" s="23">
        <f t="shared" si="42"/>
        <v>18.066666666666666</v>
      </c>
      <c r="K87" s="23">
        <f t="shared" si="43"/>
        <v>18.033333333333335</v>
      </c>
      <c r="L87" s="23">
        <f t="shared" si="46"/>
        <v>18</v>
      </c>
      <c r="M87" s="23">
        <f t="shared" si="48"/>
        <v>17.966666666666665</v>
      </c>
      <c r="N87" s="23">
        <f t="shared" si="49"/>
        <v>17.933333333333334</v>
      </c>
      <c r="O87" s="23">
        <f t="shared" si="50"/>
        <v>17.899999999999999</v>
      </c>
      <c r="P87" s="23">
        <f t="shared" si="51"/>
        <v>17.866666666666667</v>
      </c>
      <c r="Q87" s="23">
        <f t="shared" si="52"/>
        <v>17.833333333333332</v>
      </c>
      <c r="R87" s="23">
        <f t="shared" si="53"/>
        <v>17.8</v>
      </c>
      <c r="S87" s="23">
        <f t="shared" si="54"/>
        <v>17.766666666666666</v>
      </c>
      <c r="T87" s="23">
        <f t="shared" si="55"/>
        <v>17.733333333333334</v>
      </c>
      <c r="U87" s="23">
        <f t="shared" si="56"/>
        <v>17.7</v>
      </c>
      <c r="V87" s="23">
        <f t="shared" si="57"/>
        <v>17.666666666666668</v>
      </c>
      <c r="W87" s="23">
        <f t="shared" si="58"/>
        <v>17.633333333333333</v>
      </c>
      <c r="X87" s="23">
        <f t="shared" si="59"/>
        <v>17.600000000000001</v>
      </c>
      <c r="Y87" s="23">
        <f t="shared" si="60"/>
        <v>17.566666666666666</v>
      </c>
      <c r="Z87" s="23">
        <f t="shared" si="61"/>
        <v>17.533333333333335</v>
      </c>
      <c r="AA87" s="23">
        <f t="shared" si="62"/>
        <v>17.5</v>
      </c>
      <c r="AB87" s="23">
        <f t="shared" si="63"/>
        <v>17.466666666666665</v>
      </c>
      <c r="AC87" s="23">
        <f t="shared" si="64"/>
        <v>17.433333333333334</v>
      </c>
      <c r="AD87" s="23">
        <f t="shared" si="65"/>
        <v>17.399999999999999</v>
      </c>
      <c r="AE87" s="23">
        <f t="shared" si="66"/>
        <v>17.366666666666667</v>
      </c>
      <c r="AF87" s="23">
        <f t="shared" si="67"/>
        <v>17.333333333333332</v>
      </c>
      <c r="AG87" s="23">
        <f t="shared" si="68"/>
        <v>17.3</v>
      </c>
      <c r="AH87" s="23">
        <f t="shared" si="69"/>
        <v>17.266666666666666</v>
      </c>
      <c r="AI87" s="23">
        <f t="shared" si="70"/>
        <v>17.233333333333334</v>
      </c>
      <c r="AJ87" s="24" t="str">
        <f t="shared" si="44"/>
        <v>1,2,3,6,7,13,14,21,26,39,42,78,91,182,273,546</v>
      </c>
      <c r="AK87" s="10"/>
      <c r="AL87" s="10"/>
      <c r="AM87" s="10"/>
      <c r="AN87" s="10"/>
      <c r="AO87" s="10"/>
      <c r="AP87" s="10"/>
      <c r="AQ87" s="10"/>
    </row>
    <row r="88" spans="1:43" x14ac:dyDescent="0.45">
      <c r="A88" s="11"/>
      <c r="B88" s="8"/>
      <c r="C88" s="8"/>
      <c r="D88" s="8">
        <v>79</v>
      </c>
      <c r="E88" s="9">
        <f t="shared" si="47"/>
        <v>553</v>
      </c>
      <c r="F88" s="23">
        <f t="shared" si="45"/>
        <v>18.433333333333334</v>
      </c>
      <c r="G88" s="23">
        <f t="shared" si="39"/>
        <v>18.399999999999999</v>
      </c>
      <c r="H88" s="23">
        <f t="shared" si="40"/>
        <v>18.366666666666667</v>
      </c>
      <c r="I88" s="23">
        <f t="shared" si="41"/>
        <v>18.333333333333332</v>
      </c>
      <c r="J88" s="23">
        <f t="shared" si="42"/>
        <v>18.3</v>
      </c>
      <c r="K88" s="23">
        <f t="shared" si="43"/>
        <v>18.266666666666666</v>
      </c>
      <c r="L88" s="23">
        <f t="shared" si="46"/>
        <v>18.233333333333334</v>
      </c>
      <c r="M88" s="23">
        <f t="shared" si="48"/>
        <v>18.2</v>
      </c>
      <c r="N88" s="23">
        <f t="shared" si="49"/>
        <v>18.166666666666668</v>
      </c>
      <c r="O88" s="23">
        <f t="shared" si="50"/>
        <v>18.133333333333333</v>
      </c>
      <c r="P88" s="23">
        <f t="shared" si="51"/>
        <v>18.100000000000001</v>
      </c>
      <c r="Q88" s="23">
        <f t="shared" si="52"/>
        <v>18.066666666666666</v>
      </c>
      <c r="R88" s="23">
        <f t="shared" si="53"/>
        <v>18.033333333333335</v>
      </c>
      <c r="S88" s="23">
        <f t="shared" si="54"/>
        <v>18</v>
      </c>
      <c r="T88" s="23">
        <f t="shared" si="55"/>
        <v>17.966666666666665</v>
      </c>
      <c r="U88" s="23">
        <f t="shared" si="56"/>
        <v>17.933333333333334</v>
      </c>
      <c r="V88" s="23">
        <f t="shared" si="57"/>
        <v>17.899999999999999</v>
      </c>
      <c r="W88" s="23">
        <f t="shared" si="58"/>
        <v>17.866666666666667</v>
      </c>
      <c r="X88" s="23">
        <f t="shared" si="59"/>
        <v>17.833333333333332</v>
      </c>
      <c r="Y88" s="23">
        <f t="shared" si="60"/>
        <v>17.8</v>
      </c>
      <c r="Z88" s="23">
        <f t="shared" si="61"/>
        <v>17.766666666666666</v>
      </c>
      <c r="AA88" s="23">
        <f t="shared" si="62"/>
        <v>17.733333333333334</v>
      </c>
      <c r="AB88" s="23">
        <f t="shared" si="63"/>
        <v>17.7</v>
      </c>
      <c r="AC88" s="23">
        <f t="shared" si="64"/>
        <v>17.666666666666668</v>
      </c>
      <c r="AD88" s="23">
        <f t="shared" si="65"/>
        <v>17.633333333333333</v>
      </c>
      <c r="AE88" s="23">
        <f t="shared" si="66"/>
        <v>17.600000000000001</v>
      </c>
      <c r="AF88" s="23">
        <f t="shared" si="67"/>
        <v>17.566666666666666</v>
      </c>
      <c r="AG88" s="23">
        <f t="shared" si="68"/>
        <v>17.533333333333335</v>
      </c>
      <c r="AH88" s="23">
        <f t="shared" si="69"/>
        <v>17.5</v>
      </c>
      <c r="AI88" s="23">
        <f t="shared" si="70"/>
        <v>17.466666666666665</v>
      </c>
      <c r="AJ88" s="24" t="str">
        <f t="shared" si="44"/>
        <v>1,7,79,553</v>
      </c>
      <c r="AK88" s="10"/>
      <c r="AL88" s="10"/>
      <c r="AM88" s="10"/>
      <c r="AN88" s="10"/>
      <c r="AO88" s="10"/>
      <c r="AP88" s="10"/>
      <c r="AQ88" s="10"/>
    </row>
    <row r="89" spans="1:43" x14ac:dyDescent="0.45">
      <c r="A89" s="11"/>
      <c r="B89" s="8"/>
      <c r="C89" s="8"/>
      <c r="D89" s="8">
        <v>80</v>
      </c>
      <c r="E89" s="9">
        <f t="shared" si="47"/>
        <v>560</v>
      </c>
      <c r="F89" s="23">
        <f t="shared" si="45"/>
        <v>18.666666666666668</v>
      </c>
      <c r="G89" s="23">
        <f t="shared" si="39"/>
        <v>18.633333333333333</v>
      </c>
      <c r="H89" s="23">
        <f t="shared" si="40"/>
        <v>18.600000000000001</v>
      </c>
      <c r="I89" s="23">
        <f t="shared" si="41"/>
        <v>18.566666666666666</v>
      </c>
      <c r="J89" s="23">
        <f t="shared" si="42"/>
        <v>18.533333333333335</v>
      </c>
      <c r="K89" s="23">
        <f t="shared" si="43"/>
        <v>18.5</v>
      </c>
      <c r="L89" s="23">
        <f t="shared" si="46"/>
        <v>18.466666666666665</v>
      </c>
      <c r="M89" s="23">
        <f t="shared" si="48"/>
        <v>18.433333333333334</v>
      </c>
      <c r="N89" s="23">
        <f t="shared" si="49"/>
        <v>18.399999999999999</v>
      </c>
      <c r="O89" s="23">
        <f t="shared" si="50"/>
        <v>18.366666666666667</v>
      </c>
      <c r="P89" s="23">
        <f t="shared" si="51"/>
        <v>18.333333333333332</v>
      </c>
      <c r="Q89" s="23">
        <f t="shared" si="52"/>
        <v>18.3</v>
      </c>
      <c r="R89" s="23">
        <f t="shared" si="53"/>
        <v>18.266666666666666</v>
      </c>
      <c r="S89" s="23">
        <f t="shared" si="54"/>
        <v>18.233333333333334</v>
      </c>
      <c r="T89" s="23">
        <f t="shared" si="55"/>
        <v>18.2</v>
      </c>
      <c r="U89" s="23">
        <f t="shared" si="56"/>
        <v>18.166666666666668</v>
      </c>
      <c r="V89" s="23">
        <f t="shared" si="57"/>
        <v>18.133333333333333</v>
      </c>
      <c r="W89" s="23">
        <f t="shared" si="58"/>
        <v>18.100000000000001</v>
      </c>
      <c r="X89" s="23">
        <f t="shared" si="59"/>
        <v>18.066666666666666</v>
      </c>
      <c r="Y89" s="23">
        <f t="shared" si="60"/>
        <v>18.033333333333335</v>
      </c>
      <c r="Z89" s="23">
        <f t="shared" si="61"/>
        <v>18</v>
      </c>
      <c r="AA89" s="23">
        <f t="shared" si="62"/>
        <v>17.966666666666665</v>
      </c>
      <c r="AB89" s="23">
        <f t="shared" si="63"/>
        <v>17.933333333333334</v>
      </c>
      <c r="AC89" s="23">
        <f t="shared" si="64"/>
        <v>17.899999999999999</v>
      </c>
      <c r="AD89" s="23">
        <f t="shared" si="65"/>
        <v>17.866666666666667</v>
      </c>
      <c r="AE89" s="23">
        <f t="shared" si="66"/>
        <v>17.833333333333332</v>
      </c>
      <c r="AF89" s="23">
        <f t="shared" si="67"/>
        <v>17.8</v>
      </c>
      <c r="AG89" s="23">
        <f t="shared" si="68"/>
        <v>17.766666666666666</v>
      </c>
      <c r="AH89" s="23">
        <f t="shared" si="69"/>
        <v>17.733333333333334</v>
      </c>
      <c r="AI89" s="23">
        <f t="shared" si="70"/>
        <v>17.7</v>
      </c>
      <c r="AJ89" s="24" t="str">
        <f t="shared" si="44"/>
        <v>1,2,4,5,7,8,10,14,16,20,28,35,40,56,70,80,112,140,280,560</v>
      </c>
      <c r="AK89" s="10"/>
      <c r="AL89" s="10"/>
      <c r="AM89" s="10"/>
      <c r="AN89" s="10"/>
      <c r="AO89" s="10"/>
      <c r="AP89" s="10"/>
      <c r="AQ89" s="10"/>
    </row>
    <row r="90" spans="1:43" x14ac:dyDescent="0.45">
      <c r="A90" s="11"/>
      <c r="B90" s="8"/>
      <c r="C90" s="8"/>
      <c r="D90" s="8">
        <v>81</v>
      </c>
      <c r="E90" s="9">
        <f t="shared" si="47"/>
        <v>567</v>
      </c>
      <c r="F90" s="23">
        <f t="shared" si="45"/>
        <v>18.899999999999999</v>
      </c>
      <c r="G90" s="23">
        <f t="shared" si="39"/>
        <v>18.866666666666667</v>
      </c>
      <c r="H90" s="23">
        <f t="shared" si="40"/>
        <v>18.833333333333332</v>
      </c>
      <c r="I90" s="23">
        <f t="shared" si="41"/>
        <v>18.8</v>
      </c>
      <c r="J90" s="23">
        <f t="shared" si="42"/>
        <v>18.766666666666666</v>
      </c>
      <c r="K90" s="23">
        <f t="shared" si="43"/>
        <v>18.733333333333334</v>
      </c>
      <c r="L90" s="23">
        <f t="shared" si="46"/>
        <v>18.7</v>
      </c>
      <c r="M90" s="23">
        <f t="shared" si="48"/>
        <v>18.666666666666668</v>
      </c>
      <c r="N90" s="23">
        <f t="shared" si="49"/>
        <v>18.633333333333333</v>
      </c>
      <c r="O90" s="23">
        <f t="shared" si="50"/>
        <v>18.600000000000001</v>
      </c>
      <c r="P90" s="23">
        <f t="shared" si="51"/>
        <v>18.566666666666666</v>
      </c>
      <c r="Q90" s="23">
        <f t="shared" si="52"/>
        <v>18.533333333333335</v>
      </c>
      <c r="R90" s="23">
        <f t="shared" si="53"/>
        <v>18.5</v>
      </c>
      <c r="S90" s="23">
        <f t="shared" si="54"/>
        <v>18.466666666666665</v>
      </c>
      <c r="T90" s="23">
        <f t="shared" si="55"/>
        <v>18.433333333333334</v>
      </c>
      <c r="U90" s="23">
        <f t="shared" si="56"/>
        <v>18.399999999999999</v>
      </c>
      <c r="V90" s="23">
        <f t="shared" si="57"/>
        <v>18.366666666666667</v>
      </c>
      <c r="W90" s="23">
        <f t="shared" si="58"/>
        <v>18.333333333333332</v>
      </c>
      <c r="X90" s="23">
        <f t="shared" si="59"/>
        <v>18.3</v>
      </c>
      <c r="Y90" s="23">
        <f t="shared" si="60"/>
        <v>18.266666666666666</v>
      </c>
      <c r="Z90" s="23">
        <f t="shared" si="61"/>
        <v>18.233333333333334</v>
      </c>
      <c r="AA90" s="23">
        <f t="shared" si="62"/>
        <v>18.2</v>
      </c>
      <c r="AB90" s="23">
        <f t="shared" si="63"/>
        <v>18.166666666666668</v>
      </c>
      <c r="AC90" s="23">
        <f t="shared" si="64"/>
        <v>18.133333333333333</v>
      </c>
      <c r="AD90" s="23">
        <f t="shared" si="65"/>
        <v>18.100000000000001</v>
      </c>
      <c r="AE90" s="23">
        <f t="shared" si="66"/>
        <v>18.066666666666666</v>
      </c>
      <c r="AF90" s="23">
        <f t="shared" si="67"/>
        <v>18.033333333333335</v>
      </c>
      <c r="AG90" s="23">
        <f t="shared" si="68"/>
        <v>18</v>
      </c>
      <c r="AH90" s="23">
        <f t="shared" si="69"/>
        <v>17.966666666666665</v>
      </c>
      <c r="AI90" s="23">
        <f t="shared" si="70"/>
        <v>17.933333333333334</v>
      </c>
      <c r="AJ90" s="24" t="str">
        <f t="shared" si="44"/>
        <v>1,3,7,9,21,27,63,81,189,567</v>
      </c>
      <c r="AK90" s="10"/>
      <c r="AL90" s="10"/>
      <c r="AM90" s="10"/>
      <c r="AN90" s="10"/>
      <c r="AO90" s="10"/>
      <c r="AP90" s="10"/>
      <c r="AQ90" s="10"/>
    </row>
    <row r="91" spans="1:43" x14ac:dyDescent="0.45">
      <c r="A91" s="11"/>
      <c r="B91" s="8"/>
      <c r="C91" s="8"/>
      <c r="D91" s="8">
        <v>82</v>
      </c>
      <c r="E91" s="9">
        <f t="shared" si="47"/>
        <v>574</v>
      </c>
      <c r="F91" s="23">
        <f t="shared" si="45"/>
        <v>19.133333333333333</v>
      </c>
      <c r="G91" s="23">
        <f t="shared" si="39"/>
        <v>19.100000000000001</v>
      </c>
      <c r="H91" s="23">
        <f t="shared" si="40"/>
        <v>19.066666666666666</v>
      </c>
      <c r="I91" s="23">
        <f t="shared" si="41"/>
        <v>19.033333333333335</v>
      </c>
      <c r="J91" s="23">
        <f t="shared" si="42"/>
        <v>19</v>
      </c>
      <c r="K91" s="23">
        <f t="shared" si="43"/>
        <v>18.966666666666665</v>
      </c>
      <c r="L91" s="23">
        <f t="shared" si="46"/>
        <v>18.933333333333334</v>
      </c>
      <c r="M91" s="23">
        <f t="shared" si="48"/>
        <v>18.899999999999999</v>
      </c>
      <c r="N91" s="23">
        <f t="shared" si="49"/>
        <v>18.866666666666667</v>
      </c>
      <c r="O91" s="23">
        <f t="shared" si="50"/>
        <v>18.833333333333332</v>
      </c>
      <c r="P91" s="23">
        <f t="shared" si="51"/>
        <v>18.8</v>
      </c>
      <c r="Q91" s="23">
        <f t="shared" si="52"/>
        <v>18.766666666666666</v>
      </c>
      <c r="R91" s="23">
        <f t="shared" si="53"/>
        <v>18.733333333333334</v>
      </c>
      <c r="S91" s="23">
        <f t="shared" si="54"/>
        <v>18.7</v>
      </c>
      <c r="T91" s="23">
        <f t="shared" si="55"/>
        <v>18.666666666666668</v>
      </c>
      <c r="U91" s="23">
        <f t="shared" si="56"/>
        <v>18.633333333333333</v>
      </c>
      <c r="V91" s="23">
        <f t="shared" si="57"/>
        <v>18.600000000000001</v>
      </c>
      <c r="W91" s="23">
        <f t="shared" si="58"/>
        <v>18.566666666666666</v>
      </c>
      <c r="X91" s="23">
        <f t="shared" si="59"/>
        <v>18.533333333333335</v>
      </c>
      <c r="Y91" s="23">
        <f t="shared" si="60"/>
        <v>18.5</v>
      </c>
      <c r="Z91" s="23">
        <f t="shared" si="61"/>
        <v>18.466666666666665</v>
      </c>
      <c r="AA91" s="23">
        <f t="shared" si="62"/>
        <v>18.433333333333334</v>
      </c>
      <c r="AB91" s="23">
        <f t="shared" si="63"/>
        <v>18.399999999999999</v>
      </c>
      <c r="AC91" s="23">
        <f t="shared" si="64"/>
        <v>18.366666666666667</v>
      </c>
      <c r="AD91" s="23">
        <f t="shared" si="65"/>
        <v>18.333333333333332</v>
      </c>
      <c r="AE91" s="23">
        <f t="shared" si="66"/>
        <v>18.3</v>
      </c>
      <c r="AF91" s="23">
        <f t="shared" si="67"/>
        <v>18.266666666666666</v>
      </c>
      <c r="AG91" s="23">
        <f t="shared" si="68"/>
        <v>18.233333333333334</v>
      </c>
      <c r="AH91" s="23">
        <f t="shared" si="69"/>
        <v>18.2</v>
      </c>
      <c r="AI91" s="23">
        <f t="shared" si="70"/>
        <v>18.166666666666668</v>
      </c>
      <c r="AJ91" s="24" t="str">
        <f t="shared" si="44"/>
        <v>1,2,7,14,41,82,287,574</v>
      </c>
      <c r="AK91" s="10"/>
      <c r="AL91" s="10"/>
      <c r="AM91" s="10"/>
      <c r="AN91" s="10"/>
      <c r="AO91" s="10"/>
      <c r="AP91" s="10"/>
      <c r="AQ91" s="10"/>
    </row>
    <row r="92" spans="1:43" x14ac:dyDescent="0.45">
      <c r="A92" s="11"/>
      <c r="B92" s="8"/>
      <c r="C92" s="8"/>
      <c r="D92" s="8">
        <v>83</v>
      </c>
      <c r="E92" s="9">
        <f t="shared" si="47"/>
        <v>581</v>
      </c>
      <c r="F92" s="23">
        <f t="shared" si="45"/>
        <v>19.366666666666667</v>
      </c>
      <c r="G92" s="23">
        <f t="shared" si="39"/>
        <v>19.333333333333332</v>
      </c>
      <c r="H92" s="23">
        <f t="shared" si="40"/>
        <v>19.3</v>
      </c>
      <c r="I92" s="23">
        <f t="shared" si="41"/>
        <v>19.266666666666666</v>
      </c>
      <c r="J92" s="23">
        <f t="shared" si="42"/>
        <v>19.233333333333334</v>
      </c>
      <c r="K92" s="23">
        <f t="shared" si="43"/>
        <v>19.2</v>
      </c>
      <c r="L92" s="23">
        <f t="shared" si="46"/>
        <v>19.166666666666668</v>
      </c>
      <c r="M92" s="23">
        <f t="shared" si="48"/>
        <v>19.133333333333333</v>
      </c>
      <c r="N92" s="23">
        <f t="shared" si="49"/>
        <v>19.100000000000001</v>
      </c>
      <c r="O92" s="23">
        <f t="shared" si="50"/>
        <v>19.066666666666666</v>
      </c>
      <c r="P92" s="23">
        <f t="shared" si="51"/>
        <v>19.033333333333335</v>
      </c>
      <c r="Q92" s="23">
        <f t="shared" si="52"/>
        <v>19</v>
      </c>
      <c r="R92" s="23">
        <f t="shared" si="53"/>
        <v>18.966666666666665</v>
      </c>
      <c r="S92" s="23">
        <f t="shared" si="54"/>
        <v>18.933333333333334</v>
      </c>
      <c r="T92" s="23">
        <f t="shared" si="55"/>
        <v>18.899999999999999</v>
      </c>
      <c r="U92" s="23">
        <f t="shared" si="56"/>
        <v>18.866666666666667</v>
      </c>
      <c r="V92" s="23">
        <f t="shared" si="57"/>
        <v>18.833333333333332</v>
      </c>
      <c r="W92" s="23">
        <f t="shared" si="58"/>
        <v>18.8</v>
      </c>
      <c r="X92" s="23">
        <f t="shared" si="59"/>
        <v>18.766666666666666</v>
      </c>
      <c r="Y92" s="23">
        <f t="shared" si="60"/>
        <v>18.733333333333334</v>
      </c>
      <c r="Z92" s="23">
        <f t="shared" si="61"/>
        <v>18.7</v>
      </c>
      <c r="AA92" s="23">
        <f t="shared" si="62"/>
        <v>18.666666666666668</v>
      </c>
      <c r="AB92" s="23">
        <f t="shared" si="63"/>
        <v>18.633333333333333</v>
      </c>
      <c r="AC92" s="23">
        <f t="shared" si="64"/>
        <v>18.600000000000001</v>
      </c>
      <c r="AD92" s="23">
        <f t="shared" si="65"/>
        <v>18.566666666666666</v>
      </c>
      <c r="AE92" s="23">
        <f t="shared" si="66"/>
        <v>18.533333333333335</v>
      </c>
      <c r="AF92" s="23">
        <f t="shared" si="67"/>
        <v>18.5</v>
      </c>
      <c r="AG92" s="23">
        <f t="shared" si="68"/>
        <v>18.466666666666665</v>
      </c>
      <c r="AH92" s="23">
        <f t="shared" si="69"/>
        <v>18.433333333333334</v>
      </c>
      <c r="AI92" s="23">
        <f t="shared" si="70"/>
        <v>18.399999999999999</v>
      </c>
      <c r="AJ92" s="24" t="str">
        <f t="shared" si="44"/>
        <v>1,7,83,581</v>
      </c>
      <c r="AK92" s="10"/>
      <c r="AL92" s="10"/>
      <c r="AM92" s="10"/>
      <c r="AN92" s="10"/>
      <c r="AO92" s="10"/>
      <c r="AP92" s="10"/>
      <c r="AQ92" s="10"/>
    </row>
    <row r="93" spans="1:43" x14ac:dyDescent="0.45">
      <c r="A93" s="11"/>
      <c r="B93" s="8"/>
      <c r="C93" s="8"/>
      <c r="D93" s="8">
        <v>84</v>
      </c>
      <c r="E93" s="9">
        <f t="shared" si="47"/>
        <v>588</v>
      </c>
      <c r="F93" s="23">
        <f t="shared" si="45"/>
        <v>19.600000000000001</v>
      </c>
      <c r="G93" s="23">
        <f t="shared" si="39"/>
        <v>19.566666666666666</v>
      </c>
      <c r="H93" s="23">
        <f t="shared" si="40"/>
        <v>19.533333333333335</v>
      </c>
      <c r="I93" s="23">
        <f t="shared" si="41"/>
        <v>19.5</v>
      </c>
      <c r="J93" s="23">
        <f t="shared" si="42"/>
        <v>19.466666666666665</v>
      </c>
      <c r="K93" s="23">
        <f t="shared" si="43"/>
        <v>19.433333333333334</v>
      </c>
      <c r="L93" s="23">
        <f t="shared" si="46"/>
        <v>19.399999999999999</v>
      </c>
      <c r="M93" s="23">
        <f t="shared" si="48"/>
        <v>19.366666666666667</v>
      </c>
      <c r="N93" s="23">
        <f t="shared" si="49"/>
        <v>19.333333333333332</v>
      </c>
      <c r="O93" s="23">
        <f t="shared" si="50"/>
        <v>19.3</v>
      </c>
      <c r="P93" s="23">
        <f t="shared" si="51"/>
        <v>19.266666666666666</v>
      </c>
      <c r="Q93" s="23">
        <f t="shared" si="52"/>
        <v>19.233333333333334</v>
      </c>
      <c r="R93" s="23">
        <f t="shared" si="53"/>
        <v>19.2</v>
      </c>
      <c r="S93" s="23">
        <f t="shared" si="54"/>
        <v>19.166666666666668</v>
      </c>
      <c r="T93" s="23">
        <f t="shared" si="55"/>
        <v>19.133333333333333</v>
      </c>
      <c r="U93" s="23">
        <f t="shared" si="56"/>
        <v>19.100000000000001</v>
      </c>
      <c r="V93" s="23">
        <f t="shared" si="57"/>
        <v>19.066666666666666</v>
      </c>
      <c r="W93" s="23">
        <f t="shared" si="58"/>
        <v>19.033333333333335</v>
      </c>
      <c r="X93" s="23">
        <f t="shared" si="59"/>
        <v>19</v>
      </c>
      <c r="Y93" s="23">
        <f t="shared" si="60"/>
        <v>18.966666666666665</v>
      </c>
      <c r="Z93" s="23">
        <f t="shared" si="61"/>
        <v>18.933333333333334</v>
      </c>
      <c r="AA93" s="23">
        <f t="shared" si="62"/>
        <v>18.899999999999999</v>
      </c>
      <c r="AB93" s="23">
        <f t="shared" si="63"/>
        <v>18.866666666666667</v>
      </c>
      <c r="AC93" s="23">
        <f t="shared" si="64"/>
        <v>18.833333333333332</v>
      </c>
      <c r="AD93" s="23">
        <f t="shared" si="65"/>
        <v>18.8</v>
      </c>
      <c r="AE93" s="23">
        <f t="shared" si="66"/>
        <v>18.766666666666666</v>
      </c>
      <c r="AF93" s="23">
        <f t="shared" si="67"/>
        <v>18.733333333333334</v>
      </c>
      <c r="AG93" s="23">
        <f t="shared" si="68"/>
        <v>18.7</v>
      </c>
      <c r="AH93" s="23">
        <f t="shared" si="69"/>
        <v>18.666666666666668</v>
      </c>
      <c r="AI93" s="23">
        <f t="shared" si="70"/>
        <v>18.633333333333333</v>
      </c>
      <c r="AJ93" s="24" t="str">
        <f t="shared" si="44"/>
        <v>1,2,3,4,6,7,12,14,21,28,42,49,84,98,147,196,294,588</v>
      </c>
      <c r="AK93" s="10"/>
      <c r="AL93" s="10"/>
      <c r="AM93" s="10"/>
      <c r="AN93" s="10"/>
      <c r="AO93" s="10"/>
      <c r="AP93" s="10"/>
      <c r="AQ93" s="10"/>
    </row>
    <row r="94" spans="1:43" x14ac:dyDescent="0.45">
      <c r="A94" s="11"/>
      <c r="B94" s="8"/>
      <c r="C94" s="8"/>
      <c r="D94" s="8">
        <v>85</v>
      </c>
      <c r="E94" s="9">
        <f t="shared" si="47"/>
        <v>595</v>
      </c>
      <c r="F94" s="23">
        <f t="shared" si="45"/>
        <v>19.833333333333332</v>
      </c>
      <c r="G94" s="23">
        <f t="shared" si="39"/>
        <v>19.8</v>
      </c>
      <c r="H94" s="23">
        <f t="shared" si="40"/>
        <v>19.766666666666666</v>
      </c>
      <c r="I94" s="23">
        <f t="shared" si="41"/>
        <v>19.733333333333334</v>
      </c>
      <c r="J94" s="23">
        <f t="shared" si="42"/>
        <v>19.7</v>
      </c>
      <c r="K94" s="23">
        <f t="shared" si="43"/>
        <v>19.666666666666668</v>
      </c>
      <c r="L94" s="23">
        <f t="shared" si="46"/>
        <v>19.633333333333333</v>
      </c>
      <c r="M94" s="23">
        <f t="shared" si="48"/>
        <v>19.600000000000001</v>
      </c>
      <c r="N94" s="23">
        <f t="shared" si="49"/>
        <v>19.566666666666666</v>
      </c>
      <c r="O94" s="23">
        <f t="shared" si="50"/>
        <v>19.533333333333335</v>
      </c>
      <c r="P94" s="23">
        <f t="shared" si="51"/>
        <v>19.5</v>
      </c>
      <c r="Q94" s="23">
        <f t="shared" si="52"/>
        <v>19.466666666666665</v>
      </c>
      <c r="R94" s="23">
        <f t="shared" si="53"/>
        <v>19.433333333333334</v>
      </c>
      <c r="S94" s="23">
        <f t="shared" si="54"/>
        <v>19.399999999999999</v>
      </c>
      <c r="T94" s="23">
        <f t="shared" si="55"/>
        <v>19.366666666666667</v>
      </c>
      <c r="U94" s="23">
        <f t="shared" si="56"/>
        <v>19.333333333333332</v>
      </c>
      <c r="V94" s="23">
        <f t="shared" si="57"/>
        <v>19.3</v>
      </c>
      <c r="W94" s="23">
        <f t="shared" si="58"/>
        <v>19.266666666666666</v>
      </c>
      <c r="X94" s="23">
        <f t="shared" si="59"/>
        <v>19.233333333333334</v>
      </c>
      <c r="Y94" s="23">
        <f t="shared" si="60"/>
        <v>19.2</v>
      </c>
      <c r="Z94" s="23">
        <f t="shared" si="61"/>
        <v>19.166666666666668</v>
      </c>
      <c r="AA94" s="23">
        <f t="shared" si="62"/>
        <v>19.133333333333333</v>
      </c>
      <c r="AB94" s="23">
        <f t="shared" si="63"/>
        <v>19.100000000000001</v>
      </c>
      <c r="AC94" s="23">
        <f t="shared" si="64"/>
        <v>19.066666666666666</v>
      </c>
      <c r="AD94" s="23">
        <f t="shared" si="65"/>
        <v>19.033333333333335</v>
      </c>
      <c r="AE94" s="23">
        <f t="shared" si="66"/>
        <v>19</v>
      </c>
      <c r="AF94" s="23">
        <f t="shared" si="67"/>
        <v>18.966666666666665</v>
      </c>
      <c r="AG94" s="23">
        <f t="shared" si="68"/>
        <v>18.933333333333334</v>
      </c>
      <c r="AH94" s="23">
        <f t="shared" si="69"/>
        <v>18.899999999999999</v>
      </c>
      <c r="AI94" s="23">
        <f t="shared" si="70"/>
        <v>18.866666666666667</v>
      </c>
      <c r="AJ94" s="24" t="str">
        <f t="shared" si="44"/>
        <v>1,5,7,17,35,85,119,595</v>
      </c>
      <c r="AK94" s="10"/>
      <c r="AL94" s="10"/>
      <c r="AM94" s="10"/>
      <c r="AN94" s="10"/>
      <c r="AO94" s="10"/>
      <c r="AP94" s="10"/>
      <c r="AQ94" s="10"/>
    </row>
    <row r="95" spans="1:43" x14ac:dyDescent="0.45">
      <c r="A95" s="11"/>
      <c r="B95" s="8"/>
      <c r="C95" s="8"/>
      <c r="D95" s="8">
        <v>86</v>
      </c>
      <c r="E95" s="9">
        <f t="shared" si="47"/>
        <v>602</v>
      </c>
      <c r="F95" s="23">
        <f t="shared" si="45"/>
        <v>20.066666666666666</v>
      </c>
      <c r="G95" s="23">
        <f t="shared" si="39"/>
        <v>20.033333333333335</v>
      </c>
      <c r="H95" s="23">
        <f t="shared" si="40"/>
        <v>20</v>
      </c>
      <c r="I95" s="23">
        <f t="shared" si="41"/>
        <v>19.966666666666665</v>
      </c>
      <c r="J95" s="23">
        <f t="shared" si="42"/>
        <v>19.933333333333334</v>
      </c>
      <c r="K95" s="23">
        <f t="shared" si="43"/>
        <v>19.899999999999999</v>
      </c>
      <c r="L95" s="23">
        <f t="shared" si="46"/>
        <v>19.866666666666667</v>
      </c>
      <c r="M95" s="23">
        <f t="shared" si="48"/>
        <v>19.833333333333332</v>
      </c>
      <c r="N95" s="23">
        <f t="shared" si="49"/>
        <v>19.8</v>
      </c>
      <c r="O95" s="23">
        <f t="shared" si="50"/>
        <v>19.766666666666666</v>
      </c>
      <c r="P95" s="23">
        <f t="shared" si="51"/>
        <v>19.733333333333334</v>
      </c>
      <c r="Q95" s="23">
        <f t="shared" si="52"/>
        <v>19.7</v>
      </c>
      <c r="R95" s="23">
        <f t="shared" si="53"/>
        <v>19.666666666666668</v>
      </c>
      <c r="S95" s="23">
        <f t="shared" si="54"/>
        <v>19.633333333333333</v>
      </c>
      <c r="T95" s="23">
        <f t="shared" si="55"/>
        <v>19.600000000000001</v>
      </c>
      <c r="U95" s="23">
        <f t="shared" si="56"/>
        <v>19.566666666666666</v>
      </c>
      <c r="V95" s="23">
        <f t="shared" si="57"/>
        <v>19.533333333333335</v>
      </c>
      <c r="W95" s="23">
        <f t="shared" si="58"/>
        <v>19.5</v>
      </c>
      <c r="X95" s="23">
        <f t="shared" si="59"/>
        <v>19.466666666666665</v>
      </c>
      <c r="Y95" s="23">
        <f t="shared" si="60"/>
        <v>19.433333333333334</v>
      </c>
      <c r="Z95" s="23">
        <f t="shared" si="61"/>
        <v>19.399999999999999</v>
      </c>
      <c r="AA95" s="23">
        <f t="shared" si="62"/>
        <v>19.366666666666667</v>
      </c>
      <c r="AB95" s="23">
        <f t="shared" si="63"/>
        <v>19.333333333333332</v>
      </c>
      <c r="AC95" s="23">
        <f t="shared" si="64"/>
        <v>19.3</v>
      </c>
      <c r="AD95" s="23">
        <f t="shared" si="65"/>
        <v>19.266666666666666</v>
      </c>
      <c r="AE95" s="23">
        <f t="shared" si="66"/>
        <v>19.233333333333334</v>
      </c>
      <c r="AF95" s="23">
        <f t="shared" si="67"/>
        <v>19.2</v>
      </c>
      <c r="AG95" s="23">
        <f t="shared" si="68"/>
        <v>19.166666666666668</v>
      </c>
      <c r="AH95" s="23">
        <f t="shared" si="69"/>
        <v>19.133333333333333</v>
      </c>
      <c r="AI95" s="23">
        <f t="shared" si="70"/>
        <v>19.100000000000001</v>
      </c>
      <c r="AJ95" s="24" t="str">
        <f t="shared" si="44"/>
        <v>1,2,7,14,43,86,301,602</v>
      </c>
      <c r="AK95" s="10"/>
      <c r="AL95" s="10"/>
      <c r="AM95" s="10"/>
      <c r="AN95" s="10"/>
      <c r="AO95" s="10"/>
      <c r="AP95" s="10"/>
      <c r="AQ95" s="10"/>
    </row>
    <row r="96" spans="1:43" x14ac:dyDescent="0.45">
      <c r="A96" s="11"/>
      <c r="B96" s="8"/>
      <c r="C96" s="8"/>
      <c r="D96" s="8">
        <v>87</v>
      </c>
      <c r="E96" s="9">
        <f t="shared" si="47"/>
        <v>609</v>
      </c>
      <c r="F96" s="23">
        <f t="shared" si="45"/>
        <v>20.3</v>
      </c>
      <c r="G96" s="23">
        <f t="shared" si="39"/>
        <v>20.266666666666666</v>
      </c>
      <c r="H96" s="23">
        <f t="shared" si="40"/>
        <v>20.233333333333334</v>
      </c>
      <c r="I96" s="23">
        <f t="shared" si="41"/>
        <v>20.2</v>
      </c>
      <c r="J96" s="23">
        <f t="shared" si="42"/>
        <v>20.166666666666668</v>
      </c>
      <c r="K96" s="23">
        <f t="shared" si="43"/>
        <v>20.133333333333333</v>
      </c>
      <c r="L96" s="23">
        <f t="shared" si="46"/>
        <v>20.100000000000001</v>
      </c>
      <c r="M96" s="23">
        <f t="shared" si="48"/>
        <v>20.066666666666666</v>
      </c>
      <c r="N96" s="23">
        <f t="shared" si="49"/>
        <v>20.033333333333335</v>
      </c>
      <c r="O96" s="23">
        <f t="shared" si="50"/>
        <v>20</v>
      </c>
      <c r="P96" s="23">
        <f t="shared" si="51"/>
        <v>19.966666666666665</v>
      </c>
      <c r="Q96" s="23">
        <f t="shared" si="52"/>
        <v>19.933333333333334</v>
      </c>
      <c r="R96" s="23">
        <f t="shared" si="53"/>
        <v>19.899999999999999</v>
      </c>
      <c r="S96" s="23">
        <f t="shared" si="54"/>
        <v>19.866666666666667</v>
      </c>
      <c r="T96" s="23">
        <f t="shared" si="55"/>
        <v>19.833333333333332</v>
      </c>
      <c r="U96" s="23">
        <f t="shared" si="56"/>
        <v>19.8</v>
      </c>
      <c r="V96" s="23">
        <f t="shared" si="57"/>
        <v>19.766666666666666</v>
      </c>
      <c r="W96" s="23">
        <f t="shared" si="58"/>
        <v>19.733333333333334</v>
      </c>
      <c r="X96" s="23">
        <f t="shared" si="59"/>
        <v>19.7</v>
      </c>
      <c r="Y96" s="23">
        <f t="shared" si="60"/>
        <v>19.666666666666668</v>
      </c>
      <c r="Z96" s="23">
        <f t="shared" si="61"/>
        <v>19.633333333333333</v>
      </c>
      <c r="AA96" s="23">
        <f t="shared" si="62"/>
        <v>19.600000000000001</v>
      </c>
      <c r="AB96" s="23">
        <f t="shared" si="63"/>
        <v>19.566666666666666</v>
      </c>
      <c r="AC96" s="23">
        <f t="shared" si="64"/>
        <v>19.533333333333335</v>
      </c>
      <c r="AD96" s="23">
        <f t="shared" si="65"/>
        <v>19.5</v>
      </c>
      <c r="AE96" s="23">
        <f t="shared" si="66"/>
        <v>19.466666666666665</v>
      </c>
      <c r="AF96" s="23">
        <f t="shared" si="67"/>
        <v>19.433333333333334</v>
      </c>
      <c r="AG96" s="23">
        <f t="shared" si="68"/>
        <v>19.399999999999999</v>
      </c>
      <c r="AH96" s="23">
        <f t="shared" si="69"/>
        <v>19.366666666666667</v>
      </c>
      <c r="AI96" s="23">
        <f t="shared" si="70"/>
        <v>19.333333333333332</v>
      </c>
      <c r="AJ96" s="24" t="str">
        <f t="shared" si="44"/>
        <v>1,3,7,21,29,87,203,609</v>
      </c>
      <c r="AK96" s="10"/>
      <c r="AL96" s="10"/>
      <c r="AM96" s="10"/>
      <c r="AN96" s="10"/>
      <c r="AO96" s="10"/>
      <c r="AP96" s="10"/>
      <c r="AQ96" s="10"/>
    </row>
    <row r="97" spans="1:43" x14ac:dyDescent="0.45">
      <c r="A97" s="11"/>
      <c r="B97" s="8"/>
      <c r="C97" s="8"/>
      <c r="D97" s="8">
        <v>88</v>
      </c>
      <c r="E97" s="9">
        <f t="shared" si="47"/>
        <v>616</v>
      </c>
      <c r="F97" s="23">
        <f t="shared" si="45"/>
        <v>20.533333333333335</v>
      </c>
      <c r="G97" s="23">
        <f t="shared" si="39"/>
        <v>20.5</v>
      </c>
      <c r="H97" s="23">
        <f t="shared" si="40"/>
        <v>20.466666666666665</v>
      </c>
      <c r="I97" s="23">
        <f t="shared" si="41"/>
        <v>20.433333333333334</v>
      </c>
      <c r="J97" s="23">
        <f t="shared" si="42"/>
        <v>20.399999999999999</v>
      </c>
      <c r="K97" s="23">
        <f t="shared" si="43"/>
        <v>20.366666666666667</v>
      </c>
      <c r="L97" s="23">
        <f t="shared" si="46"/>
        <v>20.333333333333332</v>
      </c>
      <c r="M97" s="23">
        <f t="shared" si="48"/>
        <v>20.3</v>
      </c>
      <c r="N97" s="23">
        <f t="shared" si="49"/>
        <v>20.266666666666666</v>
      </c>
      <c r="O97" s="23">
        <f t="shared" si="50"/>
        <v>20.233333333333334</v>
      </c>
      <c r="P97" s="23">
        <f t="shared" si="51"/>
        <v>20.2</v>
      </c>
      <c r="Q97" s="23">
        <f t="shared" si="52"/>
        <v>20.166666666666668</v>
      </c>
      <c r="R97" s="23">
        <f t="shared" si="53"/>
        <v>20.133333333333333</v>
      </c>
      <c r="S97" s="23">
        <f t="shared" si="54"/>
        <v>20.100000000000001</v>
      </c>
      <c r="T97" s="23">
        <f t="shared" si="55"/>
        <v>20.066666666666666</v>
      </c>
      <c r="U97" s="23">
        <f t="shared" si="56"/>
        <v>20.033333333333335</v>
      </c>
      <c r="V97" s="23">
        <f t="shared" si="57"/>
        <v>20</v>
      </c>
      <c r="W97" s="23">
        <f t="shared" si="58"/>
        <v>19.966666666666665</v>
      </c>
      <c r="X97" s="23">
        <f t="shared" si="59"/>
        <v>19.933333333333334</v>
      </c>
      <c r="Y97" s="23">
        <f t="shared" si="60"/>
        <v>19.899999999999999</v>
      </c>
      <c r="Z97" s="23">
        <f t="shared" si="61"/>
        <v>19.866666666666667</v>
      </c>
      <c r="AA97" s="23">
        <f t="shared" si="62"/>
        <v>19.833333333333332</v>
      </c>
      <c r="AB97" s="23">
        <f t="shared" si="63"/>
        <v>19.8</v>
      </c>
      <c r="AC97" s="23">
        <f t="shared" si="64"/>
        <v>19.766666666666666</v>
      </c>
      <c r="AD97" s="23">
        <f t="shared" si="65"/>
        <v>19.733333333333334</v>
      </c>
      <c r="AE97" s="23">
        <f t="shared" si="66"/>
        <v>19.7</v>
      </c>
      <c r="AF97" s="23">
        <f t="shared" si="67"/>
        <v>19.666666666666668</v>
      </c>
      <c r="AG97" s="23">
        <f t="shared" si="68"/>
        <v>19.633333333333333</v>
      </c>
      <c r="AH97" s="23">
        <f t="shared" si="69"/>
        <v>19.600000000000001</v>
      </c>
      <c r="AI97" s="23">
        <f t="shared" si="70"/>
        <v>19.566666666666666</v>
      </c>
      <c r="AJ97" s="24" t="str">
        <f t="shared" si="44"/>
        <v>1,2,4,7,8,11,14,22,28,44,56,77,88,154,308,616</v>
      </c>
      <c r="AK97" s="10"/>
      <c r="AL97" s="10"/>
      <c r="AM97" s="10"/>
      <c r="AN97" s="10"/>
      <c r="AO97" s="10"/>
      <c r="AP97" s="10"/>
      <c r="AQ97" s="10"/>
    </row>
    <row r="98" spans="1:43" x14ac:dyDescent="0.45">
      <c r="A98" s="11"/>
      <c r="B98" s="8"/>
      <c r="C98" s="8"/>
      <c r="D98" s="8">
        <v>89</v>
      </c>
      <c r="E98" s="9">
        <f t="shared" si="47"/>
        <v>623</v>
      </c>
      <c r="F98" s="23">
        <f t="shared" si="45"/>
        <v>20.766666666666666</v>
      </c>
      <c r="G98" s="23">
        <f t="shared" si="39"/>
        <v>20.733333333333334</v>
      </c>
      <c r="H98" s="23">
        <f t="shared" si="40"/>
        <v>20.7</v>
      </c>
      <c r="I98" s="23">
        <f t="shared" si="41"/>
        <v>20.666666666666668</v>
      </c>
      <c r="J98" s="23">
        <f t="shared" si="42"/>
        <v>20.633333333333333</v>
      </c>
      <c r="K98" s="23">
        <f t="shared" si="43"/>
        <v>20.6</v>
      </c>
      <c r="L98" s="23">
        <f t="shared" si="46"/>
        <v>20.566666666666666</v>
      </c>
      <c r="M98" s="23">
        <f t="shared" si="48"/>
        <v>20.533333333333335</v>
      </c>
      <c r="N98" s="23">
        <f t="shared" si="49"/>
        <v>20.5</v>
      </c>
      <c r="O98" s="23">
        <f t="shared" si="50"/>
        <v>20.466666666666665</v>
      </c>
      <c r="P98" s="23">
        <f t="shared" si="51"/>
        <v>20.433333333333334</v>
      </c>
      <c r="Q98" s="23">
        <f t="shared" si="52"/>
        <v>20.399999999999999</v>
      </c>
      <c r="R98" s="23">
        <f t="shared" si="53"/>
        <v>20.366666666666667</v>
      </c>
      <c r="S98" s="23">
        <f t="shared" si="54"/>
        <v>20.333333333333332</v>
      </c>
      <c r="T98" s="23">
        <f t="shared" si="55"/>
        <v>20.3</v>
      </c>
      <c r="U98" s="23">
        <f t="shared" si="56"/>
        <v>20.266666666666666</v>
      </c>
      <c r="V98" s="23">
        <f t="shared" si="57"/>
        <v>20.233333333333334</v>
      </c>
      <c r="W98" s="23">
        <f t="shared" si="58"/>
        <v>20.2</v>
      </c>
      <c r="X98" s="23">
        <f t="shared" si="59"/>
        <v>20.166666666666668</v>
      </c>
      <c r="Y98" s="23">
        <f t="shared" si="60"/>
        <v>20.133333333333333</v>
      </c>
      <c r="Z98" s="23">
        <f t="shared" si="61"/>
        <v>20.100000000000001</v>
      </c>
      <c r="AA98" s="23">
        <f t="shared" si="62"/>
        <v>20.066666666666666</v>
      </c>
      <c r="AB98" s="23">
        <f t="shared" si="63"/>
        <v>20.033333333333335</v>
      </c>
      <c r="AC98" s="23">
        <f t="shared" si="64"/>
        <v>20</v>
      </c>
      <c r="AD98" s="23">
        <f t="shared" si="65"/>
        <v>19.966666666666665</v>
      </c>
      <c r="AE98" s="23">
        <f t="shared" si="66"/>
        <v>19.933333333333334</v>
      </c>
      <c r="AF98" s="23">
        <f t="shared" si="67"/>
        <v>19.899999999999999</v>
      </c>
      <c r="AG98" s="23">
        <f t="shared" si="68"/>
        <v>19.866666666666667</v>
      </c>
      <c r="AH98" s="23">
        <f t="shared" si="69"/>
        <v>19.833333333333332</v>
      </c>
      <c r="AI98" s="23">
        <f t="shared" si="70"/>
        <v>19.8</v>
      </c>
      <c r="AJ98" s="24" t="str">
        <f t="shared" si="44"/>
        <v>1,7,89,623</v>
      </c>
      <c r="AK98" s="10"/>
      <c r="AL98" s="10"/>
      <c r="AM98" s="10"/>
      <c r="AN98" s="10"/>
      <c r="AO98" s="10"/>
      <c r="AP98" s="10"/>
      <c r="AQ98" s="10"/>
    </row>
    <row r="99" spans="1:43" x14ac:dyDescent="0.45">
      <c r="A99" s="11"/>
      <c r="B99" s="8"/>
      <c r="C99" s="48" t="s">
        <v>5</v>
      </c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0"/>
      <c r="AM99" s="10"/>
      <c r="AN99" s="10"/>
      <c r="AO99" s="10"/>
      <c r="AP99" s="10"/>
      <c r="AQ99" s="10"/>
    </row>
    <row r="100" spans="1:43" x14ac:dyDescent="0.45">
      <c r="A100" s="11"/>
      <c r="B100" s="8"/>
      <c r="C100" s="23">
        <f>(D100-0)/30</f>
        <v>3</v>
      </c>
      <c r="D100" s="8">
        <v>90</v>
      </c>
      <c r="E100" s="9">
        <f t="shared" si="47"/>
        <v>630</v>
      </c>
      <c r="F100" s="23">
        <f>(E100-0)/30</f>
        <v>21</v>
      </c>
      <c r="G100" s="23">
        <f t="shared" si="39"/>
        <v>20.966666666666665</v>
      </c>
      <c r="H100" s="23">
        <f t="shared" si="40"/>
        <v>20.933333333333334</v>
      </c>
      <c r="I100" s="23">
        <f t="shared" si="41"/>
        <v>20.9</v>
      </c>
      <c r="J100" s="23">
        <f t="shared" si="42"/>
        <v>20.866666666666667</v>
      </c>
      <c r="K100" s="23">
        <f t="shared" si="43"/>
        <v>20.833333333333332</v>
      </c>
      <c r="L100" s="23">
        <f t="shared" si="46"/>
        <v>20.8</v>
      </c>
      <c r="M100" s="23">
        <f t="shared" si="48"/>
        <v>20.766666666666666</v>
      </c>
      <c r="N100" s="23">
        <f t="shared" si="49"/>
        <v>20.733333333333334</v>
      </c>
      <c r="O100" s="23">
        <f t="shared" si="50"/>
        <v>20.7</v>
      </c>
      <c r="P100" s="23">
        <f t="shared" si="51"/>
        <v>20.666666666666668</v>
      </c>
      <c r="Q100" s="23">
        <f t="shared" si="52"/>
        <v>20.633333333333333</v>
      </c>
      <c r="R100" s="23">
        <f t="shared" si="53"/>
        <v>20.6</v>
      </c>
      <c r="S100" s="23">
        <f t="shared" si="54"/>
        <v>20.566666666666666</v>
      </c>
      <c r="T100" s="23">
        <f t="shared" si="55"/>
        <v>20.533333333333335</v>
      </c>
      <c r="U100" s="23">
        <f t="shared" si="56"/>
        <v>20.5</v>
      </c>
      <c r="V100" s="23">
        <f t="shared" si="57"/>
        <v>20.466666666666665</v>
      </c>
      <c r="W100" s="23">
        <f t="shared" si="58"/>
        <v>20.433333333333334</v>
      </c>
      <c r="X100" s="23">
        <f t="shared" si="59"/>
        <v>20.399999999999999</v>
      </c>
      <c r="Y100" s="23">
        <f t="shared" si="60"/>
        <v>20.366666666666667</v>
      </c>
      <c r="Z100" s="23">
        <f t="shared" si="61"/>
        <v>20.333333333333332</v>
      </c>
      <c r="AA100" s="23">
        <f t="shared" si="62"/>
        <v>20.3</v>
      </c>
      <c r="AB100" s="23">
        <f t="shared" si="63"/>
        <v>20.266666666666666</v>
      </c>
      <c r="AC100" s="23">
        <f t="shared" si="64"/>
        <v>20.233333333333334</v>
      </c>
      <c r="AD100" s="23">
        <f t="shared" si="65"/>
        <v>20.2</v>
      </c>
      <c r="AE100" s="23">
        <f t="shared" si="66"/>
        <v>20.166666666666668</v>
      </c>
      <c r="AF100" s="23">
        <f t="shared" si="67"/>
        <v>20.133333333333333</v>
      </c>
      <c r="AG100" s="23">
        <f t="shared" si="68"/>
        <v>20.100000000000001</v>
      </c>
      <c r="AH100" s="23">
        <f t="shared" si="69"/>
        <v>20.066666666666666</v>
      </c>
      <c r="AI100" s="23">
        <f t="shared" si="70"/>
        <v>20.033333333333335</v>
      </c>
      <c r="AJ100" s="24" t="str">
        <f t="shared" si="44"/>
        <v>1,2,3,5,6,7,9,10,14,15,18,21,30,35,42,45,63,70,90,105,126,210,315,630</v>
      </c>
      <c r="AK100" s="10"/>
      <c r="AL100" s="10"/>
      <c r="AM100" s="10"/>
      <c r="AN100" s="10"/>
      <c r="AO100" s="10"/>
      <c r="AP100" s="10"/>
      <c r="AQ100" s="10"/>
    </row>
    <row r="101" spans="1:43" x14ac:dyDescent="0.45">
      <c r="A101" s="11"/>
      <c r="B101" s="8"/>
      <c r="C101" s="8"/>
      <c r="D101" s="8">
        <v>91</v>
      </c>
      <c r="E101" s="9">
        <f t="shared" si="47"/>
        <v>637</v>
      </c>
      <c r="F101" s="23">
        <f t="shared" ref="F101:F133" si="71">(E101-0)/30</f>
        <v>21.233333333333334</v>
      </c>
      <c r="G101" s="23">
        <f t="shared" si="39"/>
        <v>21.2</v>
      </c>
      <c r="H101" s="23">
        <f t="shared" si="40"/>
        <v>21.166666666666668</v>
      </c>
      <c r="I101" s="23">
        <f t="shared" si="41"/>
        <v>21.133333333333333</v>
      </c>
      <c r="J101" s="23">
        <f t="shared" si="42"/>
        <v>21.1</v>
      </c>
      <c r="K101" s="23">
        <f t="shared" si="43"/>
        <v>21.066666666666666</v>
      </c>
      <c r="L101" s="23">
        <f t="shared" si="46"/>
        <v>21.033333333333335</v>
      </c>
      <c r="M101" s="23">
        <f t="shared" si="48"/>
        <v>21</v>
      </c>
      <c r="N101" s="23">
        <f t="shared" si="49"/>
        <v>20.966666666666665</v>
      </c>
      <c r="O101" s="23">
        <f t="shared" si="50"/>
        <v>20.933333333333334</v>
      </c>
      <c r="P101" s="23">
        <f t="shared" si="51"/>
        <v>20.9</v>
      </c>
      <c r="Q101" s="23">
        <f t="shared" si="52"/>
        <v>20.866666666666667</v>
      </c>
      <c r="R101" s="23">
        <f t="shared" si="53"/>
        <v>20.833333333333332</v>
      </c>
      <c r="S101" s="23">
        <f t="shared" si="54"/>
        <v>20.8</v>
      </c>
      <c r="T101" s="23">
        <f t="shared" si="55"/>
        <v>20.766666666666666</v>
      </c>
      <c r="U101" s="23">
        <f t="shared" si="56"/>
        <v>20.733333333333334</v>
      </c>
      <c r="V101" s="23">
        <f t="shared" si="57"/>
        <v>20.7</v>
      </c>
      <c r="W101" s="23">
        <f t="shared" si="58"/>
        <v>20.666666666666668</v>
      </c>
      <c r="X101" s="23">
        <f t="shared" si="59"/>
        <v>20.633333333333333</v>
      </c>
      <c r="Y101" s="23">
        <f t="shared" si="60"/>
        <v>20.6</v>
      </c>
      <c r="Z101" s="23">
        <f t="shared" si="61"/>
        <v>20.566666666666666</v>
      </c>
      <c r="AA101" s="23">
        <f t="shared" si="62"/>
        <v>20.533333333333335</v>
      </c>
      <c r="AB101" s="23">
        <f t="shared" si="63"/>
        <v>20.5</v>
      </c>
      <c r="AC101" s="23">
        <f t="shared" si="64"/>
        <v>20.466666666666665</v>
      </c>
      <c r="AD101" s="23">
        <f t="shared" si="65"/>
        <v>20.433333333333334</v>
      </c>
      <c r="AE101" s="23">
        <f t="shared" si="66"/>
        <v>20.399999999999999</v>
      </c>
      <c r="AF101" s="23">
        <f t="shared" si="67"/>
        <v>20.366666666666667</v>
      </c>
      <c r="AG101" s="23">
        <f t="shared" si="68"/>
        <v>20.333333333333332</v>
      </c>
      <c r="AH101" s="23">
        <f t="shared" si="69"/>
        <v>20.3</v>
      </c>
      <c r="AI101" s="23">
        <f t="shared" si="70"/>
        <v>20.266666666666666</v>
      </c>
      <c r="AJ101" s="24" t="str">
        <f t="shared" si="44"/>
        <v>1,7,13,49,91,637</v>
      </c>
      <c r="AK101" s="10"/>
      <c r="AL101" s="10"/>
      <c r="AM101" s="10"/>
      <c r="AN101" s="10"/>
      <c r="AO101" s="10"/>
      <c r="AP101" s="10"/>
      <c r="AQ101" s="10"/>
    </row>
    <row r="102" spans="1:43" x14ac:dyDescent="0.45">
      <c r="A102" s="11"/>
      <c r="B102" s="8"/>
      <c r="C102" s="8"/>
      <c r="D102" s="8">
        <v>92</v>
      </c>
      <c r="E102" s="9">
        <f t="shared" si="47"/>
        <v>644</v>
      </c>
      <c r="F102" s="23">
        <f t="shared" si="71"/>
        <v>21.466666666666665</v>
      </c>
      <c r="G102" s="23">
        <f t="shared" si="39"/>
        <v>21.433333333333334</v>
      </c>
      <c r="H102" s="23">
        <f t="shared" si="40"/>
        <v>21.4</v>
      </c>
      <c r="I102" s="23">
        <f t="shared" si="41"/>
        <v>21.366666666666667</v>
      </c>
      <c r="J102" s="23">
        <f t="shared" si="42"/>
        <v>21.333333333333332</v>
      </c>
      <c r="K102" s="23">
        <f t="shared" si="43"/>
        <v>21.3</v>
      </c>
      <c r="L102" s="23">
        <f t="shared" si="46"/>
        <v>21.266666666666666</v>
      </c>
      <c r="M102" s="23">
        <f t="shared" si="48"/>
        <v>21.233333333333334</v>
      </c>
      <c r="N102" s="23">
        <f t="shared" si="49"/>
        <v>21.2</v>
      </c>
      <c r="O102" s="23">
        <f t="shared" si="50"/>
        <v>21.166666666666668</v>
      </c>
      <c r="P102" s="23">
        <f t="shared" si="51"/>
        <v>21.133333333333333</v>
      </c>
      <c r="Q102" s="23">
        <f t="shared" si="52"/>
        <v>21.1</v>
      </c>
      <c r="R102" s="23">
        <f t="shared" si="53"/>
        <v>21.066666666666666</v>
      </c>
      <c r="S102" s="23">
        <f t="shared" si="54"/>
        <v>21.033333333333335</v>
      </c>
      <c r="T102" s="23">
        <f t="shared" si="55"/>
        <v>21</v>
      </c>
      <c r="U102" s="23">
        <f t="shared" si="56"/>
        <v>20.966666666666665</v>
      </c>
      <c r="V102" s="23">
        <f t="shared" si="57"/>
        <v>20.933333333333334</v>
      </c>
      <c r="W102" s="23">
        <f t="shared" si="58"/>
        <v>20.9</v>
      </c>
      <c r="X102" s="23">
        <f t="shared" si="59"/>
        <v>20.866666666666667</v>
      </c>
      <c r="Y102" s="23">
        <f t="shared" si="60"/>
        <v>20.833333333333332</v>
      </c>
      <c r="Z102" s="23">
        <f t="shared" si="61"/>
        <v>20.8</v>
      </c>
      <c r="AA102" s="23">
        <f t="shared" si="62"/>
        <v>20.766666666666666</v>
      </c>
      <c r="AB102" s="23">
        <f t="shared" si="63"/>
        <v>20.733333333333334</v>
      </c>
      <c r="AC102" s="23">
        <f t="shared" si="64"/>
        <v>20.7</v>
      </c>
      <c r="AD102" s="23">
        <f t="shared" si="65"/>
        <v>20.666666666666668</v>
      </c>
      <c r="AE102" s="23">
        <f t="shared" si="66"/>
        <v>20.633333333333333</v>
      </c>
      <c r="AF102" s="23">
        <f t="shared" si="67"/>
        <v>20.6</v>
      </c>
      <c r="AG102" s="23">
        <f t="shared" si="68"/>
        <v>20.566666666666666</v>
      </c>
      <c r="AH102" s="23">
        <f t="shared" si="69"/>
        <v>20.533333333333335</v>
      </c>
      <c r="AI102" s="23">
        <f t="shared" si="70"/>
        <v>20.5</v>
      </c>
      <c r="AJ102" s="24" t="str">
        <f t="shared" si="44"/>
        <v>1,2,4,7,14,23,28,46,92,161,322,644</v>
      </c>
      <c r="AK102" s="10"/>
      <c r="AL102" s="10"/>
      <c r="AM102" s="10"/>
      <c r="AN102" s="10"/>
      <c r="AO102" s="10"/>
      <c r="AP102" s="10"/>
      <c r="AQ102" s="10"/>
    </row>
    <row r="103" spans="1:43" x14ac:dyDescent="0.45">
      <c r="A103" s="11"/>
      <c r="B103" s="8"/>
      <c r="C103" s="8"/>
      <c r="D103" s="8">
        <v>93</v>
      </c>
      <c r="E103" s="9">
        <f t="shared" si="47"/>
        <v>651</v>
      </c>
      <c r="F103" s="23">
        <f t="shared" si="71"/>
        <v>21.7</v>
      </c>
      <c r="G103" s="23">
        <f t="shared" si="39"/>
        <v>21.666666666666668</v>
      </c>
      <c r="H103" s="23">
        <f t="shared" si="40"/>
        <v>21.633333333333333</v>
      </c>
      <c r="I103" s="23">
        <f t="shared" si="41"/>
        <v>21.6</v>
      </c>
      <c r="J103" s="23">
        <f t="shared" si="42"/>
        <v>21.566666666666666</v>
      </c>
      <c r="K103" s="23">
        <f t="shared" si="43"/>
        <v>21.533333333333335</v>
      </c>
      <c r="L103" s="23">
        <f t="shared" si="46"/>
        <v>21.5</v>
      </c>
      <c r="M103" s="23">
        <f t="shared" si="48"/>
        <v>21.466666666666665</v>
      </c>
      <c r="N103" s="23">
        <f t="shared" si="49"/>
        <v>21.433333333333334</v>
      </c>
      <c r="O103" s="23">
        <f t="shared" si="50"/>
        <v>21.4</v>
      </c>
      <c r="P103" s="23">
        <f t="shared" si="51"/>
        <v>21.366666666666667</v>
      </c>
      <c r="Q103" s="23">
        <f t="shared" si="52"/>
        <v>21.333333333333332</v>
      </c>
      <c r="R103" s="23">
        <f t="shared" si="53"/>
        <v>21.3</v>
      </c>
      <c r="S103" s="23">
        <f t="shared" si="54"/>
        <v>21.266666666666666</v>
      </c>
      <c r="T103" s="23">
        <f t="shared" si="55"/>
        <v>21.233333333333334</v>
      </c>
      <c r="U103" s="23">
        <f t="shared" si="56"/>
        <v>21.2</v>
      </c>
      <c r="V103" s="23">
        <f t="shared" si="57"/>
        <v>21.166666666666668</v>
      </c>
      <c r="W103" s="23">
        <f t="shared" si="58"/>
        <v>21.133333333333333</v>
      </c>
      <c r="X103" s="23">
        <f t="shared" si="59"/>
        <v>21.1</v>
      </c>
      <c r="Y103" s="23">
        <f t="shared" si="60"/>
        <v>21.066666666666666</v>
      </c>
      <c r="Z103" s="23">
        <f t="shared" si="61"/>
        <v>21.033333333333335</v>
      </c>
      <c r="AA103" s="23">
        <f t="shared" si="62"/>
        <v>21</v>
      </c>
      <c r="AB103" s="23">
        <f t="shared" si="63"/>
        <v>20.966666666666665</v>
      </c>
      <c r="AC103" s="23">
        <f t="shared" si="64"/>
        <v>20.933333333333334</v>
      </c>
      <c r="AD103" s="23">
        <f t="shared" si="65"/>
        <v>20.9</v>
      </c>
      <c r="AE103" s="23">
        <f t="shared" si="66"/>
        <v>20.866666666666667</v>
      </c>
      <c r="AF103" s="23">
        <f t="shared" si="67"/>
        <v>20.833333333333332</v>
      </c>
      <c r="AG103" s="23">
        <f t="shared" si="68"/>
        <v>20.8</v>
      </c>
      <c r="AH103" s="23">
        <f t="shared" si="69"/>
        <v>20.766666666666666</v>
      </c>
      <c r="AI103" s="23">
        <f t="shared" si="70"/>
        <v>20.733333333333334</v>
      </c>
      <c r="AJ103" s="24" t="str">
        <f t="shared" si="44"/>
        <v>1,3,7,21,31,93,217,651</v>
      </c>
      <c r="AK103" s="10"/>
      <c r="AL103" s="10"/>
      <c r="AM103" s="10"/>
      <c r="AN103" s="10"/>
      <c r="AO103" s="10"/>
      <c r="AP103" s="10"/>
      <c r="AQ103" s="10"/>
    </row>
    <row r="104" spans="1:43" x14ac:dyDescent="0.45">
      <c r="A104" s="11"/>
      <c r="B104" s="8"/>
      <c r="C104" s="8"/>
      <c r="D104" s="8">
        <v>94</v>
      </c>
      <c r="E104" s="9">
        <f t="shared" si="47"/>
        <v>658</v>
      </c>
      <c r="F104" s="23">
        <f t="shared" si="71"/>
        <v>21.933333333333334</v>
      </c>
      <c r="G104" s="23">
        <f t="shared" si="39"/>
        <v>21.9</v>
      </c>
      <c r="H104" s="23">
        <f t="shared" si="40"/>
        <v>21.866666666666667</v>
      </c>
      <c r="I104" s="23">
        <f t="shared" si="41"/>
        <v>21.833333333333332</v>
      </c>
      <c r="J104" s="23">
        <f t="shared" si="42"/>
        <v>21.8</v>
      </c>
      <c r="K104" s="23">
        <f t="shared" si="43"/>
        <v>21.766666666666666</v>
      </c>
      <c r="L104" s="23">
        <f t="shared" si="46"/>
        <v>21.733333333333334</v>
      </c>
      <c r="M104" s="23">
        <f t="shared" si="48"/>
        <v>21.7</v>
      </c>
      <c r="N104" s="23">
        <f t="shared" si="49"/>
        <v>21.666666666666668</v>
      </c>
      <c r="O104" s="23">
        <f t="shared" si="50"/>
        <v>21.633333333333333</v>
      </c>
      <c r="P104" s="23">
        <f t="shared" si="51"/>
        <v>21.6</v>
      </c>
      <c r="Q104" s="23">
        <f t="shared" si="52"/>
        <v>21.566666666666666</v>
      </c>
      <c r="R104" s="23">
        <f t="shared" si="53"/>
        <v>21.533333333333335</v>
      </c>
      <c r="S104" s="23">
        <f t="shared" si="54"/>
        <v>21.5</v>
      </c>
      <c r="T104" s="23">
        <f t="shared" si="55"/>
        <v>21.466666666666665</v>
      </c>
      <c r="U104" s="23">
        <f t="shared" si="56"/>
        <v>21.433333333333334</v>
      </c>
      <c r="V104" s="23">
        <f t="shared" si="57"/>
        <v>21.4</v>
      </c>
      <c r="W104" s="23">
        <f t="shared" si="58"/>
        <v>21.366666666666667</v>
      </c>
      <c r="X104" s="23">
        <f t="shared" si="59"/>
        <v>21.333333333333332</v>
      </c>
      <c r="Y104" s="23">
        <f t="shared" si="60"/>
        <v>21.3</v>
      </c>
      <c r="Z104" s="23">
        <f t="shared" si="61"/>
        <v>21.266666666666666</v>
      </c>
      <c r="AA104" s="23">
        <f t="shared" si="62"/>
        <v>21.233333333333334</v>
      </c>
      <c r="AB104" s="23">
        <f t="shared" si="63"/>
        <v>21.2</v>
      </c>
      <c r="AC104" s="23">
        <f t="shared" si="64"/>
        <v>21.166666666666668</v>
      </c>
      <c r="AD104" s="23">
        <f t="shared" si="65"/>
        <v>21.133333333333333</v>
      </c>
      <c r="AE104" s="23">
        <f t="shared" si="66"/>
        <v>21.1</v>
      </c>
      <c r="AF104" s="23">
        <f t="shared" si="67"/>
        <v>21.066666666666666</v>
      </c>
      <c r="AG104" s="23">
        <f t="shared" si="68"/>
        <v>21.033333333333335</v>
      </c>
      <c r="AH104" s="23">
        <f t="shared" si="69"/>
        <v>21</v>
      </c>
      <c r="AI104" s="23">
        <f t="shared" si="70"/>
        <v>20.966666666666665</v>
      </c>
      <c r="AJ104" s="24" t="str">
        <f t="shared" si="44"/>
        <v>1,2,7,14,47,94,329,658</v>
      </c>
      <c r="AK104" s="10"/>
      <c r="AL104" s="10"/>
      <c r="AM104" s="10"/>
      <c r="AN104" s="10"/>
      <c r="AO104" s="10"/>
      <c r="AP104" s="10"/>
      <c r="AQ104" s="10"/>
    </row>
    <row r="105" spans="1:43" x14ac:dyDescent="0.45">
      <c r="A105" s="11"/>
      <c r="B105" s="8"/>
      <c r="C105" s="8"/>
      <c r="D105" s="8">
        <v>95</v>
      </c>
      <c r="E105" s="9">
        <f t="shared" si="47"/>
        <v>665</v>
      </c>
      <c r="F105" s="23">
        <f t="shared" si="71"/>
        <v>22.166666666666668</v>
      </c>
      <c r="G105" s="23">
        <f t="shared" ref="G105:G133" si="72">(E105-1)/30</f>
        <v>22.133333333333333</v>
      </c>
      <c r="H105" s="23">
        <f t="shared" ref="H105:H133" si="73">(E105-2)/30</f>
        <v>22.1</v>
      </c>
      <c r="I105" s="23">
        <f t="shared" ref="I105:I133" si="74">(E105-3)/30</f>
        <v>22.066666666666666</v>
      </c>
      <c r="J105" s="23">
        <f t="shared" ref="J105:J133" si="75">(E105-4)/30</f>
        <v>22.033333333333335</v>
      </c>
      <c r="K105" s="23">
        <f t="shared" ref="K105:K133" si="76">(E105-5)/30</f>
        <v>22</v>
      </c>
      <c r="L105" s="23">
        <f t="shared" si="46"/>
        <v>21.966666666666665</v>
      </c>
      <c r="M105" s="23">
        <f t="shared" si="48"/>
        <v>21.933333333333334</v>
      </c>
      <c r="N105" s="23">
        <f t="shared" si="49"/>
        <v>21.9</v>
      </c>
      <c r="O105" s="23">
        <f t="shared" si="50"/>
        <v>21.866666666666667</v>
      </c>
      <c r="P105" s="23">
        <f t="shared" si="51"/>
        <v>21.833333333333332</v>
      </c>
      <c r="Q105" s="23">
        <f t="shared" si="52"/>
        <v>21.8</v>
      </c>
      <c r="R105" s="23">
        <f t="shared" si="53"/>
        <v>21.766666666666666</v>
      </c>
      <c r="S105" s="23">
        <f t="shared" si="54"/>
        <v>21.733333333333334</v>
      </c>
      <c r="T105" s="23">
        <f t="shared" si="55"/>
        <v>21.7</v>
      </c>
      <c r="U105" s="23">
        <f t="shared" si="56"/>
        <v>21.666666666666668</v>
      </c>
      <c r="V105" s="23">
        <f t="shared" si="57"/>
        <v>21.633333333333333</v>
      </c>
      <c r="W105" s="23">
        <f t="shared" si="58"/>
        <v>21.6</v>
      </c>
      <c r="X105" s="23">
        <f t="shared" si="59"/>
        <v>21.566666666666666</v>
      </c>
      <c r="Y105" s="23">
        <f t="shared" si="60"/>
        <v>21.533333333333335</v>
      </c>
      <c r="Z105" s="23">
        <f t="shared" si="61"/>
        <v>21.5</v>
      </c>
      <c r="AA105" s="23">
        <f t="shared" si="62"/>
        <v>21.466666666666665</v>
      </c>
      <c r="AB105" s="23">
        <f t="shared" si="63"/>
        <v>21.433333333333334</v>
      </c>
      <c r="AC105" s="23">
        <f t="shared" si="64"/>
        <v>21.4</v>
      </c>
      <c r="AD105" s="23">
        <f t="shared" si="65"/>
        <v>21.366666666666667</v>
      </c>
      <c r="AE105" s="23">
        <f t="shared" si="66"/>
        <v>21.333333333333332</v>
      </c>
      <c r="AF105" s="23">
        <f t="shared" si="67"/>
        <v>21.3</v>
      </c>
      <c r="AG105" s="23">
        <f t="shared" si="68"/>
        <v>21.266666666666666</v>
      </c>
      <c r="AH105" s="23">
        <f t="shared" si="69"/>
        <v>21.233333333333334</v>
      </c>
      <c r="AI105" s="23">
        <f t="shared" si="70"/>
        <v>21.2</v>
      </c>
      <c r="AJ105" s="24" t="str">
        <f t="shared" ref="AJ105:AJ133" si="77">FactorNumber(E105)</f>
        <v>1,5,7,19,35,95,133,665</v>
      </c>
      <c r="AK105" s="10"/>
      <c r="AL105" s="10"/>
      <c r="AM105" s="10"/>
      <c r="AN105" s="10"/>
      <c r="AO105" s="10"/>
      <c r="AP105" s="10"/>
      <c r="AQ105" s="10"/>
    </row>
    <row r="106" spans="1:43" x14ac:dyDescent="0.45">
      <c r="A106" s="11"/>
      <c r="B106" s="8"/>
      <c r="C106" s="8"/>
      <c r="D106" s="8">
        <v>96</v>
      </c>
      <c r="E106" s="9">
        <f t="shared" si="47"/>
        <v>672</v>
      </c>
      <c r="F106" s="23">
        <f t="shared" si="71"/>
        <v>22.4</v>
      </c>
      <c r="G106" s="23">
        <f t="shared" si="72"/>
        <v>22.366666666666667</v>
      </c>
      <c r="H106" s="23">
        <f t="shared" si="73"/>
        <v>22.333333333333332</v>
      </c>
      <c r="I106" s="23">
        <f t="shared" si="74"/>
        <v>22.3</v>
      </c>
      <c r="J106" s="23">
        <f t="shared" si="75"/>
        <v>22.266666666666666</v>
      </c>
      <c r="K106" s="23">
        <f t="shared" si="76"/>
        <v>22.233333333333334</v>
      </c>
      <c r="L106" s="23">
        <f t="shared" si="46"/>
        <v>22.2</v>
      </c>
      <c r="M106" s="23">
        <f t="shared" si="48"/>
        <v>22.166666666666668</v>
      </c>
      <c r="N106" s="23">
        <f t="shared" si="49"/>
        <v>22.133333333333333</v>
      </c>
      <c r="O106" s="23">
        <f t="shared" si="50"/>
        <v>22.1</v>
      </c>
      <c r="P106" s="23">
        <f t="shared" si="51"/>
        <v>22.066666666666666</v>
      </c>
      <c r="Q106" s="23">
        <f t="shared" si="52"/>
        <v>22.033333333333335</v>
      </c>
      <c r="R106" s="23">
        <f t="shared" si="53"/>
        <v>22</v>
      </c>
      <c r="S106" s="23">
        <f t="shared" si="54"/>
        <v>21.966666666666665</v>
      </c>
      <c r="T106" s="23">
        <f t="shared" si="55"/>
        <v>21.933333333333334</v>
      </c>
      <c r="U106" s="23">
        <f t="shared" si="56"/>
        <v>21.9</v>
      </c>
      <c r="V106" s="23">
        <f t="shared" si="57"/>
        <v>21.866666666666667</v>
      </c>
      <c r="W106" s="23">
        <f t="shared" si="58"/>
        <v>21.833333333333332</v>
      </c>
      <c r="X106" s="23">
        <f t="shared" si="59"/>
        <v>21.8</v>
      </c>
      <c r="Y106" s="23">
        <f t="shared" si="60"/>
        <v>21.766666666666666</v>
      </c>
      <c r="Z106" s="23">
        <f t="shared" si="61"/>
        <v>21.733333333333334</v>
      </c>
      <c r="AA106" s="23">
        <f t="shared" si="62"/>
        <v>21.7</v>
      </c>
      <c r="AB106" s="23">
        <f t="shared" si="63"/>
        <v>21.666666666666668</v>
      </c>
      <c r="AC106" s="23">
        <f t="shared" si="64"/>
        <v>21.633333333333333</v>
      </c>
      <c r="AD106" s="23">
        <f t="shared" si="65"/>
        <v>21.6</v>
      </c>
      <c r="AE106" s="23">
        <f t="shared" si="66"/>
        <v>21.566666666666666</v>
      </c>
      <c r="AF106" s="23">
        <f t="shared" si="67"/>
        <v>21.533333333333335</v>
      </c>
      <c r="AG106" s="23">
        <f t="shared" si="68"/>
        <v>21.5</v>
      </c>
      <c r="AH106" s="23">
        <f t="shared" si="69"/>
        <v>21.466666666666665</v>
      </c>
      <c r="AI106" s="23">
        <f t="shared" si="70"/>
        <v>21.433333333333334</v>
      </c>
      <c r="AJ106" s="24" t="str">
        <f t="shared" si="77"/>
        <v>1,2,3,4,6,7,8,12,14,16,21,24,28,32,42,48,56,84,96,112,168,224,336,672</v>
      </c>
      <c r="AK106" s="10"/>
      <c r="AL106" s="10"/>
      <c r="AM106" s="10"/>
      <c r="AN106" s="10"/>
      <c r="AO106" s="10"/>
      <c r="AP106" s="10"/>
      <c r="AQ106" s="10"/>
    </row>
    <row r="107" spans="1:43" x14ac:dyDescent="0.45">
      <c r="A107" s="11"/>
      <c r="B107" s="8"/>
      <c r="C107" s="8"/>
      <c r="D107" s="8">
        <v>97</v>
      </c>
      <c r="E107" s="9">
        <f t="shared" si="47"/>
        <v>679</v>
      </c>
      <c r="F107" s="23">
        <f t="shared" si="71"/>
        <v>22.633333333333333</v>
      </c>
      <c r="G107" s="23">
        <f t="shared" si="72"/>
        <v>22.6</v>
      </c>
      <c r="H107" s="23">
        <f t="shared" si="73"/>
        <v>22.566666666666666</v>
      </c>
      <c r="I107" s="23">
        <f t="shared" si="74"/>
        <v>22.533333333333335</v>
      </c>
      <c r="J107" s="23">
        <f t="shared" si="75"/>
        <v>22.5</v>
      </c>
      <c r="K107" s="23">
        <f t="shared" si="76"/>
        <v>22.466666666666665</v>
      </c>
      <c r="L107" s="23">
        <f t="shared" si="46"/>
        <v>22.433333333333334</v>
      </c>
      <c r="M107" s="23">
        <f t="shared" si="48"/>
        <v>22.4</v>
      </c>
      <c r="N107" s="23">
        <f t="shared" si="49"/>
        <v>22.366666666666667</v>
      </c>
      <c r="O107" s="23">
        <f t="shared" si="50"/>
        <v>22.333333333333332</v>
      </c>
      <c r="P107" s="23">
        <f t="shared" si="51"/>
        <v>22.3</v>
      </c>
      <c r="Q107" s="23">
        <f t="shared" si="52"/>
        <v>22.266666666666666</v>
      </c>
      <c r="R107" s="23">
        <f t="shared" si="53"/>
        <v>22.233333333333334</v>
      </c>
      <c r="S107" s="23">
        <f t="shared" si="54"/>
        <v>22.2</v>
      </c>
      <c r="T107" s="23">
        <f t="shared" si="55"/>
        <v>22.166666666666668</v>
      </c>
      <c r="U107" s="23">
        <f t="shared" si="56"/>
        <v>22.133333333333333</v>
      </c>
      <c r="V107" s="23">
        <f t="shared" si="57"/>
        <v>22.1</v>
      </c>
      <c r="W107" s="23">
        <f t="shared" si="58"/>
        <v>22.066666666666666</v>
      </c>
      <c r="X107" s="23">
        <f t="shared" si="59"/>
        <v>22.033333333333335</v>
      </c>
      <c r="Y107" s="23">
        <f t="shared" si="60"/>
        <v>22</v>
      </c>
      <c r="Z107" s="23">
        <f t="shared" si="61"/>
        <v>21.966666666666665</v>
      </c>
      <c r="AA107" s="23">
        <f t="shared" si="62"/>
        <v>21.933333333333334</v>
      </c>
      <c r="AB107" s="23">
        <f t="shared" si="63"/>
        <v>21.9</v>
      </c>
      <c r="AC107" s="23">
        <f t="shared" si="64"/>
        <v>21.866666666666667</v>
      </c>
      <c r="AD107" s="23">
        <f t="shared" si="65"/>
        <v>21.833333333333332</v>
      </c>
      <c r="AE107" s="23">
        <f t="shared" si="66"/>
        <v>21.8</v>
      </c>
      <c r="AF107" s="23">
        <f t="shared" si="67"/>
        <v>21.766666666666666</v>
      </c>
      <c r="AG107" s="23">
        <f t="shared" si="68"/>
        <v>21.733333333333334</v>
      </c>
      <c r="AH107" s="23">
        <f t="shared" si="69"/>
        <v>21.7</v>
      </c>
      <c r="AI107" s="23">
        <f t="shared" si="70"/>
        <v>21.666666666666668</v>
      </c>
      <c r="AJ107" s="24" t="str">
        <f t="shared" si="77"/>
        <v>1,7,97,679</v>
      </c>
      <c r="AK107" s="10"/>
      <c r="AL107" s="10"/>
      <c r="AM107" s="10"/>
      <c r="AN107" s="10"/>
      <c r="AO107" s="10"/>
      <c r="AP107" s="10"/>
      <c r="AQ107" s="10"/>
    </row>
    <row r="108" spans="1:43" x14ac:dyDescent="0.45">
      <c r="A108" s="11"/>
      <c r="B108" s="8"/>
      <c r="C108" s="8"/>
      <c r="D108" s="8">
        <v>98</v>
      </c>
      <c r="E108" s="9">
        <f t="shared" si="47"/>
        <v>686</v>
      </c>
      <c r="F108" s="23">
        <f t="shared" si="71"/>
        <v>22.866666666666667</v>
      </c>
      <c r="G108" s="23">
        <f t="shared" si="72"/>
        <v>22.833333333333332</v>
      </c>
      <c r="H108" s="23">
        <f t="shared" si="73"/>
        <v>22.8</v>
      </c>
      <c r="I108" s="23">
        <f t="shared" si="74"/>
        <v>22.766666666666666</v>
      </c>
      <c r="J108" s="23">
        <f t="shared" si="75"/>
        <v>22.733333333333334</v>
      </c>
      <c r="K108" s="23">
        <f t="shared" si="76"/>
        <v>22.7</v>
      </c>
      <c r="L108" s="23">
        <f t="shared" si="46"/>
        <v>22.666666666666668</v>
      </c>
      <c r="M108" s="23">
        <f t="shared" si="48"/>
        <v>22.633333333333333</v>
      </c>
      <c r="N108" s="23">
        <f t="shared" si="49"/>
        <v>22.6</v>
      </c>
      <c r="O108" s="23">
        <f t="shared" si="50"/>
        <v>22.566666666666666</v>
      </c>
      <c r="P108" s="23">
        <f t="shared" si="51"/>
        <v>22.533333333333335</v>
      </c>
      <c r="Q108" s="23">
        <f t="shared" si="52"/>
        <v>22.5</v>
      </c>
      <c r="R108" s="23">
        <f t="shared" si="53"/>
        <v>22.466666666666665</v>
      </c>
      <c r="S108" s="23">
        <f t="shared" si="54"/>
        <v>22.433333333333334</v>
      </c>
      <c r="T108" s="23">
        <f t="shared" si="55"/>
        <v>22.4</v>
      </c>
      <c r="U108" s="23">
        <f t="shared" si="56"/>
        <v>22.366666666666667</v>
      </c>
      <c r="V108" s="23">
        <f t="shared" si="57"/>
        <v>22.333333333333332</v>
      </c>
      <c r="W108" s="23">
        <f t="shared" si="58"/>
        <v>22.3</v>
      </c>
      <c r="X108" s="23">
        <f t="shared" si="59"/>
        <v>22.266666666666666</v>
      </c>
      <c r="Y108" s="23">
        <f t="shared" si="60"/>
        <v>22.233333333333334</v>
      </c>
      <c r="Z108" s="23">
        <f t="shared" si="61"/>
        <v>22.2</v>
      </c>
      <c r="AA108" s="23">
        <f t="shared" si="62"/>
        <v>22.166666666666668</v>
      </c>
      <c r="AB108" s="23">
        <f t="shared" si="63"/>
        <v>22.133333333333333</v>
      </c>
      <c r="AC108" s="23">
        <f t="shared" si="64"/>
        <v>22.1</v>
      </c>
      <c r="AD108" s="23">
        <f t="shared" si="65"/>
        <v>22.066666666666666</v>
      </c>
      <c r="AE108" s="23">
        <f t="shared" si="66"/>
        <v>22.033333333333335</v>
      </c>
      <c r="AF108" s="23">
        <f t="shared" si="67"/>
        <v>22</v>
      </c>
      <c r="AG108" s="23">
        <f t="shared" si="68"/>
        <v>21.966666666666665</v>
      </c>
      <c r="AH108" s="23">
        <f t="shared" si="69"/>
        <v>21.933333333333334</v>
      </c>
      <c r="AI108" s="23">
        <f t="shared" si="70"/>
        <v>21.9</v>
      </c>
      <c r="AJ108" s="24" t="str">
        <f t="shared" si="77"/>
        <v>1,2,7,14,49,98,343,686</v>
      </c>
      <c r="AK108" s="10"/>
      <c r="AL108" s="10"/>
      <c r="AM108" s="10"/>
      <c r="AN108" s="10"/>
      <c r="AO108" s="10"/>
      <c r="AP108" s="10"/>
      <c r="AQ108" s="10"/>
    </row>
    <row r="109" spans="1:43" x14ac:dyDescent="0.45">
      <c r="A109" s="11"/>
      <c r="B109" s="8"/>
      <c r="C109" s="8"/>
      <c r="D109" s="8">
        <v>99</v>
      </c>
      <c r="E109" s="9">
        <f t="shared" si="47"/>
        <v>693</v>
      </c>
      <c r="F109" s="23">
        <f t="shared" si="71"/>
        <v>23.1</v>
      </c>
      <c r="G109" s="23">
        <f t="shared" si="72"/>
        <v>23.066666666666666</v>
      </c>
      <c r="H109" s="23">
        <f t="shared" si="73"/>
        <v>23.033333333333335</v>
      </c>
      <c r="I109" s="23">
        <f t="shared" si="74"/>
        <v>23</v>
      </c>
      <c r="J109" s="23">
        <f t="shared" si="75"/>
        <v>22.966666666666665</v>
      </c>
      <c r="K109" s="23">
        <f t="shared" si="76"/>
        <v>22.933333333333334</v>
      </c>
      <c r="L109" s="23">
        <f t="shared" si="46"/>
        <v>22.9</v>
      </c>
      <c r="M109" s="23">
        <f t="shared" si="48"/>
        <v>22.866666666666667</v>
      </c>
      <c r="N109" s="23">
        <f t="shared" si="49"/>
        <v>22.833333333333332</v>
      </c>
      <c r="O109" s="23">
        <f t="shared" si="50"/>
        <v>22.8</v>
      </c>
      <c r="P109" s="23">
        <f t="shared" si="51"/>
        <v>22.766666666666666</v>
      </c>
      <c r="Q109" s="23">
        <f t="shared" si="52"/>
        <v>22.733333333333334</v>
      </c>
      <c r="R109" s="23">
        <f t="shared" si="53"/>
        <v>22.7</v>
      </c>
      <c r="S109" s="23">
        <f t="shared" si="54"/>
        <v>22.666666666666668</v>
      </c>
      <c r="T109" s="23">
        <f t="shared" si="55"/>
        <v>22.633333333333333</v>
      </c>
      <c r="U109" s="23">
        <f t="shared" si="56"/>
        <v>22.6</v>
      </c>
      <c r="V109" s="23">
        <f t="shared" si="57"/>
        <v>22.566666666666666</v>
      </c>
      <c r="W109" s="23">
        <f t="shared" si="58"/>
        <v>22.533333333333335</v>
      </c>
      <c r="X109" s="23">
        <f t="shared" si="59"/>
        <v>22.5</v>
      </c>
      <c r="Y109" s="23">
        <f t="shared" si="60"/>
        <v>22.466666666666665</v>
      </c>
      <c r="Z109" s="23">
        <f t="shared" si="61"/>
        <v>22.433333333333334</v>
      </c>
      <c r="AA109" s="23">
        <f t="shared" si="62"/>
        <v>22.4</v>
      </c>
      <c r="AB109" s="23">
        <f t="shared" si="63"/>
        <v>22.366666666666667</v>
      </c>
      <c r="AC109" s="23">
        <f t="shared" si="64"/>
        <v>22.333333333333332</v>
      </c>
      <c r="AD109" s="23">
        <f t="shared" si="65"/>
        <v>22.3</v>
      </c>
      <c r="AE109" s="23">
        <f t="shared" si="66"/>
        <v>22.266666666666666</v>
      </c>
      <c r="AF109" s="23">
        <f t="shared" si="67"/>
        <v>22.233333333333334</v>
      </c>
      <c r="AG109" s="23">
        <f t="shared" si="68"/>
        <v>22.2</v>
      </c>
      <c r="AH109" s="23">
        <f t="shared" si="69"/>
        <v>22.166666666666668</v>
      </c>
      <c r="AI109" s="23">
        <f t="shared" si="70"/>
        <v>22.133333333333333</v>
      </c>
      <c r="AJ109" s="24" t="str">
        <f t="shared" si="77"/>
        <v>1,3,7,9,11,21,33,63,77,99,231,693</v>
      </c>
      <c r="AK109" s="10"/>
      <c r="AL109" s="10"/>
      <c r="AM109" s="10"/>
      <c r="AN109" s="10"/>
      <c r="AO109" s="10"/>
      <c r="AP109" s="10"/>
      <c r="AQ109" s="10"/>
    </row>
    <row r="110" spans="1:43" x14ac:dyDescent="0.45">
      <c r="A110" s="11"/>
      <c r="B110" s="8"/>
      <c r="C110" s="8"/>
      <c r="D110" s="8">
        <v>100</v>
      </c>
      <c r="E110" s="9">
        <f t="shared" si="47"/>
        <v>700</v>
      </c>
      <c r="F110" s="23">
        <f t="shared" si="71"/>
        <v>23.333333333333332</v>
      </c>
      <c r="G110" s="23">
        <f t="shared" si="72"/>
        <v>23.3</v>
      </c>
      <c r="H110" s="23">
        <f t="shared" si="73"/>
        <v>23.266666666666666</v>
      </c>
      <c r="I110" s="23">
        <f t="shared" si="74"/>
        <v>23.233333333333334</v>
      </c>
      <c r="J110" s="23">
        <f t="shared" si="75"/>
        <v>23.2</v>
      </c>
      <c r="K110" s="23">
        <f t="shared" si="76"/>
        <v>23.166666666666668</v>
      </c>
      <c r="L110" s="23">
        <f t="shared" si="46"/>
        <v>23.133333333333333</v>
      </c>
      <c r="M110" s="23">
        <f t="shared" si="48"/>
        <v>23.1</v>
      </c>
      <c r="N110" s="23">
        <f t="shared" si="49"/>
        <v>23.066666666666666</v>
      </c>
      <c r="O110" s="23">
        <f t="shared" si="50"/>
        <v>23.033333333333335</v>
      </c>
      <c r="P110" s="23">
        <f t="shared" si="51"/>
        <v>23</v>
      </c>
      <c r="Q110" s="23">
        <f t="shared" si="52"/>
        <v>22.966666666666665</v>
      </c>
      <c r="R110" s="23">
        <f t="shared" si="53"/>
        <v>22.933333333333334</v>
      </c>
      <c r="S110" s="23">
        <f t="shared" si="54"/>
        <v>22.9</v>
      </c>
      <c r="T110" s="23">
        <f t="shared" si="55"/>
        <v>22.866666666666667</v>
      </c>
      <c r="U110" s="23">
        <f t="shared" si="56"/>
        <v>22.833333333333332</v>
      </c>
      <c r="V110" s="23">
        <f t="shared" si="57"/>
        <v>22.8</v>
      </c>
      <c r="W110" s="23">
        <f t="shared" si="58"/>
        <v>22.766666666666666</v>
      </c>
      <c r="X110" s="23">
        <f t="shared" si="59"/>
        <v>22.733333333333334</v>
      </c>
      <c r="Y110" s="23">
        <f t="shared" si="60"/>
        <v>22.7</v>
      </c>
      <c r="Z110" s="23">
        <f t="shared" si="61"/>
        <v>22.666666666666668</v>
      </c>
      <c r="AA110" s="23">
        <f t="shared" si="62"/>
        <v>22.633333333333333</v>
      </c>
      <c r="AB110" s="23">
        <f t="shared" si="63"/>
        <v>22.6</v>
      </c>
      <c r="AC110" s="23">
        <f t="shared" si="64"/>
        <v>22.566666666666666</v>
      </c>
      <c r="AD110" s="23">
        <f t="shared" si="65"/>
        <v>22.533333333333335</v>
      </c>
      <c r="AE110" s="23">
        <f t="shared" si="66"/>
        <v>22.5</v>
      </c>
      <c r="AF110" s="23">
        <f t="shared" si="67"/>
        <v>22.466666666666665</v>
      </c>
      <c r="AG110" s="23">
        <f t="shared" si="68"/>
        <v>22.433333333333334</v>
      </c>
      <c r="AH110" s="23">
        <f t="shared" si="69"/>
        <v>22.4</v>
      </c>
      <c r="AI110" s="23">
        <f t="shared" si="70"/>
        <v>22.366666666666667</v>
      </c>
      <c r="AJ110" s="24" t="str">
        <f t="shared" si="77"/>
        <v>1,2,4,5,7,10,14,20,25,28,35,50,70,100,140,175,350,700</v>
      </c>
      <c r="AK110" s="10"/>
      <c r="AL110" s="10"/>
      <c r="AM110" s="10"/>
      <c r="AN110" s="10"/>
      <c r="AO110" s="10"/>
      <c r="AP110" s="10"/>
      <c r="AQ110" s="10"/>
    </row>
    <row r="111" spans="1:43" x14ac:dyDescent="0.45">
      <c r="A111" s="11"/>
      <c r="B111" s="8"/>
      <c r="C111" s="8"/>
      <c r="D111" s="8">
        <v>101</v>
      </c>
      <c r="E111" s="9">
        <f t="shared" si="47"/>
        <v>707</v>
      </c>
      <c r="F111" s="23">
        <f t="shared" si="71"/>
        <v>23.566666666666666</v>
      </c>
      <c r="G111" s="23">
        <f t="shared" si="72"/>
        <v>23.533333333333335</v>
      </c>
      <c r="H111" s="23">
        <f t="shared" si="73"/>
        <v>23.5</v>
      </c>
      <c r="I111" s="23">
        <f t="shared" si="74"/>
        <v>23.466666666666665</v>
      </c>
      <c r="J111" s="23">
        <f t="shared" si="75"/>
        <v>23.433333333333334</v>
      </c>
      <c r="K111" s="23">
        <f t="shared" si="76"/>
        <v>23.4</v>
      </c>
      <c r="L111" s="23">
        <f t="shared" si="46"/>
        <v>23.366666666666667</v>
      </c>
      <c r="M111" s="23">
        <f t="shared" si="48"/>
        <v>23.333333333333332</v>
      </c>
      <c r="N111" s="23">
        <f t="shared" si="49"/>
        <v>23.3</v>
      </c>
      <c r="O111" s="23">
        <f t="shared" si="50"/>
        <v>23.266666666666666</v>
      </c>
      <c r="P111" s="23">
        <f t="shared" si="51"/>
        <v>23.233333333333334</v>
      </c>
      <c r="Q111" s="23">
        <f t="shared" si="52"/>
        <v>23.2</v>
      </c>
      <c r="R111" s="23">
        <f t="shared" si="53"/>
        <v>23.166666666666668</v>
      </c>
      <c r="S111" s="23">
        <f t="shared" si="54"/>
        <v>23.133333333333333</v>
      </c>
      <c r="T111" s="23">
        <f t="shared" si="55"/>
        <v>23.1</v>
      </c>
      <c r="U111" s="23">
        <f t="shared" si="56"/>
        <v>23.066666666666666</v>
      </c>
      <c r="V111" s="23">
        <f t="shared" si="57"/>
        <v>23.033333333333335</v>
      </c>
      <c r="W111" s="23">
        <f t="shared" si="58"/>
        <v>23</v>
      </c>
      <c r="X111" s="23">
        <f t="shared" si="59"/>
        <v>22.966666666666665</v>
      </c>
      <c r="Y111" s="23">
        <f t="shared" si="60"/>
        <v>22.933333333333334</v>
      </c>
      <c r="Z111" s="23">
        <f t="shared" si="61"/>
        <v>22.9</v>
      </c>
      <c r="AA111" s="23">
        <f t="shared" si="62"/>
        <v>22.866666666666667</v>
      </c>
      <c r="AB111" s="23">
        <f t="shared" si="63"/>
        <v>22.833333333333332</v>
      </c>
      <c r="AC111" s="23">
        <f t="shared" si="64"/>
        <v>22.8</v>
      </c>
      <c r="AD111" s="23">
        <f t="shared" si="65"/>
        <v>22.766666666666666</v>
      </c>
      <c r="AE111" s="23">
        <f t="shared" si="66"/>
        <v>22.733333333333334</v>
      </c>
      <c r="AF111" s="23">
        <f t="shared" si="67"/>
        <v>22.7</v>
      </c>
      <c r="AG111" s="23">
        <f t="shared" si="68"/>
        <v>22.666666666666668</v>
      </c>
      <c r="AH111" s="23">
        <f t="shared" si="69"/>
        <v>22.633333333333333</v>
      </c>
      <c r="AI111" s="23">
        <f t="shared" si="70"/>
        <v>22.6</v>
      </c>
      <c r="AJ111" s="24" t="str">
        <f t="shared" si="77"/>
        <v>1,7,101,707</v>
      </c>
      <c r="AK111" s="10"/>
      <c r="AL111" s="10"/>
      <c r="AM111" s="10"/>
      <c r="AN111" s="10"/>
      <c r="AO111" s="10"/>
      <c r="AP111" s="10"/>
      <c r="AQ111" s="10"/>
    </row>
    <row r="112" spans="1:43" x14ac:dyDescent="0.45">
      <c r="A112" s="11"/>
      <c r="B112" s="8"/>
      <c r="C112" s="8"/>
      <c r="D112" s="8">
        <v>102</v>
      </c>
      <c r="E112" s="9">
        <f t="shared" si="47"/>
        <v>714</v>
      </c>
      <c r="F112" s="23">
        <f t="shared" si="71"/>
        <v>23.8</v>
      </c>
      <c r="G112" s="23">
        <f t="shared" si="72"/>
        <v>23.766666666666666</v>
      </c>
      <c r="H112" s="23">
        <f t="shared" si="73"/>
        <v>23.733333333333334</v>
      </c>
      <c r="I112" s="23">
        <f t="shared" si="74"/>
        <v>23.7</v>
      </c>
      <c r="J112" s="23">
        <f t="shared" si="75"/>
        <v>23.666666666666668</v>
      </c>
      <c r="K112" s="23">
        <f t="shared" si="76"/>
        <v>23.633333333333333</v>
      </c>
      <c r="L112" s="23">
        <f t="shared" si="46"/>
        <v>23.6</v>
      </c>
      <c r="M112" s="23">
        <f t="shared" si="48"/>
        <v>23.566666666666666</v>
      </c>
      <c r="N112" s="23">
        <f t="shared" si="49"/>
        <v>23.533333333333335</v>
      </c>
      <c r="O112" s="23">
        <f t="shared" si="50"/>
        <v>23.5</v>
      </c>
      <c r="P112" s="23">
        <f t="shared" si="51"/>
        <v>23.466666666666665</v>
      </c>
      <c r="Q112" s="23">
        <f t="shared" si="52"/>
        <v>23.433333333333334</v>
      </c>
      <c r="R112" s="23">
        <f t="shared" si="53"/>
        <v>23.4</v>
      </c>
      <c r="S112" s="23">
        <f t="shared" si="54"/>
        <v>23.366666666666667</v>
      </c>
      <c r="T112" s="23">
        <f t="shared" si="55"/>
        <v>23.333333333333332</v>
      </c>
      <c r="U112" s="23">
        <f t="shared" si="56"/>
        <v>23.3</v>
      </c>
      <c r="V112" s="23">
        <f t="shared" si="57"/>
        <v>23.266666666666666</v>
      </c>
      <c r="W112" s="23">
        <f t="shared" si="58"/>
        <v>23.233333333333334</v>
      </c>
      <c r="X112" s="23">
        <f t="shared" si="59"/>
        <v>23.2</v>
      </c>
      <c r="Y112" s="23">
        <f t="shared" si="60"/>
        <v>23.166666666666668</v>
      </c>
      <c r="Z112" s="23">
        <f t="shared" si="61"/>
        <v>23.133333333333333</v>
      </c>
      <c r="AA112" s="23">
        <f t="shared" si="62"/>
        <v>23.1</v>
      </c>
      <c r="AB112" s="23">
        <f t="shared" si="63"/>
        <v>23.066666666666666</v>
      </c>
      <c r="AC112" s="23">
        <f t="shared" si="64"/>
        <v>23.033333333333335</v>
      </c>
      <c r="AD112" s="23">
        <f t="shared" si="65"/>
        <v>23</v>
      </c>
      <c r="AE112" s="23">
        <f t="shared" si="66"/>
        <v>22.966666666666665</v>
      </c>
      <c r="AF112" s="23">
        <f t="shared" si="67"/>
        <v>22.933333333333334</v>
      </c>
      <c r="AG112" s="23">
        <f t="shared" si="68"/>
        <v>22.9</v>
      </c>
      <c r="AH112" s="23">
        <f t="shared" si="69"/>
        <v>22.866666666666667</v>
      </c>
      <c r="AI112" s="23">
        <f t="shared" si="70"/>
        <v>22.833333333333332</v>
      </c>
      <c r="AJ112" s="24" t="str">
        <f t="shared" si="77"/>
        <v>1,2,3,6,7,14,17,21,34,42,51,102,119,238,357,714</v>
      </c>
      <c r="AK112" s="10"/>
      <c r="AL112" s="10"/>
      <c r="AM112" s="10"/>
      <c r="AN112" s="10"/>
      <c r="AO112" s="10"/>
      <c r="AP112" s="10"/>
      <c r="AQ112" s="10"/>
    </row>
    <row r="113" spans="1:43" x14ac:dyDescent="0.45">
      <c r="A113" s="11"/>
      <c r="B113" s="8"/>
      <c r="C113" s="8"/>
      <c r="D113" s="8">
        <v>103</v>
      </c>
      <c r="E113" s="9">
        <f t="shared" si="47"/>
        <v>721</v>
      </c>
      <c r="F113" s="23">
        <f t="shared" si="71"/>
        <v>24.033333333333335</v>
      </c>
      <c r="G113" s="23">
        <f t="shared" si="72"/>
        <v>24</v>
      </c>
      <c r="H113" s="23">
        <f t="shared" si="73"/>
        <v>23.966666666666665</v>
      </c>
      <c r="I113" s="23">
        <f t="shared" si="74"/>
        <v>23.933333333333334</v>
      </c>
      <c r="J113" s="23">
        <f t="shared" si="75"/>
        <v>23.9</v>
      </c>
      <c r="K113" s="23">
        <f t="shared" si="76"/>
        <v>23.866666666666667</v>
      </c>
      <c r="L113" s="23">
        <f t="shared" si="46"/>
        <v>23.833333333333332</v>
      </c>
      <c r="M113" s="23">
        <f t="shared" si="48"/>
        <v>23.8</v>
      </c>
      <c r="N113" s="23">
        <f t="shared" si="49"/>
        <v>23.766666666666666</v>
      </c>
      <c r="O113" s="23">
        <f t="shared" si="50"/>
        <v>23.733333333333334</v>
      </c>
      <c r="P113" s="23">
        <f t="shared" si="51"/>
        <v>23.7</v>
      </c>
      <c r="Q113" s="23">
        <f t="shared" si="52"/>
        <v>23.666666666666668</v>
      </c>
      <c r="R113" s="23">
        <f t="shared" si="53"/>
        <v>23.633333333333333</v>
      </c>
      <c r="S113" s="23">
        <f t="shared" si="54"/>
        <v>23.6</v>
      </c>
      <c r="T113" s="23">
        <f t="shared" si="55"/>
        <v>23.566666666666666</v>
      </c>
      <c r="U113" s="23">
        <f t="shared" si="56"/>
        <v>23.533333333333335</v>
      </c>
      <c r="V113" s="23">
        <f t="shared" si="57"/>
        <v>23.5</v>
      </c>
      <c r="W113" s="23">
        <f t="shared" si="58"/>
        <v>23.466666666666665</v>
      </c>
      <c r="X113" s="23">
        <f t="shared" si="59"/>
        <v>23.433333333333334</v>
      </c>
      <c r="Y113" s="23">
        <f t="shared" si="60"/>
        <v>23.4</v>
      </c>
      <c r="Z113" s="23">
        <f t="shared" si="61"/>
        <v>23.366666666666667</v>
      </c>
      <c r="AA113" s="23">
        <f t="shared" si="62"/>
        <v>23.333333333333332</v>
      </c>
      <c r="AB113" s="23">
        <f t="shared" si="63"/>
        <v>23.3</v>
      </c>
      <c r="AC113" s="23">
        <f t="shared" si="64"/>
        <v>23.266666666666666</v>
      </c>
      <c r="AD113" s="23">
        <f t="shared" si="65"/>
        <v>23.233333333333334</v>
      </c>
      <c r="AE113" s="23">
        <f t="shared" si="66"/>
        <v>23.2</v>
      </c>
      <c r="AF113" s="23">
        <f t="shared" si="67"/>
        <v>23.166666666666668</v>
      </c>
      <c r="AG113" s="23">
        <f t="shared" si="68"/>
        <v>23.133333333333333</v>
      </c>
      <c r="AH113" s="23">
        <f t="shared" si="69"/>
        <v>23.1</v>
      </c>
      <c r="AI113" s="23">
        <f t="shared" si="70"/>
        <v>23.066666666666666</v>
      </c>
      <c r="AJ113" s="24" t="str">
        <f t="shared" si="77"/>
        <v>1,7,103,721</v>
      </c>
      <c r="AK113" s="10"/>
      <c r="AL113" s="10"/>
      <c r="AM113" s="10"/>
      <c r="AN113" s="10"/>
      <c r="AO113" s="10"/>
      <c r="AP113" s="10"/>
      <c r="AQ113" s="10"/>
    </row>
    <row r="114" spans="1:43" x14ac:dyDescent="0.45">
      <c r="A114" s="11"/>
      <c r="B114" s="8"/>
      <c r="C114" s="8"/>
      <c r="D114" s="8">
        <v>104</v>
      </c>
      <c r="E114" s="9">
        <f t="shared" si="47"/>
        <v>728</v>
      </c>
      <c r="F114" s="23">
        <f t="shared" si="71"/>
        <v>24.266666666666666</v>
      </c>
      <c r="G114" s="23">
        <f t="shared" si="72"/>
        <v>24.233333333333334</v>
      </c>
      <c r="H114" s="23">
        <f t="shared" si="73"/>
        <v>24.2</v>
      </c>
      <c r="I114" s="23">
        <f t="shared" si="74"/>
        <v>24.166666666666668</v>
      </c>
      <c r="J114" s="23">
        <f t="shared" si="75"/>
        <v>24.133333333333333</v>
      </c>
      <c r="K114" s="23">
        <f t="shared" si="76"/>
        <v>24.1</v>
      </c>
      <c r="L114" s="23">
        <f t="shared" si="46"/>
        <v>24.066666666666666</v>
      </c>
      <c r="M114" s="23">
        <f t="shared" si="48"/>
        <v>24.033333333333335</v>
      </c>
      <c r="N114" s="23">
        <f t="shared" si="49"/>
        <v>24</v>
      </c>
      <c r="O114" s="23">
        <f t="shared" si="50"/>
        <v>23.966666666666665</v>
      </c>
      <c r="P114" s="23">
        <f t="shared" si="51"/>
        <v>23.933333333333334</v>
      </c>
      <c r="Q114" s="23">
        <f t="shared" si="52"/>
        <v>23.9</v>
      </c>
      <c r="R114" s="23">
        <f t="shared" si="53"/>
        <v>23.866666666666667</v>
      </c>
      <c r="S114" s="23">
        <f t="shared" si="54"/>
        <v>23.833333333333332</v>
      </c>
      <c r="T114" s="23">
        <f t="shared" si="55"/>
        <v>23.8</v>
      </c>
      <c r="U114" s="23">
        <f t="shared" si="56"/>
        <v>23.766666666666666</v>
      </c>
      <c r="V114" s="23">
        <f t="shared" si="57"/>
        <v>23.733333333333334</v>
      </c>
      <c r="W114" s="23">
        <f t="shared" si="58"/>
        <v>23.7</v>
      </c>
      <c r="X114" s="23">
        <f t="shared" si="59"/>
        <v>23.666666666666668</v>
      </c>
      <c r="Y114" s="23">
        <f t="shared" si="60"/>
        <v>23.633333333333333</v>
      </c>
      <c r="Z114" s="23">
        <f t="shared" si="61"/>
        <v>23.6</v>
      </c>
      <c r="AA114" s="23">
        <f t="shared" si="62"/>
        <v>23.566666666666666</v>
      </c>
      <c r="AB114" s="23">
        <f t="shared" si="63"/>
        <v>23.533333333333335</v>
      </c>
      <c r="AC114" s="23">
        <f t="shared" si="64"/>
        <v>23.5</v>
      </c>
      <c r="AD114" s="23">
        <f t="shared" si="65"/>
        <v>23.466666666666665</v>
      </c>
      <c r="AE114" s="23">
        <f t="shared" si="66"/>
        <v>23.433333333333334</v>
      </c>
      <c r="AF114" s="23">
        <f t="shared" si="67"/>
        <v>23.4</v>
      </c>
      <c r="AG114" s="23">
        <f t="shared" si="68"/>
        <v>23.366666666666667</v>
      </c>
      <c r="AH114" s="23">
        <f t="shared" si="69"/>
        <v>23.333333333333332</v>
      </c>
      <c r="AI114" s="23">
        <f t="shared" si="70"/>
        <v>23.3</v>
      </c>
      <c r="AJ114" s="24" t="str">
        <f t="shared" si="77"/>
        <v>1,2,4,7,8,13,14,26,28,52,56,91,104,182,364,728</v>
      </c>
      <c r="AK114" s="10"/>
      <c r="AL114" s="10"/>
      <c r="AM114" s="10"/>
      <c r="AN114" s="10"/>
      <c r="AO114" s="10"/>
      <c r="AP114" s="10"/>
      <c r="AQ114" s="10"/>
    </row>
    <row r="115" spans="1:43" x14ac:dyDescent="0.45">
      <c r="A115" s="11"/>
      <c r="B115" s="8"/>
      <c r="C115" s="8"/>
      <c r="D115" s="8">
        <v>105</v>
      </c>
      <c r="E115" s="9">
        <f t="shared" si="47"/>
        <v>735</v>
      </c>
      <c r="F115" s="23">
        <f t="shared" si="71"/>
        <v>24.5</v>
      </c>
      <c r="G115" s="23">
        <f t="shared" si="72"/>
        <v>24.466666666666665</v>
      </c>
      <c r="H115" s="23">
        <f t="shared" si="73"/>
        <v>24.433333333333334</v>
      </c>
      <c r="I115" s="23">
        <f t="shared" si="74"/>
        <v>24.4</v>
      </c>
      <c r="J115" s="23">
        <f t="shared" si="75"/>
        <v>24.366666666666667</v>
      </c>
      <c r="K115" s="23">
        <f t="shared" si="76"/>
        <v>24.333333333333332</v>
      </c>
      <c r="L115" s="23">
        <f t="shared" si="46"/>
        <v>24.3</v>
      </c>
      <c r="M115" s="23">
        <f t="shared" si="48"/>
        <v>24.266666666666666</v>
      </c>
      <c r="N115" s="23">
        <f t="shared" si="49"/>
        <v>24.233333333333334</v>
      </c>
      <c r="O115" s="23">
        <f t="shared" si="50"/>
        <v>24.2</v>
      </c>
      <c r="P115" s="23">
        <f t="shared" si="51"/>
        <v>24.166666666666668</v>
      </c>
      <c r="Q115" s="23">
        <f t="shared" si="52"/>
        <v>24.133333333333333</v>
      </c>
      <c r="R115" s="23">
        <f t="shared" si="53"/>
        <v>24.1</v>
      </c>
      <c r="S115" s="23">
        <f t="shared" si="54"/>
        <v>24.066666666666666</v>
      </c>
      <c r="T115" s="23">
        <f t="shared" si="55"/>
        <v>24.033333333333335</v>
      </c>
      <c r="U115" s="23">
        <f t="shared" si="56"/>
        <v>24</v>
      </c>
      <c r="V115" s="23">
        <f t="shared" si="57"/>
        <v>23.966666666666665</v>
      </c>
      <c r="W115" s="23">
        <f t="shared" si="58"/>
        <v>23.933333333333334</v>
      </c>
      <c r="X115" s="23">
        <f t="shared" si="59"/>
        <v>23.9</v>
      </c>
      <c r="Y115" s="23">
        <f t="shared" si="60"/>
        <v>23.866666666666667</v>
      </c>
      <c r="Z115" s="23">
        <f t="shared" si="61"/>
        <v>23.833333333333332</v>
      </c>
      <c r="AA115" s="23">
        <f t="shared" si="62"/>
        <v>23.8</v>
      </c>
      <c r="AB115" s="23">
        <f t="shared" si="63"/>
        <v>23.766666666666666</v>
      </c>
      <c r="AC115" s="23">
        <f t="shared" si="64"/>
        <v>23.733333333333334</v>
      </c>
      <c r="AD115" s="23">
        <f t="shared" si="65"/>
        <v>23.7</v>
      </c>
      <c r="AE115" s="23">
        <f t="shared" si="66"/>
        <v>23.666666666666668</v>
      </c>
      <c r="AF115" s="23">
        <f t="shared" si="67"/>
        <v>23.633333333333333</v>
      </c>
      <c r="AG115" s="23">
        <f t="shared" si="68"/>
        <v>23.6</v>
      </c>
      <c r="AH115" s="23">
        <f t="shared" si="69"/>
        <v>23.566666666666666</v>
      </c>
      <c r="AI115" s="23">
        <f t="shared" si="70"/>
        <v>23.533333333333335</v>
      </c>
      <c r="AJ115" s="24" t="str">
        <f t="shared" si="77"/>
        <v>1,3,5,7,15,21,35,49,105,147,245,735</v>
      </c>
      <c r="AK115" s="10"/>
      <c r="AL115" s="10"/>
      <c r="AM115" s="10"/>
      <c r="AN115" s="10"/>
      <c r="AO115" s="10"/>
      <c r="AP115" s="10"/>
      <c r="AQ115" s="10"/>
    </row>
    <row r="116" spans="1:43" x14ac:dyDescent="0.45">
      <c r="A116" s="11"/>
      <c r="B116" s="8"/>
      <c r="C116" s="8"/>
      <c r="D116" s="8">
        <v>106</v>
      </c>
      <c r="E116" s="9">
        <f t="shared" si="47"/>
        <v>742</v>
      </c>
      <c r="F116" s="23">
        <f t="shared" si="71"/>
        <v>24.733333333333334</v>
      </c>
      <c r="G116" s="23">
        <f t="shared" si="72"/>
        <v>24.7</v>
      </c>
      <c r="H116" s="23">
        <f t="shared" si="73"/>
        <v>24.666666666666668</v>
      </c>
      <c r="I116" s="23">
        <f t="shared" si="74"/>
        <v>24.633333333333333</v>
      </c>
      <c r="J116" s="23">
        <f t="shared" si="75"/>
        <v>24.6</v>
      </c>
      <c r="K116" s="23">
        <f t="shared" si="76"/>
        <v>24.566666666666666</v>
      </c>
      <c r="L116" s="23">
        <f t="shared" si="46"/>
        <v>24.533333333333335</v>
      </c>
      <c r="M116" s="23">
        <f t="shared" si="48"/>
        <v>24.5</v>
      </c>
      <c r="N116" s="23">
        <f t="shared" si="49"/>
        <v>24.466666666666665</v>
      </c>
      <c r="O116" s="23">
        <f t="shared" si="50"/>
        <v>24.433333333333334</v>
      </c>
      <c r="P116" s="23">
        <f t="shared" si="51"/>
        <v>24.4</v>
      </c>
      <c r="Q116" s="23">
        <f t="shared" si="52"/>
        <v>24.366666666666667</v>
      </c>
      <c r="R116" s="23">
        <f t="shared" si="53"/>
        <v>24.333333333333332</v>
      </c>
      <c r="S116" s="23">
        <f t="shared" si="54"/>
        <v>24.3</v>
      </c>
      <c r="T116" s="23">
        <f t="shared" si="55"/>
        <v>24.266666666666666</v>
      </c>
      <c r="U116" s="23">
        <f t="shared" si="56"/>
        <v>24.233333333333334</v>
      </c>
      <c r="V116" s="23">
        <f t="shared" si="57"/>
        <v>24.2</v>
      </c>
      <c r="W116" s="23">
        <f t="shared" si="58"/>
        <v>24.166666666666668</v>
      </c>
      <c r="X116" s="23">
        <f t="shared" si="59"/>
        <v>24.133333333333333</v>
      </c>
      <c r="Y116" s="23">
        <f t="shared" si="60"/>
        <v>24.1</v>
      </c>
      <c r="Z116" s="23">
        <f t="shared" si="61"/>
        <v>24.066666666666666</v>
      </c>
      <c r="AA116" s="23">
        <f t="shared" si="62"/>
        <v>24.033333333333335</v>
      </c>
      <c r="AB116" s="23">
        <f t="shared" si="63"/>
        <v>24</v>
      </c>
      <c r="AC116" s="23">
        <f t="shared" si="64"/>
        <v>23.966666666666665</v>
      </c>
      <c r="AD116" s="23">
        <f t="shared" si="65"/>
        <v>23.933333333333334</v>
      </c>
      <c r="AE116" s="23">
        <f t="shared" si="66"/>
        <v>23.9</v>
      </c>
      <c r="AF116" s="23">
        <f t="shared" si="67"/>
        <v>23.866666666666667</v>
      </c>
      <c r="AG116" s="23">
        <f t="shared" si="68"/>
        <v>23.833333333333332</v>
      </c>
      <c r="AH116" s="23">
        <f t="shared" si="69"/>
        <v>23.8</v>
      </c>
      <c r="AI116" s="23">
        <f t="shared" si="70"/>
        <v>23.766666666666666</v>
      </c>
      <c r="AJ116" s="24" t="str">
        <f t="shared" si="77"/>
        <v>1,2,7,14,53,106,371,742</v>
      </c>
      <c r="AK116" s="10"/>
      <c r="AL116" s="10"/>
      <c r="AM116" s="10"/>
      <c r="AN116" s="10"/>
      <c r="AO116" s="10"/>
      <c r="AP116" s="10"/>
      <c r="AQ116" s="10"/>
    </row>
    <row r="117" spans="1:43" x14ac:dyDescent="0.45">
      <c r="A117" s="11"/>
      <c r="B117" s="8"/>
      <c r="C117" s="8"/>
      <c r="D117" s="8">
        <v>107</v>
      </c>
      <c r="E117" s="9">
        <f t="shared" si="47"/>
        <v>749</v>
      </c>
      <c r="F117" s="23">
        <f t="shared" si="71"/>
        <v>24.966666666666665</v>
      </c>
      <c r="G117" s="23">
        <f t="shared" si="72"/>
        <v>24.933333333333334</v>
      </c>
      <c r="H117" s="23">
        <f t="shared" si="73"/>
        <v>24.9</v>
      </c>
      <c r="I117" s="23">
        <f t="shared" si="74"/>
        <v>24.866666666666667</v>
      </c>
      <c r="J117" s="23">
        <f t="shared" si="75"/>
        <v>24.833333333333332</v>
      </c>
      <c r="K117" s="23">
        <f t="shared" si="76"/>
        <v>24.8</v>
      </c>
      <c r="L117" s="23">
        <f t="shared" si="46"/>
        <v>24.766666666666666</v>
      </c>
      <c r="M117" s="23">
        <f t="shared" si="48"/>
        <v>24.733333333333334</v>
      </c>
      <c r="N117" s="23">
        <f t="shared" si="49"/>
        <v>24.7</v>
      </c>
      <c r="O117" s="23">
        <f t="shared" si="50"/>
        <v>24.666666666666668</v>
      </c>
      <c r="P117" s="23">
        <f t="shared" si="51"/>
        <v>24.633333333333333</v>
      </c>
      <c r="Q117" s="23">
        <f t="shared" si="52"/>
        <v>24.6</v>
      </c>
      <c r="R117" s="23">
        <f t="shared" si="53"/>
        <v>24.566666666666666</v>
      </c>
      <c r="S117" s="23">
        <f t="shared" si="54"/>
        <v>24.533333333333335</v>
      </c>
      <c r="T117" s="23">
        <f t="shared" si="55"/>
        <v>24.5</v>
      </c>
      <c r="U117" s="23">
        <f t="shared" si="56"/>
        <v>24.466666666666665</v>
      </c>
      <c r="V117" s="23">
        <f t="shared" si="57"/>
        <v>24.433333333333334</v>
      </c>
      <c r="W117" s="23">
        <f t="shared" si="58"/>
        <v>24.4</v>
      </c>
      <c r="X117" s="23">
        <f t="shared" si="59"/>
        <v>24.366666666666667</v>
      </c>
      <c r="Y117" s="23">
        <f t="shared" si="60"/>
        <v>24.333333333333332</v>
      </c>
      <c r="Z117" s="23">
        <f t="shared" si="61"/>
        <v>24.3</v>
      </c>
      <c r="AA117" s="23">
        <f t="shared" si="62"/>
        <v>24.266666666666666</v>
      </c>
      <c r="AB117" s="23">
        <f t="shared" si="63"/>
        <v>24.233333333333334</v>
      </c>
      <c r="AC117" s="23">
        <f t="shared" si="64"/>
        <v>24.2</v>
      </c>
      <c r="AD117" s="23">
        <f t="shared" si="65"/>
        <v>24.166666666666668</v>
      </c>
      <c r="AE117" s="23">
        <f t="shared" si="66"/>
        <v>24.133333333333333</v>
      </c>
      <c r="AF117" s="23">
        <f t="shared" si="67"/>
        <v>24.1</v>
      </c>
      <c r="AG117" s="23">
        <f t="shared" si="68"/>
        <v>24.066666666666666</v>
      </c>
      <c r="AH117" s="23">
        <f t="shared" si="69"/>
        <v>24.033333333333335</v>
      </c>
      <c r="AI117" s="23">
        <f t="shared" si="70"/>
        <v>24</v>
      </c>
      <c r="AJ117" s="24" t="str">
        <f t="shared" si="77"/>
        <v>1,7,107,749</v>
      </c>
      <c r="AK117" s="10"/>
      <c r="AL117" s="10"/>
      <c r="AM117" s="10"/>
      <c r="AN117" s="10"/>
      <c r="AO117" s="10"/>
      <c r="AP117" s="10"/>
      <c r="AQ117" s="10"/>
    </row>
    <row r="118" spans="1:43" x14ac:dyDescent="0.45">
      <c r="A118" s="11"/>
      <c r="B118" s="8"/>
      <c r="C118" s="8"/>
      <c r="D118" s="8">
        <v>108</v>
      </c>
      <c r="E118" s="9">
        <f t="shared" si="47"/>
        <v>756</v>
      </c>
      <c r="F118" s="23">
        <f t="shared" si="71"/>
        <v>25.2</v>
      </c>
      <c r="G118" s="23">
        <f t="shared" si="72"/>
        <v>25.166666666666668</v>
      </c>
      <c r="H118" s="23">
        <f t="shared" si="73"/>
        <v>25.133333333333333</v>
      </c>
      <c r="I118" s="23">
        <f t="shared" si="74"/>
        <v>25.1</v>
      </c>
      <c r="J118" s="23">
        <f t="shared" si="75"/>
        <v>25.066666666666666</v>
      </c>
      <c r="K118" s="23">
        <f t="shared" si="76"/>
        <v>25.033333333333335</v>
      </c>
      <c r="L118" s="23">
        <f t="shared" si="46"/>
        <v>25</v>
      </c>
      <c r="M118" s="23">
        <f t="shared" si="48"/>
        <v>24.966666666666665</v>
      </c>
      <c r="N118" s="23">
        <f t="shared" si="49"/>
        <v>24.933333333333334</v>
      </c>
      <c r="O118" s="23">
        <f t="shared" si="50"/>
        <v>24.9</v>
      </c>
      <c r="P118" s="23">
        <f t="shared" si="51"/>
        <v>24.866666666666667</v>
      </c>
      <c r="Q118" s="23">
        <f t="shared" si="52"/>
        <v>24.833333333333332</v>
      </c>
      <c r="R118" s="23">
        <f t="shared" si="53"/>
        <v>24.8</v>
      </c>
      <c r="S118" s="23">
        <f t="shared" si="54"/>
        <v>24.766666666666666</v>
      </c>
      <c r="T118" s="23">
        <f t="shared" si="55"/>
        <v>24.733333333333334</v>
      </c>
      <c r="U118" s="23">
        <f t="shared" si="56"/>
        <v>24.7</v>
      </c>
      <c r="V118" s="23">
        <f t="shared" si="57"/>
        <v>24.666666666666668</v>
      </c>
      <c r="W118" s="23">
        <f t="shared" si="58"/>
        <v>24.633333333333333</v>
      </c>
      <c r="X118" s="23">
        <f t="shared" si="59"/>
        <v>24.6</v>
      </c>
      <c r="Y118" s="23">
        <f t="shared" si="60"/>
        <v>24.566666666666666</v>
      </c>
      <c r="Z118" s="23">
        <f t="shared" si="61"/>
        <v>24.533333333333335</v>
      </c>
      <c r="AA118" s="23">
        <f t="shared" si="62"/>
        <v>24.5</v>
      </c>
      <c r="AB118" s="23">
        <f t="shared" si="63"/>
        <v>24.466666666666665</v>
      </c>
      <c r="AC118" s="23">
        <f t="shared" si="64"/>
        <v>24.433333333333334</v>
      </c>
      <c r="AD118" s="23">
        <f t="shared" si="65"/>
        <v>24.4</v>
      </c>
      <c r="AE118" s="23">
        <f t="shared" si="66"/>
        <v>24.366666666666667</v>
      </c>
      <c r="AF118" s="23">
        <f t="shared" si="67"/>
        <v>24.333333333333332</v>
      </c>
      <c r="AG118" s="23">
        <f t="shared" si="68"/>
        <v>24.3</v>
      </c>
      <c r="AH118" s="23">
        <f t="shared" si="69"/>
        <v>24.266666666666666</v>
      </c>
      <c r="AI118" s="23">
        <f t="shared" si="70"/>
        <v>24.233333333333334</v>
      </c>
      <c r="AJ118" s="24" t="str">
        <f t="shared" si="77"/>
        <v>1,2,3,4,6,7,9,12,14,18,21,27,28,36,42,54,63,84,108,126,189,252,378,756</v>
      </c>
      <c r="AK118" s="10"/>
      <c r="AL118" s="10"/>
      <c r="AM118" s="10"/>
      <c r="AN118" s="10"/>
      <c r="AO118" s="10"/>
      <c r="AP118" s="10"/>
      <c r="AQ118" s="10"/>
    </row>
    <row r="119" spans="1:43" x14ac:dyDescent="0.45">
      <c r="A119" s="11"/>
      <c r="B119" s="8"/>
      <c r="C119" s="8"/>
      <c r="D119" s="8">
        <v>109</v>
      </c>
      <c r="E119" s="9">
        <f t="shared" si="47"/>
        <v>763</v>
      </c>
      <c r="F119" s="23">
        <f t="shared" si="71"/>
        <v>25.433333333333334</v>
      </c>
      <c r="G119" s="23">
        <f t="shared" si="72"/>
        <v>25.4</v>
      </c>
      <c r="H119" s="23">
        <f t="shared" si="73"/>
        <v>25.366666666666667</v>
      </c>
      <c r="I119" s="23">
        <f t="shared" si="74"/>
        <v>25.333333333333332</v>
      </c>
      <c r="J119" s="23">
        <f t="shared" si="75"/>
        <v>25.3</v>
      </c>
      <c r="K119" s="23">
        <f t="shared" si="76"/>
        <v>25.266666666666666</v>
      </c>
      <c r="L119" s="23">
        <f t="shared" si="46"/>
        <v>25.233333333333334</v>
      </c>
      <c r="M119" s="23">
        <f t="shared" si="48"/>
        <v>25.2</v>
      </c>
      <c r="N119" s="23">
        <f t="shared" si="49"/>
        <v>25.166666666666668</v>
      </c>
      <c r="O119" s="23">
        <f t="shared" si="50"/>
        <v>25.133333333333333</v>
      </c>
      <c r="P119" s="23">
        <f t="shared" si="51"/>
        <v>25.1</v>
      </c>
      <c r="Q119" s="23">
        <f t="shared" si="52"/>
        <v>25.066666666666666</v>
      </c>
      <c r="R119" s="23">
        <f t="shared" si="53"/>
        <v>25.033333333333335</v>
      </c>
      <c r="S119" s="23">
        <f t="shared" si="54"/>
        <v>25</v>
      </c>
      <c r="T119" s="23">
        <f t="shared" si="55"/>
        <v>24.966666666666665</v>
      </c>
      <c r="U119" s="23">
        <f t="shared" si="56"/>
        <v>24.933333333333334</v>
      </c>
      <c r="V119" s="23">
        <f t="shared" si="57"/>
        <v>24.9</v>
      </c>
      <c r="W119" s="23">
        <f t="shared" si="58"/>
        <v>24.866666666666667</v>
      </c>
      <c r="X119" s="23">
        <f t="shared" si="59"/>
        <v>24.833333333333332</v>
      </c>
      <c r="Y119" s="23">
        <f t="shared" si="60"/>
        <v>24.8</v>
      </c>
      <c r="Z119" s="23">
        <f t="shared" si="61"/>
        <v>24.766666666666666</v>
      </c>
      <c r="AA119" s="23">
        <f t="shared" si="62"/>
        <v>24.733333333333334</v>
      </c>
      <c r="AB119" s="23">
        <f t="shared" si="63"/>
        <v>24.7</v>
      </c>
      <c r="AC119" s="23">
        <f t="shared" si="64"/>
        <v>24.666666666666668</v>
      </c>
      <c r="AD119" s="23">
        <f t="shared" si="65"/>
        <v>24.633333333333333</v>
      </c>
      <c r="AE119" s="23">
        <f t="shared" si="66"/>
        <v>24.6</v>
      </c>
      <c r="AF119" s="23">
        <f t="shared" si="67"/>
        <v>24.566666666666666</v>
      </c>
      <c r="AG119" s="23">
        <f t="shared" si="68"/>
        <v>24.533333333333335</v>
      </c>
      <c r="AH119" s="23">
        <f t="shared" si="69"/>
        <v>24.5</v>
      </c>
      <c r="AI119" s="23">
        <f t="shared" si="70"/>
        <v>24.466666666666665</v>
      </c>
      <c r="AJ119" s="24" t="str">
        <f t="shared" si="77"/>
        <v>1,7,109,763</v>
      </c>
      <c r="AK119" s="10"/>
      <c r="AL119" s="10"/>
      <c r="AM119" s="10"/>
      <c r="AN119" s="10"/>
      <c r="AO119" s="10"/>
      <c r="AP119" s="10"/>
      <c r="AQ119" s="10"/>
    </row>
    <row r="120" spans="1:43" x14ac:dyDescent="0.45">
      <c r="A120" s="11"/>
      <c r="B120" s="8"/>
      <c r="C120" s="8"/>
      <c r="D120" s="8">
        <v>110</v>
      </c>
      <c r="E120" s="9">
        <f t="shared" si="47"/>
        <v>770</v>
      </c>
      <c r="F120" s="23">
        <f t="shared" si="71"/>
        <v>25.666666666666668</v>
      </c>
      <c r="G120" s="23">
        <f t="shared" si="72"/>
        <v>25.633333333333333</v>
      </c>
      <c r="H120" s="23">
        <f t="shared" si="73"/>
        <v>25.6</v>
      </c>
      <c r="I120" s="23">
        <f t="shared" si="74"/>
        <v>25.566666666666666</v>
      </c>
      <c r="J120" s="23">
        <f t="shared" si="75"/>
        <v>25.533333333333335</v>
      </c>
      <c r="K120" s="23">
        <f t="shared" si="76"/>
        <v>25.5</v>
      </c>
      <c r="L120" s="23">
        <f t="shared" si="46"/>
        <v>25.466666666666665</v>
      </c>
      <c r="M120" s="23">
        <f t="shared" si="48"/>
        <v>25.433333333333334</v>
      </c>
      <c r="N120" s="23">
        <f t="shared" si="49"/>
        <v>25.4</v>
      </c>
      <c r="O120" s="23">
        <f t="shared" si="50"/>
        <v>25.366666666666667</v>
      </c>
      <c r="P120" s="23">
        <f t="shared" si="51"/>
        <v>25.333333333333332</v>
      </c>
      <c r="Q120" s="23">
        <f t="shared" si="52"/>
        <v>25.3</v>
      </c>
      <c r="R120" s="23">
        <f t="shared" si="53"/>
        <v>25.266666666666666</v>
      </c>
      <c r="S120" s="23">
        <f t="shared" si="54"/>
        <v>25.233333333333334</v>
      </c>
      <c r="T120" s="23">
        <f t="shared" si="55"/>
        <v>25.2</v>
      </c>
      <c r="U120" s="23">
        <f t="shared" si="56"/>
        <v>25.166666666666668</v>
      </c>
      <c r="V120" s="23">
        <f t="shared" si="57"/>
        <v>25.133333333333333</v>
      </c>
      <c r="W120" s="23">
        <f t="shared" si="58"/>
        <v>25.1</v>
      </c>
      <c r="X120" s="23">
        <f t="shared" si="59"/>
        <v>25.066666666666666</v>
      </c>
      <c r="Y120" s="23">
        <f t="shared" si="60"/>
        <v>25.033333333333335</v>
      </c>
      <c r="Z120" s="23">
        <f t="shared" si="61"/>
        <v>25</v>
      </c>
      <c r="AA120" s="23">
        <f t="shared" si="62"/>
        <v>24.966666666666665</v>
      </c>
      <c r="AB120" s="23">
        <f t="shared" si="63"/>
        <v>24.933333333333334</v>
      </c>
      <c r="AC120" s="23">
        <f t="shared" si="64"/>
        <v>24.9</v>
      </c>
      <c r="AD120" s="23">
        <f t="shared" si="65"/>
        <v>24.866666666666667</v>
      </c>
      <c r="AE120" s="23">
        <f t="shared" si="66"/>
        <v>24.833333333333332</v>
      </c>
      <c r="AF120" s="23">
        <f t="shared" si="67"/>
        <v>24.8</v>
      </c>
      <c r="AG120" s="23">
        <f t="shared" si="68"/>
        <v>24.766666666666666</v>
      </c>
      <c r="AH120" s="23">
        <f t="shared" si="69"/>
        <v>24.733333333333334</v>
      </c>
      <c r="AI120" s="23">
        <f t="shared" si="70"/>
        <v>24.7</v>
      </c>
      <c r="AJ120" s="24" t="str">
        <f t="shared" si="77"/>
        <v>1,2,5,7,10,11,14,22,35,55,70,77,110,154,385,770</v>
      </c>
      <c r="AK120" s="10"/>
      <c r="AL120" s="10"/>
      <c r="AM120" s="10"/>
      <c r="AN120" s="10"/>
      <c r="AO120" s="10"/>
      <c r="AP120" s="10"/>
      <c r="AQ120" s="10"/>
    </row>
    <row r="121" spans="1:43" x14ac:dyDescent="0.45">
      <c r="A121" s="11"/>
      <c r="B121" s="8"/>
      <c r="C121" s="8"/>
      <c r="D121" s="8">
        <v>111</v>
      </c>
      <c r="E121" s="9">
        <f t="shared" si="47"/>
        <v>777</v>
      </c>
      <c r="F121" s="23">
        <f t="shared" si="71"/>
        <v>25.9</v>
      </c>
      <c r="G121" s="23">
        <f t="shared" si="72"/>
        <v>25.866666666666667</v>
      </c>
      <c r="H121" s="23">
        <f t="shared" si="73"/>
        <v>25.833333333333332</v>
      </c>
      <c r="I121" s="23">
        <f t="shared" si="74"/>
        <v>25.8</v>
      </c>
      <c r="J121" s="23">
        <f t="shared" si="75"/>
        <v>25.766666666666666</v>
      </c>
      <c r="K121" s="23">
        <f t="shared" si="76"/>
        <v>25.733333333333334</v>
      </c>
      <c r="L121" s="23">
        <f t="shared" si="46"/>
        <v>25.7</v>
      </c>
      <c r="M121" s="23">
        <f t="shared" si="48"/>
        <v>25.666666666666668</v>
      </c>
      <c r="N121" s="23">
        <f t="shared" si="49"/>
        <v>25.633333333333333</v>
      </c>
      <c r="O121" s="23">
        <f t="shared" si="50"/>
        <v>25.6</v>
      </c>
      <c r="P121" s="23">
        <f t="shared" si="51"/>
        <v>25.566666666666666</v>
      </c>
      <c r="Q121" s="23">
        <f t="shared" si="52"/>
        <v>25.533333333333335</v>
      </c>
      <c r="R121" s="23">
        <f t="shared" si="53"/>
        <v>25.5</v>
      </c>
      <c r="S121" s="23">
        <f t="shared" si="54"/>
        <v>25.466666666666665</v>
      </c>
      <c r="T121" s="23">
        <f t="shared" si="55"/>
        <v>25.433333333333334</v>
      </c>
      <c r="U121" s="23">
        <f t="shared" si="56"/>
        <v>25.4</v>
      </c>
      <c r="V121" s="23">
        <f t="shared" si="57"/>
        <v>25.366666666666667</v>
      </c>
      <c r="W121" s="23">
        <f t="shared" si="58"/>
        <v>25.333333333333332</v>
      </c>
      <c r="X121" s="23">
        <f t="shared" si="59"/>
        <v>25.3</v>
      </c>
      <c r="Y121" s="23">
        <f t="shared" si="60"/>
        <v>25.266666666666666</v>
      </c>
      <c r="Z121" s="23">
        <f t="shared" si="61"/>
        <v>25.233333333333334</v>
      </c>
      <c r="AA121" s="23">
        <f t="shared" si="62"/>
        <v>25.2</v>
      </c>
      <c r="AB121" s="23">
        <f t="shared" si="63"/>
        <v>25.166666666666668</v>
      </c>
      <c r="AC121" s="23">
        <f t="shared" si="64"/>
        <v>25.133333333333333</v>
      </c>
      <c r="AD121" s="23">
        <f t="shared" si="65"/>
        <v>25.1</v>
      </c>
      <c r="AE121" s="23">
        <f t="shared" si="66"/>
        <v>25.066666666666666</v>
      </c>
      <c r="AF121" s="23">
        <f t="shared" si="67"/>
        <v>25.033333333333335</v>
      </c>
      <c r="AG121" s="23">
        <f t="shared" si="68"/>
        <v>25</v>
      </c>
      <c r="AH121" s="23">
        <f t="shared" si="69"/>
        <v>24.966666666666665</v>
      </c>
      <c r="AI121" s="23">
        <f t="shared" si="70"/>
        <v>24.933333333333334</v>
      </c>
      <c r="AJ121" s="24" t="str">
        <f t="shared" si="77"/>
        <v>1,3,7,21,37,111,259,777</v>
      </c>
      <c r="AK121" s="10"/>
      <c r="AL121" s="10"/>
      <c r="AM121" s="10"/>
      <c r="AN121" s="10"/>
      <c r="AO121" s="10"/>
      <c r="AP121" s="10"/>
      <c r="AQ121" s="10"/>
    </row>
    <row r="122" spans="1:43" x14ac:dyDescent="0.45">
      <c r="A122" s="11"/>
      <c r="B122" s="8"/>
      <c r="C122" s="8"/>
      <c r="D122" s="8">
        <v>112</v>
      </c>
      <c r="E122" s="9">
        <f t="shared" si="47"/>
        <v>784</v>
      </c>
      <c r="F122" s="23">
        <f t="shared" si="71"/>
        <v>26.133333333333333</v>
      </c>
      <c r="G122" s="23">
        <f t="shared" si="72"/>
        <v>26.1</v>
      </c>
      <c r="H122" s="23">
        <f t="shared" si="73"/>
        <v>26.066666666666666</v>
      </c>
      <c r="I122" s="23">
        <f t="shared" si="74"/>
        <v>26.033333333333335</v>
      </c>
      <c r="J122" s="23">
        <f t="shared" si="75"/>
        <v>26</v>
      </c>
      <c r="K122" s="23">
        <f t="shared" si="76"/>
        <v>25.966666666666665</v>
      </c>
      <c r="L122" s="23">
        <f t="shared" si="46"/>
        <v>25.933333333333334</v>
      </c>
      <c r="M122" s="23">
        <f t="shared" si="48"/>
        <v>25.9</v>
      </c>
      <c r="N122" s="23">
        <f t="shared" si="49"/>
        <v>25.866666666666667</v>
      </c>
      <c r="O122" s="23">
        <f t="shared" si="50"/>
        <v>25.833333333333332</v>
      </c>
      <c r="P122" s="23">
        <f t="shared" si="51"/>
        <v>25.8</v>
      </c>
      <c r="Q122" s="23">
        <f t="shared" si="52"/>
        <v>25.766666666666666</v>
      </c>
      <c r="R122" s="23">
        <f t="shared" si="53"/>
        <v>25.733333333333334</v>
      </c>
      <c r="S122" s="23">
        <f t="shared" si="54"/>
        <v>25.7</v>
      </c>
      <c r="T122" s="23">
        <f t="shared" si="55"/>
        <v>25.666666666666668</v>
      </c>
      <c r="U122" s="23">
        <f t="shared" si="56"/>
        <v>25.633333333333333</v>
      </c>
      <c r="V122" s="23">
        <f t="shared" si="57"/>
        <v>25.6</v>
      </c>
      <c r="W122" s="23">
        <f t="shared" si="58"/>
        <v>25.566666666666666</v>
      </c>
      <c r="X122" s="23">
        <f t="shared" si="59"/>
        <v>25.533333333333335</v>
      </c>
      <c r="Y122" s="23">
        <f t="shared" si="60"/>
        <v>25.5</v>
      </c>
      <c r="Z122" s="23">
        <f t="shared" si="61"/>
        <v>25.466666666666665</v>
      </c>
      <c r="AA122" s="23">
        <f t="shared" si="62"/>
        <v>25.433333333333334</v>
      </c>
      <c r="AB122" s="23">
        <f t="shared" si="63"/>
        <v>25.4</v>
      </c>
      <c r="AC122" s="23">
        <f t="shared" si="64"/>
        <v>25.366666666666667</v>
      </c>
      <c r="AD122" s="23">
        <f t="shared" si="65"/>
        <v>25.333333333333332</v>
      </c>
      <c r="AE122" s="23">
        <f t="shared" si="66"/>
        <v>25.3</v>
      </c>
      <c r="AF122" s="23">
        <f t="shared" si="67"/>
        <v>25.266666666666666</v>
      </c>
      <c r="AG122" s="23">
        <f t="shared" si="68"/>
        <v>25.233333333333334</v>
      </c>
      <c r="AH122" s="23">
        <f t="shared" si="69"/>
        <v>25.2</v>
      </c>
      <c r="AI122" s="23">
        <f t="shared" si="70"/>
        <v>25.166666666666668</v>
      </c>
      <c r="AJ122" s="24" t="str">
        <f t="shared" si="77"/>
        <v>1,2,4,7,8,14,16,28,49,56,98,112,196,392,784</v>
      </c>
      <c r="AK122" s="10"/>
      <c r="AL122" s="10"/>
      <c r="AM122" s="10"/>
      <c r="AN122" s="10"/>
      <c r="AO122" s="10"/>
      <c r="AP122" s="10"/>
      <c r="AQ122" s="10"/>
    </row>
    <row r="123" spans="1:43" x14ac:dyDescent="0.45">
      <c r="A123" s="11"/>
      <c r="B123" s="8"/>
      <c r="C123" s="8"/>
      <c r="D123" s="8">
        <v>113</v>
      </c>
      <c r="E123" s="9">
        <f t="shared" si="47"/>
        <v>791</v>
      </c>
      <c r="F123" s="23">
        <f t="shared" si="71"/>
        <v>26.366666666666667</v>
      </c>
      <c r="G123" s="23">
        <f t="shared" si="72"/>
        <v>26.333333333333332</v>
      </c>
      <c r="H123" s="23">
        <f t="shared" si="73"/>
        <v>26.3</v>
      </c>
      <c r="I123" s="23">
        <f t="shared" si="74"/>
        <v>26.266666666666666</v>
      </c>
      <c r="J123" s="23">
        <f t="shared" si="75"/>
        <v>26.233333333333334</v>
      </c>
      <c r="K123" s="23">
        <f t="shared" si="76"/>
        <v>26.2</v>
      </c>
      <c r="L123" s="23">
        <f t="shared" si="46"/>
        <v>26.166666666666668</v>
      </c>
      <c r="M123" s="23">
        <f t="shared" si="48"/>
        <v>26.133333333333333</v>
      </c>
      <c r="N123" s="23">
        <f t="shared" si="49"/>
        <v>26.1</v>
      </c>
      <c r="O123" s="23">
        <f t="shared" si="50"/>
        <v>26.066666666666666</v>
      </c>
      <c r="P123" s="23">
        <f t="shared" si="51"/>
        <v>26.033333333333335</v>
      </c>
      <c r="Q123" s="23">
        <f t="shared" si="52"/>
        <v>26</v>
      </c>
      <c r="R123" s="23">
        <f t="shared" si="53"/>
        <v>25.966666666666665</v>
      </c>
      <c r="S123" s="23">
        <f t="shared" si="54"/>
        <v>25.933333333333334</v>
      </c>
      <c r="T123" s="23">
        <f t="shared" si="55"/>
        <v>25.9</v>
      </c>
      <c r="U123" s="23">
        <f t="shared" si="56"/>
        <v>25.866666666666667</v>
      </c>
      <c r="V123" s="23">
        <f t="shared" si="57"/>
        <v>25.833333333333332</v>
      </c>
      <c r="W123" s="23">
        <f t="shared" si="58"/>
        <v>25.8</v>
      </c>
      <c r="X123" s="23">
        <f t="shared" si="59"/>
        <v>25.766666666666666</v>
      </c>
      <c r="Y123" s="23">
        <f t="shared" si="60"/>
        <v>25.733333333333334</v>
      </c>
      <c r="Z123" s="23">
        <f t="shared" si="61"/>
        <v>25.7</v>
      </c>
      <c r="AA123" s="23">
        <f t="shared" si="62"/>
        <v>25.666666666666668</v>
      </c>
      <c r="AB123" s="23">
        <f t="shared" si="63"/>
        <v>25.633333333333333</v>
      </c>
      <c r="AC123" s="23">
        <f t="shared" si="64"/>
        <v>25.6</v>
      </c>
      <c r="AD123" s="23">
        <f t="shared" si="65"/>
        <v>25.566666666666666</v>
      </c>
      <c r="AE123" s="23">
        <f t="shared" si="66"/>
        <v>25.533333333333335</v>
      </c>
      <c r="AF123" s="23">
        <f t="shared" si="67"/>
        <v>25.5</v>
      </c>
      <c r="AG123" s="23">
        <f t="shared" si="68"/>
        <v>25.466666666666665</v>
      </c>
      <c r="AH123" s="23">
        <f t="shared" si="69"/>
        <v>25.433333333333334</v>
      </c>
      <c r="AI123" s="23">
        <f t="shared" si="70"/>
        <v>25.4</v>
      </c>
      <c r="AJ123" s="24" t="str">
        <f t="shared" si="77"/>
        <v>1,7,113,791</v>
      </c>
      <c r="AK123" s="10"/>
      <c r="AL123" s="10"/>
      <c r="AM123" s="10"/>
      <c r="AN123" s="10"/>
      <c r="AO123" s="10"/>
      <c r="AP123" s="10"/>
      <c r="AQ123" s="10"/>
    </row>
    <row r="124" spans="1:43" x14ac:dyDescent="0.45">
      <c r="A124" s="11"/>
      <c r="B124" s="8"/>
      <c r="C124" s="8"/>
      <c r="D124" s="8">
        <v>114</v>
      </c>
      <c r="E124" s="9">
        <f t="shared" si="47"/>
        <v>798</v>
      </c>
      <c r="F124" s="23">
        <f t="shared" si="71"/>
        <v>26.6</v>
      </c>
      <c r="G124" s="23">
        <f t="shared" si="72"/>
        <v>26.566666666666666</v>
      </c>
      <c r="H124" s="23">
        <f t="shared" si="73"/>
        <v>26.533333333333335</v>
      </c>
      <c r="I124" s="23">
        <f t="shared" si="74"/>
        <v>26.5</v>
      </c>
      <c r="J124" s="23">
        <f t="shared" si="75"/>
        <v>26.466666666666665</v>
      </c>
      <c r="K124" s="23">
        <f t="shared" si="76"/>
        <v>26.433333333333334</v>
      </c>
      <c r="L124" s="23">
        <f t="shared" si="46"/>
        <v>26.4</v>
      </c>
      <c r="M124" s="23">
        <f t="shared" si="48"/>
        <v>26.366666666666667</v>
      </c>
      <c r="N124" s="23">
        <f t="shared" si="49"/>
        <v>26.333333333333332</v>
      </c>
      <c r="O124" s="23">
        <f t="shared" si="50"/>
        <v>26.3</v>
      </c>
      <c r="P124" s="23">
        <f t="shared" si="51"/>
        <v>26.266666666666666</v>
      </c>
      <c r="Q124" s="23">
        <f t="shared" si="52"/>
        <v>26.233333333333334</v>
      </c>
      <c r="R124" s="23">
        <f t="shared" si="53"/>
        <v>26.2</v>
      </c>
      <c r="S124" s="23">
        <f t="shared" si="54"/>
        <v>26.166666666666668</v>
      </c>
      <c r="T124" s="23">
        <f t="shared" si="55"/>
        <v>26.133333333333333</v>
      </c>
      <c r="U124" s="23">
        <f t="shared" si="56"/>
        <v>26.1</v>
      </c>
      <c r="V124" s="23">
        <f t="shared" si="57"/>
        <v>26.066666666666666</v>
      </c>
      <c r="W124" s="23">
        <f t="shared" si="58"/>
        <v>26.033333333333335</v>
      </c>
      <c r="X124" s="23">
        <f t="shared" si="59"/>
        <v>26</v>
      </c>
      <c r="Y124" s="23">
        <f t="shared" si="60"/>
        <v>25.966666666666665</v>
      </c>
      <c r="Z124" s="23">
        <f t="shared" si="61"/>
        <v>25.933333333333334</v>
      </c>
      <c r="AA124" s="23">
        <f t="shared" si="62"/>
        <v>25.9</v>
      </c>
      <c r="AB124" s="23">
        <f t="shared" si="63"/>
        <v>25.866666666666667</v>
      </c>
      <c r="AC124" s="23">
        <f t="shared" si="64"/>
        <v>25.833333333333332</v>
      </c>
      <c r="AD124" s="23">
        <f t="shared" si="65"/>
        <v>25.8</v>
      </c>
      <c r="AE124" s="23">
        <f t="shared" si="66"/>
        <v>25.766666666666666</v>
      </c>
      <c r="AF124" s="23">
        <f t="shared" si="67"/>
        <v>25.733333333333334</v>
      </c>
      <c r="AG124" s="23">
        <f t="shared" si="68"/>
        <v>25.7</v>
      </c>
      <c r="AH124" s="23">
        <f t="shared" si="69"/>
        <v>25.666666666666668</v>
      </c>
      <c r="AI124" s="23">
        <f t="shared" si="70"/>
        <v>25.633333333333333</v>
      </c>
      <c r="AJ124" s="24" t="str">
        <f t="shared" si="77"/>
        <v>1,2,3,6,7,14,19,21,38,42,57,114,133,266,399,798</v>
      </c>
      <c r="AK124" s="10"/>
      <c r="AL124" s="10"/>
      <c r="AM124" s="10"/>
      <c r="AN124" s="10"/>
      <c r="AO124" s="10"/>
      <c r="AP124" s="10"/>
      <c r="AQ124" s="10"/>
    </row>
    <row r="125" spans="1:43" x14ac:dyDescent="0.45">
      <c r="A125" s="11"/>
      <c r="B125" s="8"/>
      <c r="C125" s="8"/>
      <c r="D125" s="8">
        <v>115</v>
      </c>
      <c r="E125" s="9">
        <f t="shared" si="47"/>
        <v>805</v>
      </c>
      <c r="F125" s="23">
        <f t="shared" si="71"/>
        <v>26.833333333333332</v>
      </c>
      <c r="G125" s="23">
        <f t="shared" si="72"/>
        <v>26.8</v>
      </c>
      <c r="H125" s="23">
        <f t="shared" si="73"/>
        <v>26.766666666666666</v>
      </c>
      <c r="I125" s="23">
        <f t="shared" si="74"/>
        <v>26.733333333333334</v>
      </c>
      <c r="J125" s="23">
        <f t="shared" si="75"/>
        <v>26.7</v>
      </c>
      <c r="K125" s="23">
        <f t="shared" si="76"/>
        <v>26.666666666666668</v>
      </c>
      <c r="L125" s="23">
        <f t="shared" si="46"/>
        <v>26.633333333333333</v>
      </c>
      <c r="M125" s="23">
        <f t="shared" si="48"/>
        <v>26.6</v>
      </c>
      <c r="N125" s="23">
        <f t="shared" si="49"/>
        <v>26.566666666666666</v>
      </c>
      <c r="O125" s="23">
        <f t="shared" si="50"/>
        <v>26.533333333333335</v>
      </c>
      <c r="P125" s="23">
        <f t="shared" si="51"/>
        <v>26.5</v>
      </c>
      <c r="Q125" s="23">
        <f t="shared" si="52"/>
        <v>26.466666666666665</v>
      </c>
      <c r="R125" s="23">
        <f t="shared" si="53"/>
        <v>26.433333333333334</v>
      </c>
      <c r="S125" s="23">
        <f t="shared" si="54"/>
        <v>26.4</v>
      </c>
      <c r="T125" s="23">
        <f t="shared" si="55"/>
        <v>26.366666666666667</v>
      </c>
      <c r="U125" s="23">
        <f t="shared" si="56"/>
        <v>26.333333333333332</v>
      </c>
      <c r="V125" s="23">
        <f t="shared" si="57"/>
        <v>26.3</v>
      </c>
      <c r="W125" s="23">
        <f t="shared" si="58"/>
        <v>26.266666666666666</v>
      </c>
      <c r="X125" s="23">
        <f t="shared" si="59"/>
        <v>26.233333333333334</v>
      </c>
      <c r="Y125" s="23">
        <f t="shared" si="60"/>
        <v>26.2</v>
      </c>
      <c r="Z125" s="23">
        <f t="shared" si="61"/>
        <v>26.166666666666668</v>
      </c>
      <c r="AA125" s="23">
        <f t="shared" si="62"/>
        <v>26.133333333333333</v>
      </c>
      <c r="AB125" s="23">
        <f t="shared" si="63"/>
        <v>26.1</v>
      </c>
      <c r="AC125" s="23">
        <f t="shared" si="64"/>
        <v>26.066666666666666</v>
      </c>
      <c r="AD125" s="23">
        <f t="shared" si="65"/>
        <v>26.033333333333335</v>
      </c>
      <c r="AE125" s="23">
        <f t="shared" si="66"/>
        <v>26</v>
      </c>
      <c r="AF125" s="23">
        <f t="shared" si="67"/>
        <v>25.966666666666665</v>
      </c>
      <c r="AG125" s="23">
        <f t="shared" si="68"/>
        <v>25.933333333333334</v>
      </c>
      <c r="AH125" s="23">
        <f t="shared" si="69"/>
        <v>25.9</v>
      </c>
      <c r="AI125" s="23">
        <f t="shared" si="70"/>
        <v>25.866666666666667</v>
      </c>
      <c r="AJ125" s="24" t="str">
        <f t="shared" si="77"/>
        <v>1,5,7,23,35,115,161,805</v>
      </c>
      <c r="AK125" s="10"/>
      <c r="AL125" s="10"/>
      <c r="AM125" s="10"/>
      <c r="AN125" s="10"/>
      <c r="AO125" s="10"/>
      <c r="AP125" s="10"/>
      <c r="AQ125" s="10"/>
    </row>
    <row r="126" spans="1:43" x14ac:dyDescent="0.45">
      <c r="A126" s="11"/>
      <c r="B126" s="8"/>
      <c r="C126" s="8"/>
      <c r="D126" s="8">
        <v>116</v>
      </c>
      <c r="E126" s="9">
        <f t="shared" si="47"/>
        <v>812</v>
      </c>
      <c r="F126" s="23">
        <f t="shared" si="71"/>
        <v>27.066666666666666</v>
      </c>
      <c r="G126" s="23">
        <f t="shared" si="72"/>
        <v>27.033333333333335</v>
      </c>
      <c r="H126" s="23">
        <f t="shared" si="73"/>
        <v>27</v>
      </c>
      <c r="I126" s="23">
        <f t="shared" si="74"/>
        <v>26.966666666666665</v>
      </c>
      <c r="J126" s="23">
        <f t="shared" si="75"/>
        <v>26.933333333333334</v>
      </c>
      <c r="K126" s="23">
        <f t="shared" si="76"/>
        <v>26.9</v>
      </c>
      <c r="L126" s="23">
        <f t="shared" si="46"/>
        <v>26.866666666666667</v>
      </c>
      <c r="M126" s="23">
        <f t="shared" si="48"/>
        <v>26.833333333333332</v>
      </c>
      <c r="N126" s="23">
        <f t="shared" si="49"/>
        <v>26.8</v>
      </c>
      <c r="O126" s="23">
        <f t="shared" si="50"/>
        <v>26.766666666666666</v>
      </c>
      <c r="P126" s="23">
        <f t="shared" si="51"/>
        <v>26.733333333333334</v>
      </c>
      <c r="Q126" s="23">
        <f t="shared" si="52"/>
        <v>26.7</v>
      </c>
      <c r="R126" s="23">
        <f t="shared" si="53"/>
        <v>26.666666666666668</v>
      </c>
      <c r="S126" s="23">
        <f t="shared" si="54"/>
        <v>26.633333333333333</v>
      </c>
      <c r="T126" s="23">
        <f t="shared" si="55"/>
        <v>26.6</v>
      </c>
      <c r="U126" s="23">
        <f t="shared" si="56"/>
        <v>26.566666666666666</v>
      </c>
      <c r="V126" s="23">
        <f t="shared" si="57"/>
        <v>26.533333333333335</v>
      </c>
      <c r="W126" s="23">
        <f t="shared" si="58"/>
        <v>26.5</v>
      </c>
      <c r="X126" s="23">
        <f t="shared" si="59"/>
        <v>26.466666666666665</v>
      </c>
      <c r="Y126" s="23">
        <f t="shared" si="60"/>
        <v>26.433333333333334</v>
      </c>
      <c r="Z126" s="23">
        <f t="shared" si="61"/>
        <v>26.4</v>
      </c>
      <c r="AA126" s="23">
        <f t="shared" si="62"/>
        <v>26.366666666666667</v>
      </c>
      <c r="AB126" s="23">
        <f t="shared" si="63"/>
        <v>26.333333333333332</v>
      </c>
      <c r="AC126" s="23">
        <f t="shared" si="64"/>
        <v>26.3</v>
      </c>
      <c r="AD126" s="23">
        <f t="shared" si="65"/>
        <v>26.266666666666666</v>
      </c>
      <c r="AE126" s="23">
        <f t="shared" si="66"/>
        <v>26.233333333333334</v>
      </c>
      <c r="AF126" s="23">
        <f t="shared" si="67"/>
        <v>26.2</v>
      </c>
      <c r="AG126" s="23">
        <f t="shared" si="68"/>
        <v>26.166666666666668</v>
      </c>
      <c r="AH126" s="23">
        <f t="shared" si="69"/>
        <v>26.133333333333333</v>
      </c>
      <c r="AI126" s="23">
        <f t="shared" si="70"/>
        <v>26.1</v>
      </c>
      <c r="AJ126" s="24" t="str">
        <f t="shared" si="77"/>
        <v>1,2,4,7,14,28,29,58,116,203,406,812</v>
      </c>
      <c r="AK126" s="10"/>
      <c r="AL126" s="10"/>
      <c r="AM126" s="10"/>
      <c r="AN126" s="10"/>
      <c r="AO126" s="10"/>
      <c r="AP126" s="10"/>
      <c r="AQ126" s="10"/>
    </row>
    <row r="127" spans="1:43" x14ac:dyDescent="0.45">
      <c r="A127" s="11"/>
      <c r="B127" s="8"/>
      <c r="C127" s="8"/>
      <c r="D127" s="8">
        <v>117</v>
      </c>
      <c r="E127" s="9">
        <f t="shared" si="47"/>
        <v>819</v>
      </c>
      <c r="F127" s="23">
        <f t="shared" si="71"/>
        <v>27.3</v>
      </c>
      <c r="G127" s="23">
        <f t="shared" si="72"/>
        <v>27.266666666666666</v>
      </c>
      <c r="H127" s="23">
        <f t="shared" si="73"/>
        <v>27.233333333333334</v>
      </c>
      <c r="I127" s="23">
        <f t="shared" si="74"/>
        <v>27.2</v>
      </c>
      <c r="J127" s="23">
        <f t="shared" si="75"/>
        <v>27.166666666666668</v>
      </c>
      <c r="K127" s="23">
        <f t="shared" si="76"/>
        <v>27.133333333333333</v>
      </c>
      <c r="L127" s="23">
        <f t="shared" si="46"/>
        <v>27.1</v>
      </c>
      <c r="M127" s="23">
        <f t="shared" si="48"/>
        <v>27.066666666666666</v>
      </c>
      <c r="N127" s="23">
        <f t="shared" si="49"/>
        <v>27.033333333333335</v>
      </c>
      <c r="O127" s="23">
        <f t="shared" si="50"/>
        <v>27</v>
      </c>
      <c r="P127" s="23">
        <f t="shared" si="51"/>
        <v>26.966666666666665</v>
      </c>
      <c r="Q127" s="23">
        <f t="shared" si="52"/>
        <v>26.933333333333334</v>
      </c>
      <c r="R127" s="23">
        <f t="shared" si="53"/>
        <v>26.9</v>
      </c>
      <c r="S127" s="23">
        <f t="shared" si="54"/>
        <v>26.866666666666667</v>
      </c>
      <c r="T127" s="23">
        <f t="shared" si="55"/>
        <v>26.833333333333332</v>
      </c>
      <c r="U127" s="23">
        <f t="shared" si="56"/>
        <v>26.8</v>
      </c>
      <c r="V127" s="23">
        <f t="shared" si="57"/>
        <v>26.766666666666666</v>
      </c>
      <c r="W127" s="23">
        <f t="shared" si="58"/>
        <v>26.733333333333334</v>
      </c>
      <c r="X127" s="23">
        <f t="shared" si="59"/>
        <v>26.7</v>
      </c>
      <c r="Y127" s="23">
        <f t="shared" si="60"/>
        <v>26.666666666666668</v>
      </c>
      <c r="Z127" s="23">
        <f t="shared" si="61"/>
        <v>26.633333333333333</v>
      </c>
      <c r="AA127" s="23">
        <f t="shared" si="62"/>
        <v>26.6</v>
      </c>
      <c r="AB127" s="23">
        <f t="shared" si="63"/>
        <v>26.566666666666666</v>
      </c>
      <c r="AC127" s="23">
        <f t="shared" si="64"/>
        <v>26.533333333333335</v>
      </c>
      <c r="AD127" s="23">
        <f t="shared" si="65"/>
        <v>26.5</v>
      </c>
      <c r="AE127" s="23">
        <f t="shared" si="66"/>
        <v>26.466666666666665</v>
      </c>
      <c r="AF127" s="23">
        <f t="shared" si="67"/>
        <v>26.433333333333334</v>
      </c>
      <c r="AG127" s="23">
        <f t="shared" si="68"/>
        <v>26.4</v>
      </c>
      <c r="AH127" s="23">
        <f t="shared" si="69"/>
        <v>26.366666666666667</v>
      </c>
      <c r="AI127" s="23">
        <f t="shared" si="70"/>
        <v>26.333333333333332</v>
      </c>
      <c r="AJ127" s="24" t="str">
        <f t="shared" si="77"/>
        <v>1,3,7,9,13,21,39,63,91,117,273,819</v>
      </c>
      <c r="AK127" s="10"/>
      <c r="AL127" s="10"/>
      <c r="AM127" s="10"/>
      <c r="AN127" s="10"/>
      <c r="AO127" s="10"/>
      <c r="AP127" s="10"/>
      <c r="AQ127" s="10"/>
    </row>
    <row r="128" spans="1:43" x14ac:dyDescent="0.45">
      <c r="A128" s="11"/>
      <c r="B128" s="8"/>
      <c r="C128" s="8"/>
      <c r="D128" s="8">
        <v>118</v>
      </c>
      <c r="E128" s="9">
        <f t="shared" si="47"/>
        <v>826</v>
      </c>
      <c r="F128" s="23">
        <f t="shared" si="71"/>
        <v>27.533333333333335</v>
      </c>
      <c r="G128" s="23">
        <f t="shared" si="72"/>
        <v>27.5</v>
      </c>
      <c r="H128" s="23">
        <f t="shared" si="73"/>
        <v>27.466666666666665</v>
      </c>
      <c r="I128" s="23">
        <f t="shared" si="74"/>
        <v>27.433333333333334</v>
      </c>
      <c r="J128" s="23">
        <f t="shared" si="75"/>
        <v>27.4</v>
      </c>
      <c r="K128" s="23">
        <f t="shared" si="76"/>
        <v>27.366666666666667</v>
      </c>
      <c r="L128" s="23">
        <f t="shared" si="46"/>
        <v>27.333333333333332</v>
      </c>
      <c r="M128" s="23">
        <f t="shared" si="48"/>
        <v>27.3</v>
      </c>
      <c r="N128" s="23">
        <f t="shared" si="49"/>
        <v>27.266666666666666</v>
      </c>
      <c r="O128" s="23">
        <f t="shared" si="50"/>
        <v>27.233333333333334</v>
      </c>
      <c r="P128" s="23">
        <f t="shared" si="51"/>
        <v>27.2</v>
      </c>
      <c r="Q128" s="23">
        <f t="shared" si="52"/>
        <v>27.166666666666668</v>
      </c>
      <c r="R128" s="23">
        <f t="shared" si="53"/>
        <v>27.133333333333333</v>
      </c>
      <c r="S128" s="23">
        <f t="shared" si="54"/>
        <v>27.1</v>
      </c>
      <c r="T128" s="23">
        <f t="shared" si="55"/>
        <v>27.066666666666666</v>
      </c>
      <c r="U128" s="23">
        <f t="shared" si="56"/>
        <v>27.033333333333335</v>
      </c>
      <c r="V128" s="23">
        <f t="shared" si="57"/>
        <v>27</v>
      </c>
      <c r="W128" s="23">
        <f t="shared" si="58"/>
        <v>26.966666666666665</v>
      </c>
      <c r="X128" s="23">
        <f t="shared" si="59"/>
        <v>26.933333333333334</v>
      </c>
      <c r="Y128" s="23">
        <f t="shared" si="60"/>
        <v>26.9</v>
      </c>
      <c r="Z128" s="23">
        <f t="shared" si="61"/>
        <v>26.866666666666667</v>
      </c>
      <c r="AA128" s="23">
        <f t="shared" si="62"/>
        <v>26.833333333333332</v>
      </c>
      <c r="AB128" s="23">
        <f t="shared" si="63"/>
        <v>26.8</v>
      </c>
      <c r="AC128" s="23">
        <f t="shared" si="64"/>
        <v>26.766666666666666</v>
      </c>
      <c r="AD128" s="23">
        <f t="shared" si="65"/>
        <v>26.733333333333334</v>
      </c>
      <c r="AE128" s="23">
        <f t="shared" si="66"/>
        <v>26.7</v>
      </c>
      <c r="AF128" s="23">
        <f t="shared" si="67"/>
        <v>26.666666666666668</v>
      </c>
      <c r="AG128" s="23">
        <f t="shared" si="68"/>
        <v>26.633333333333333</v>
      </c>
      <c r="AH128" s="23">
        <f t="shared" si="69"/>
        <v>26.6</v>
      </c>
      <c r="AI128" s="23">
        <f t="shared" si="70"/>
        <v>26.566666666666666</v>
      </c>
      <c r="AJ128" s="24" t="str">
        <f t="shared" si="77"/>
        <v>1,2,7,14,59,118,413,826</v>
      </c>
      <c r="AK128" s="10"/>
      <c r="AL128" s="10"/>
      <c r="AM128" s="10"/>
      <c r="AN128" s="10"/>
      <c r="AO128" s="10"/>
      <c r="AP128" s="10"/>
      <c r="AQ128" s="10"/>
    </row>
    <row r="129" spans="1:43" x14ac:dyDescent="0.45">
      <c r="A129" s="11"/>
      <c r="B129" s="8"/>
      <c r="C129" s="8"/>
      <c r="D129" s="8">
        <v>119</v>
      </c>
      <c r="E129" s="9">
        <f>D129*$E$6</f>
        <v>833</v>
      </c>
      <c r="F129" s="23">
        <f t="shared" si="71"/>
        <v>27.766666666666666</v>
      </c>
      <c r="G129" s="23">
        <f>(E129-1)/30</f>
        <v>27.733333333333334</v>
      </c>
      <c r="H129" s="23">
        <f>(E129-2)/30</f>
        <v>27.7</v>
      </c>
      <c r="I129" s="23">
        <f>(E129-3)/30</f>
        <v>27.666666666666668</v>
      </c>
      <c r="J129" s="23">
        <f>(E129-4)/30</f>
        <v>27.633333333333333</v>
      </c>
      <c r="K129" s="23">
        <f>(E129-5)/30</f>
        <v>27.6</v>
      </c>
      <c r="L129" s="23">
        <f>($E129-6)/30</f>
        <v>27.566666666666666</v>
      </c>
      <c r="M129" s="23">
        <f>($E129-7)/30</f>
        <v>27.533333333333335</v>
      </c>
      <c r="N129" s="23">
        <f>($E129-8)/30</f>
        <v>27.5</v>
      </c>
      <c r="O129" s="23">
        <f>($E129-9)/30</f>
        <v>27.466666666666665</v>
      </c>
      <c r="P129" s="23">
        <f>($E129-10)/30</f>
        <v>27.433333333333334</v>
      </c>
      <c r="Q129" s="23">
        <f>($E129-11)/30</f>
        <v>27.4</v>
      </c>
      <c r="R129" s="23">
        <f>($E129-12)/30</f>
        <v>27.366666666666667</v>
      </c>
      <c r="S129" s="23">
        <f>($E129-13)/30</f>
        <v>27.333333333333332</v>
      </c>
      <c r="T129" s="23">
        <f>($E129-14)/30</f>
        <v>27.3</v>
      </c>
      <c r="U129" s="23">
        <f>($E129-15)/30</f>
        <v>27.266666666666666</v>
      </c>
      <c r="V129" s="23">
        <f>($E129-16)/30</f>
        <v>27.233333333333334</v>
      </c>
      <c r="W129" s="23">
        <f>($E129-17)/30</f>
        <v>27.2</v>
      </c>
      <c r="X129" s="23">
        <f>($E129-18)/30</f>
        <v>27.166666666666668</v>
      </c>
      <c r="Y129" s="23">
        <f>($E129-19)/30</f>
        <v>27.133333333333333</v>
      </c>
      <c r="Z129" s="23">
        <f>($E129-20)/30</f>
        <v>27.1</v>
      </c>
      <c r="AA129" s="23">
        <f>($E129-21)/30</f>
        <v>27.066666666666666</v>
      </c>
      <c r="AB129" s="23">
        <f>($E129-22)/30</f>
        <v>27.033333333333335</v>
      </c>
      <c r="AC129" s="23">
        <f>($E129-23)/30</f>
        <v>27</v>
      </c>
      <c r="AD129" s="23">
        <f>($E129-24)/30</f>
        <v>26.966666666666665</v>
      </c>
      <c r="AE129" s="23">
        <f>($E129-25)/30</f>
        <v>26.933333333333334</v>
      </c>
      <c r="AF129" s="23">
        <f>($E129-26)/30</f>
        <v>26.9</v>
      </c>
      <c r="AG129" s="23">
        <f>($E129-27)/30</f>
        <v>26.866666666666667</v>
      </c>
      <c r="AH129" s="23">
        <f>($E129-28)/30</f>
        <v>26.833333333333332</v>
      </c>
      <c r="AI129" s="23">
        <f>($E129-29)/30</f>
        <v>26.8</v>
      </c>
      <c r="AJ129" s="24" t="str">
        <f>FactorNumber(E129)</f>
        <v>1,7,17,49,119,833</v>
      </c>
      <c r="AK129" s="10"/>
      <c r="AL129" s="10"/>
      <c r="AM129" s="10"/>
      <c r="AN129" s="10"/>
      <c r="AO129" s="10"/>
      <c r="AP129" s="10"/>
      <c r="AQ129" s="10"/>
    </row>
    <row r="130" spans="1:43" x14ac:dyDescent="0.45">
      <c r="C130" s="48" t="s">
        <v>5</v>
      </c>
      <c r="G130" s="4"/>
      <c r="AJ130" s="3"/>
    </row>
    <row r="131" spans="1:43" x14ac:dyDescent="0.45">
      <c r="A131" s="11"/>
      <c r="B131" s="8"/>
      <c r="C131" s="23">
        <f>(D131-0)/30</f>
        <v>4</v>
      </c>
      <c r="D131" s="8">
        <v>120</v>
      </c>
      <c r="E131" s="9">
        <f t="shared" si="47"/>
        <v>840</v>
      </c>
      <c r="F131" s="23">
        <f t="shared" si="71"/>
        <v>28</v>
      </c>
      <c r="G131" s="23">
        <f t="shared" si="72"/>
        <v>27.966666666666665</v>
      </c>
      <c r="H131" s="23">
        <f t="shared" si="73"/>
        <v>27.933333333333334</v>
      </c>
      <c r="I131" s="23">
        <f t="shared" si="74"/>
        <v>27.9</v>
      </c>
      <c r="J131" s="23">
        <f t="shared" si="75"/>
        <v>27.866666666666667</v>
      </c>
      <c r="K131" s="23">
        <f t="shared" si="76"/>
        <v>27.833333333333332</v>
      </c>
      <c r="L131" s="23">
        <f t="shared" si="46"/>
        <v>27.8</v>
      </c>
      <c r="M131" s="23">
        <f t="shared" si="48"/>
        <v>27.766666666666666</v>
      </c>
      <c r="N131" s="23">
        <f t="shared" si="49"/>
        <v>27.733333333333334</v>
      </c>
      <c r="O131" s="23">
        <f t="shared" si="50"/>
        <v>27.7</v>
      </c>
      <c r="P131" s="23">
        <f t="shared" si="51"/>
        <v>27.666666666666668</v>
      </c>
      <c r="Q131" s="23">
        <f t="shared" si="52"/>
        <v>27.633333333333333</v>
      </c>
      <c r="R131" s="23">
        <f t="shared" si="53"/>
        <v>27.6</v>
      </c>
      <c r="S131" s="23">
        <f t="shared" si="54"/>
        <v>27.566666666666666</v>
      </c>
      <c r="T131" s="23">
        <f t="shared" si="55"/>
        <v>27.533333333333335</v>
      </c>
      <c r="U131" s="23">
        <f t="shared" si="56"/>
        <v>27.5</v>
      </c>
      <c r="V131" s="23">
        <f t="shared" si="57"/>
        <v>27.466666666666665</v>
      </c>
      <c r="W131" s="23">
        <f t="shared" si="58"/>
        <v>27.433333333333334</v>
      </c>
      <c r="X131" s="23">
        <f t="shared" si="59"/>
        <v>27.4</v>
      </c>
      <c r="Y131" s="23">
        <f t="shared" si="60"/>
        <v>27.366666666666667</v>
      </c>
      <c r="Z131" s="23">
        <f t="shared" si="61"/>
        <v>27.333333333333332</v>
      </c>
      <c r="AA131" s="23">
        <f t="shared" si="62"/>
        <v>27.3</v>
      </c>
      <c r="AB131" s="23">
        <f t="shared" si="63"/>
        <v>27.266666666666666</v>
      </c>
      <c r="AC131" s="23">
        <f t="shared" si="64"/>
        <v>27.233333333333334</v>
      </c>
      <c r="AD131" s="23">
        <f t="shared" si="65"/>
        <v>27.2</v>
      </c>
      <c r="AE131" s="23">
        <f t="shared" si="66"/>
        <v>27.166666666666668</v>
      </c>
      <c r="AF131" s="23">
        <f t="shared" si="67"/>
        <v>27.133333333333333</v>
      </c>
      <c r="AG131" s="23">
        <f t="shared" si="68"/>
        <v>27.1</v>
      </c>
      <c r="AH131" s="23">
        <f t="shared" si="69"/>
        <v>27.066666666666666</v>
      </c>
      <c r="AI131" s="23">
        <f t="shared" si="70"/>
        <v>27.033333333333335</v>
      </c>
      <c r="AJ131" s="24" t="str">
        <f t="shared" si="77"/>
        <v>1,2,3,4,5,6,7,8,10,12,14,15,20,21,24,28,30,35,40,42,56,60,70,84,105,120,140,168,210,280,420,840</v>
      </c>
      <c r="AK131" s="10"/>
      <c r="AL131" s="10"/>
      <c r="AM131" s="10"/>
      <c r="AN131" s="10"/>
      <c r="AO131" s="10"/>
      <c r="AP131" s="10"/>
      <c r="AQ131" s="10"/>
    </row>
    <row r="132" spans="1:43" x14ac:dyDescent="0.45">
      <c r="A132" s="11"/>
      <c r="B132" s="8"/>
      <c r="C132" s="8"/>
      <c r="D132" s="8">
        <v>121</v>
      </c>
      <c r="E132" s="9">
        <f t="shared" si="47"/>
        <v>847</v>
      </c>
      <c r="F132" s="23">
        <f t="shared" si="71"/>
        <v>28.233333333333334</v>
      </c>
      <c r="G132" s="23">
        <f t="shared" si="72"/>
        <v>28.2</v>
      </c>
      <c r="H132" s="23">
        <f t="shared" si="73"/>
        <v>28.166666666666668</v>
      </c>
      <c r="I132" s="23">
        <f t="shared" si="74"/>
        <v>28.133333333333333</v>
      </c>
      <c r="J132" s="23">
        <f t="shared" si="75"/>
        <v>28.1</v>
      </c>
      <c r="K132" s="23">
        <f t="shared" si="76"/>
        <v>28.066666666666666</v>
      </c>
      <c r="L132" s="23">
        <f t="shared" si="46"/>
        <v>28.033333333333335</v>
      </c>
      <c r="M132" s="23">
        <f t="shared" si="48"/>
        <v>28</v>
      </c>
      <c r="N132" s="23">
        <f t="shared" si="49"/>
        <v>27.966666666666665</v>
      </c>
      <c r="O132" s="23">
        <f t="shared" si="50"/>
        <v>27.933333333333334</v>
      </c>
      <c r="P132" s="23">
        <f t="shared" si="51"/>
        <v>27.9</v>
      </c>
      <c r="Q132" s="23">
        <f t="shared" si="52"/>
        <v>27.866666666666667</v>
      </c>
      <c r="R132" s="23">
        <f t="shared" si="53"/>
        <v>27.833333333333332</v>
      </c>
      <c r="S132" s="23">
        <f t="shared" si="54"/>
        <v>27.8</v>
      </c>
      <c r="T132" s="23">
        <f t="shared" si="55"/>
        <v>27.766666666666666</v>
      </c>
      <c r="U132" s="23">
        <f t="shared" si="56"/>
        <v>27.733333333333334</v>
      </c>
      <c r="V132" s="23">
        <f t="shared" si="57"/>
        <v>27.7</v>
      </c>
      <c r="W132" s="23">
        <f t="shared" si="58"/>
        <v>27.666666666666668</v>
      </c>
      <c r="X132" s="23">
        <f t="shared" si="59"/>
        <v>27.633333333333333</v>
      </c>
      <c r="Y132" s="23">
        <f t="shared" si="60"/>
        <v>27.6</v>
      </c>
      <c r="Z132" s="23">
        <f t="shared" si="61"/>
        <v>27.566666666666666</v>
      </c>
      <c r="AA132" s="23">
        <f t="shared" si="62"/>
        <v>27.533333333333335</v>
      </c>
      <c r="AB132" s="23">
        <f t="shared" si="63"/>
        <v>27.5</v>
      </c>
      <c r="AC132" s="23">
        <f t="shared" si="64"/>
        <v>27.466666666666665</v>
      </c>
      <c r="AD132" s="23">
        <f t="shared" si="65"/>
        <v>27.433333333333334</v>
      </c>
      <c r="AE132" s="23">
        <f t="shared" si="66"/>
        <v>27.4</v>
      </c>
      <c r="AF132" s="23">
        <f t="shared" si="67"/>
        <v>27.366666666666667</v>
      </c>
      <c r="AG132" s="23">
        <f t="shared" si="68"/>
        <v>27.333333333333332</v>
      </c>
      <c r="AH132" s="23">
        <f t="shared" si="69"/>
        <v>27.3</v>
      </c>
      <c r="AI132" s="23">
        <f t="shared" si="70"/>
        <v>27.266666666666666</v>
      </c>
      <c r="AJ132" s="24" t="str">
        <f t="shared" si="77"/>
        <v>1,7,11,77,121,847</v>
      </c>
      <c r="AK132" s="10"/>
      <c r="AL132" s="10"/>
      <c r="AM132" s="10"/>
      <c r="AN132" s="10"/>
      <c r="AO132" s="10"/>
      <c r="AP132" s="10"/>
      <c r="AQ132" s="10"/>
    </row>
    <row r="133" spans="1:43" x14ac:dyDescent="0.45">
      <c r="A133" s="11"/>
      <c r="B133" s="8"/>
      <c r="C133" s="8"/>
      <c r="D133" s="8">
        <v>122</v>
      </c>
      <c r="E133" s="9">
        <f t="shared" si="47"/>
        <v>854</v>
      </c>
      <c r="F133" s="23">
        <f t="shared" si="71"/>
        <v>28.466666666666665</v>
      </c>
      <c r="G133" s="23">
        <f t="shared" si="72"/>
        <v>28.433333333333334</v>
      </c>
      <c r="H133" s="23">
        <f t="shared" si="73"/>
        <v>28.4</v>
      </c>
      <c r="I133" s="23">
        <f t="shared" si="74"/>
        <v>28.366666666666667</v>
      </c>
      <c r="J133" s="23">
        <f t="shared" si="75"/>
        <v>28.333333333333332</v>
      </c>
      <c r="K133" s="23">
        <f t="shared" si="76"/>
        <v>28.3</v>
      </c>
      <c r="L133" s="23">
        <f t="shared" si="46"/>
        <v>28.266666666666666</v>
      </c>
      <c r="M133" s="23">
        <f t="shared" si="48"/>
        <v>28.233333333333334</v>
      </c>
      <c r="N133" s="23">
        <f t="shared" si="49"/>
        <v>28.2</v>
      </c>
      <c r="O133" s="23">
        <f t="shared" si="50"/>
        <v>28.166666666666668</v>
      </c>
      <c r="P133" s="23">
        <f t="shared" si="51"/>
        <v>28.133333333333333</v>
      </c>
      <c r="Q133" s="23">
        <f t="shared" si="52"/>
        <v>28.1</v>
      </c>
      <c r="R133" s="23">
        <f t="shared" si="53"/>
        <v>28.066666666666666</v>
      </c>
      <c r="S133" s="23">
        <f t="shared" si="54"/>
        <v>28.033333333333335</v>
      </c>
      <c r="T133" s="23">
        <f t="shared" si="55"/>
        <v>28</v>
      </c>
      <c r="U133" s="23">
        <f t="shared" si="56"/>
        <v>27.966666666666665</v>
      </c>
      <c r="V133" s="23">
        <f t="shared" si="57"/>
        <v>27.933333333333334</v>
      </c>
      <c r="W133" s="23">
        <f t="shared" si="58"/>
        <v>27.9</v>
      </c>
      <c r="X133" s="23">
        <f t="shared" si="59"/>
        <v>27.866666666666667</v>
      </c>
      <c r="Y133" s="23">
        <f t="shared" si="60"/>
        <v>27.833333333333332</v>
      </c>
      <c r="Z133" s="23">
        <f t="shared" si="61"/>
        <v>27.8</v>
      </c>
      <c r="AA133" s="23">
        <f t="shared" si="62"/>
        <v>27.766666666666666</v>
      </c>
      <c r="AB133" s="23">
        <f t="shared" si="63"/>
        <v>27.733333333333334</v>
      </c>
      <c r="AC133" s="23">
        <f t="shared" si="64"/>
        <v>27.7</v>
      </c>
      <c r="AD133" s="23">
        <f t="shared" si="65"/>
        <v>27.666666666666668</v>
      </c>
      <c r="AE133" s="23">
        <f t="shared" si="66"/>
        <v>27.633333333333333</v>
      </c>
      <c r="AF133" s="23">
        <f t="shared" si="67"/>
        <v>27.6</v>
      </c>
      <c r="AG133" s="23">
        <f t="shared" si="68"/>
        <v>27.566666666666666</v>
      </c>
      <c r="AH133" s="23">
        <f t="shared" si="69"/>
        <v>27.533333333333335</v>
      </c>
      <c r="AI133" s="23">
        <f t="shared" si="70"/>
        <v>27.5</v>
      </c>
      <c r="AJ133" s="24" t="str">
        <f t="shared" si="77"/>
        <v>1,2,7,14,61,122,427,854</v>
      </c>
      <c r="AK133" s="10"/>
      <c r="AL133" s="10"/>
      <c r="AM133" s="10"/>
      <c r="AN133" s="10"/>
      <c r="AO133" s="10"/>
      <c r="AP133" s="10"/>
      <c r="AQ133" s="10"/>
    </row>
    <row r="134" spans="1:43" x14ac:dyDescent="0.45">
      <c r="A134" s="11"/>
      <c r="B134" s="8"/>
      <c r="C134" s="8"/>
      <c r="D134" s="8"/>
      <c r="E134" s="9"/>
      <c r="F134" s="9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10"/>
      <c r="AK134" s="10"/>
      <c r="AL134" s="10"/>
      <c r="AM134" s="10"/>
      <c r="AN134" s="10"/>
      <c r="AO134" s="10"/>
      <c r="AP134" s="10"/>
    </row>
  </sheetData>
  <sheetProtection sheet="1" selectLockedCells="1"/>
  <conditionalFormatting sqref="H10:H22 I8:I22 J9:J22 G8:G22 K8:K22 L13:L22 M8:AI22 G23:AI36 G131:AI131 G129:AI129">
    <cfRule type="expression" dxfId="139" priority="106">
      <formula>MOD(G8,1)=0</formula>
    </cfRule>
  </conditionalFormatting>
  <conditionalFormatting sqref="E5:F5">
    <cfRule type="expression" dxfId="138" priority="104">
      <formula>$E$5="NOT PRIME"</formula>
    </cfRule>
    <cfRule type="expression" dxfId="137" priority="105">
      <formula>$E$5="PRIME"</formula>
    </cfRule>
  </conditionalFormatting>
  <conditionalFormatting sqref="G8:G22 I8:I22 K8:K22 L13:L22 H10:H22 J9:J22 M8:AI22 G23:AI36 G131:AI131 G129:AI129">
    <cfRule type="expression" dxfId="136" priority="101">
      <formula>MOD(G8,1)=0</formula>
    </cfRule>
  </conditionalFormatting>
  <conditionalFormatting sqref="H9">
    <cfRule type="expression" dxfId="135" priority="103">
      <formula>MOD(H9,1)=0</formula>
    </cfRule>
  </conditionalFormatting>
  <conditionalFormatting sqref="H9">
    <cfRule type="expression" dxfId="134" priority="102">
      <formula>MOD(H9,1)=0</formula>
    </cfRule>
  </conditionalFormatting>
  <conditionalFormatting sqref="H39:H67 H69:H98 H100:H128">
    <cfRule type="expression" dxfId="133" priority="98">
      <formula>MOD(H39,1)=0</formula>
    </cfRule>
  </conditionalFormatting>
  <conditionalFormatting sqref="G39:G67 G69:G98 G100:G128">
    <cfRule type="expression" dxfId="132" priority="95">
      <formula>MOD(G39,1)=0</formula>
    </cfRule>
  </conditionalFormatting>
  <conditionalFormatting sqref="J8">
    <cfRule type="expression" dxfId="131" priority="91">
      <formula>MOD(J8,1)=0</formula>
    </cfRule>
  </conditionalFormatting>
  <conditionalFormatting sqref="I39:I67 I69:I98 I100:I128">
    <cfRule type="expression" dxfId="130" priority="94">
      <formula>MOD(I39,1)=0</formula>
    </cfRule>
  </conditionalFormatting>
  <conditionalFormatting sqref="I39:I67 I69:I98 I100:I128">
    <cfRule type="expression" dxfId="129" priority="93">
      <formula>MOD(I39,1)=0</formula>
    </cfRule>
  </conditionalFormatting>
  <conditionalFormatting sqref="J39:J67 J69:J98 J100:J128">
    <cfRule type="expression" dxfId="128" priority="90">
      <formula>MOD(J39,1)=0</formula>
    </cfRule>
  </conditionalFormatting>
  <conditionalFormatting sqref="K39:K67 K69:K98 K100:K128">
    <cfRule type="expression" dxfId="127" priority="87">
      <formula>MOD(K39,1)=0</formula>
    </cfRule>
  </conditionalFormatting>
  <conditionalFormatting sqref="L39:L67 L69:L98 L100:L128">
    <cfRule type="expression" dxfId="126" priority="83">
      <formula>MOD(L39,1)=0</formula>
    </cfRule>
  </conditionalFormatting>
  <conditionalFormatting sqref="L8:L12">
    <cfRule type="expression" dxfId="125" priority="86">
      <formula>MOD(L8,1)=0</formula>
    </cfRule>
  </conditionalFormatting>
  <conditionalFormatting sqref="L8:L12">
    <cfRule type="expression" dxfId="124" priority="85">
      <formula>MOD(L8,1)=0</formula>
    </cfRule>
  </conditionalFormatting>
  <conditionalFormatting sqref="H8">
    <cfRule type="expression" dxfId="123" priority="100">
      <formula>MOD(H8,1)=0</formula>
    </cfRule>
  </conditionalFormatting>
  <conditionalFormatting sqref="H8">
    <cfRule type="expression" dxfId="122" priority="99">
      <formula>MOD(H8,1)=0</formula>
    </cfRule>
  </conditionalFormatting>
  <conditionalFormatting sqref="G39:G67 G69:G98 G100:G128">
    <cfRule type="expression" dxfId="121" priority="96">
      <formula>MOD(G39,1)=0</formula>
    </cfRule>
  </conditionalFormatting>
  <conditionalFormatting sqref="H39:H67 H69:H98 H100:H128">
    <cfRule type="expression" dxfId="120" priority="97">
      <formula>MOD(H39,1)=0</formula>
    </cfRule>
  </conditionalFormatting>
  <conditionalFormatting sqref="J8">
    <cfRule type="expression" dxfId="119" priority="92">
      <formula>MOD(J8,1)=0</formula>
    </cfRule>
  </conditionalFormatting>
  <conditionalFormatting sqref="J39:J67 J69:J98 J100:J128">
    <cfRule type="expression" dxfId="118" priority="89">
      <formula>MOD(J39,1)=0</formula>
    </cfRule>
  </conditionalFormatting>
  <conditionalFormatting sqref="K39:K67 K69:K98 K100:K128">
    <cfRule type="expression" dxfId="117" priority="88">
      <formula>MOD(K39,1)=0</formula>
    </cfRule>
  </conditionalFormatting>
  <conditionalFormatting sqref="L39:L67 L69:L98 L100:L128">
    <cfRule type="expression" dxfId="116" priority="84">
      <formula>MOD(L39,1)=0</formula>
    </cfRule>
  </conditionalFormatting>
  <conditionalFormatting sqref="M39:AI67 M69:AI98 M100:AI128">
    <cfRule type="expression" dxfId="115" priority="81">
      <formula>MOD(M39,1)=0</formula>
    </cfRule>
  </conditionalFormatting>
  <conditionalFormatting sqref="M39:AI67 M69:AI98 M100:AI128">
    <cfRule type="expression" dxfId="114" priority="82">
      <formula>MOD(M39,1)=0</formula>
    </cfRule>
  </conditionalFormatting>
  <conditionalFormatting sqref="H132:H133">
    <cfRule type="expression" dxfId="113" priority="80">
      <formula>MOD(H132,1)=0</formula>
    </cfRule>
  </conditionalFormatting>
  <conditionalFormatting sqref="G132:G133">
    <cfRule type="expression" dxfId="112" priority="77">
      <formula>MOD(G132,1)=0</formula>
    </cfRule>
  </conditionalFormatting>
  <conditionalFormatting sqref="I132:I133">
    <cfRule type="expression" dxfId="111" priority="76">
      <formula>MOD(I132,1)=0</formula>
    </cfRule>
  </conditionalFormatting>
  <conditionalFormatting sqref="I132:I133">
    <cfRule type="expression" dxfId="110" priority="75">
      <formula>MOD(I132,1)=0</formula>
    </cfRule>
  </conditionalFormatting>
  <conditionalFormatting sqref="J132:J133">
    <cfRule type="expression" dxfId="109" priority="74">
      <formula>MOD(J132,1)=0</formula>
    </cfRule>
  </conditionalFormatting>
  <conditionalFormatting sqref="K132:K133">
    <cfRule type="expression" dxfId="108" priority="71">
      <formula>MOD(K132,1)=0</formula>
    </cfRule>
  </conditionalFormatting>
  <conditionalFormatting sqref="L132:L133">
    <cfRule type="expression" dxfId="107" priority="69">
      <formula>MOD(L132,1)=0</formula>
    </cfRule>
  </conditionalFormatting>
  <conditionalFormatting sqref="G132:G133">
    <cfRule type="expression" dxfId="106" priority="78">
      <formula>MOD(G132,1)=0</formula>
    </cfRule>
  </conditionalFormatting>
  <conditionalFormatting sqref="H132:H133">
    <cfRule type="expression" dxfId="105" priority="79">
      <formula>MOD(H132,1)=0</formula>
    </cfRule>
  </conditionalFormatting>
  <conditionalFormatting sqref="J132:J133">
    <cfRule type="expression" dxfId="104" priority="73">
      <formula>MOD(J132,1)=0</formula>
    </cfRule>
  </conditionalFormatting>
  <conditionalFormatting sqref="K132:K133">
    <cfRule type="expression" dxfId="103" priority="72">
      <formula>MOD(K132,1)=0</formula>
    </cfRule>
  </conditionalFormatting>
  <conditionalFormatting sqref="L132:L133">
    <cfRule type="expression" dxfId="102" priority="70">
      <formula>MOD(L132,1)=0</formula>
    </cfRule>
  </conditionalFormatting>
  <conditionalFormatting sqref="M132:AI133">
    <cfRule type="expression" dxfId="101" priority="67">
      <formula>MOD(M132,1)=0</formula>
    </cfRule>
  </conditionalFormatting>
  <conditionalFormatting sqref="M132:AI133">
    <cfRule type="expression" dxfId="100" priority="68">
      <formula>MOD(M132,1)=0</formula>
    </cfRule>
  </conditionalFormatting>
  <conditionalFormatting sqref="G7:AI7">
    <cfRule type="expression" dxfId="99" priority="65">
      <formula>MOD(G7,1)=0</formula>
    </cfRule>
  </conditionalFormatting>
  <conditionalFormatting sqref="G7:AI7">
    <cfRule type="expression" dxfId="98" priority="66">
      <formula>MOD(G7,1)=0</formula>
    </cfRule>
  </conditionalFormatting>
  <conditionalFormatting sqref="F7">
    <cfRule type="expression" dxfId="97" priority="60">
      <formula>MOD(F7,1)=0</formula>
    </cfRule>
  </conditionalFormatting>
  <conditionalFormatting sqref="F7">
    <cfRule type="expression" dxfId="96" priority="59">
      <formula>MOD(F7,1)=0</formula>
    </cfRule>
  </conditionalFormatting>
  <conditionalFormatting sqref="F8:F36">
    <cfRule type="expression" dxfId="95" priority="28">
      <formula>MOD(F8,1)=0</formula>
    </cfRule>
  </conditionalFormatting>
  <conditionalFormatting sqref="F8:F36">
    <cfRule type="expression" dxfId="94" priority="27">
      <formula>MOD(F8,1)=0</formula>
    </cfRule>
  </conditionalFormatting>
  <conditionalFormatting sqref="C69">
    <cfRule type="expression" dxfId="93" priority="5">
      <formula>MOD(C69,1)=0</formula>
    </cfRule>
  </conditionalFormatting>
  <conditionalFormatting sqref="C69">
    <cfRule type="expression" dxfId="92" priority="6">
      <formula>MOD(C69,1)=0</formula>
    </cfRule>
  </conditionalFormatting>
  <conditionalFormatting sqref="C131">
    <cfRule type="expression" dxfId="91" priority="1">
      <formula>MOD(C131,1)=0</formula>
    </cfRule>
  </conditionalFormatting>
  <conditionalFormatting sqref="C131">
    <cfRule type="expression" dxfId="90" priority="2">
      <formula>MOD(C131,1)=0</formula>
    </cfRule>
  </conditionalFormatting>
  <conditionalFormatting sqref="F38">
    <cfRule type="expression" dxfId="89" priority="26">
      <formula>MOD(F38,1)=0</formula>
    </cfRule>
  </conditionalFormatting>
  <conditionalFormatting sqref="F38">
    <cfRule type="expression" dxfId="88" priority="25">
      <formula>MOD(F38,1)=0</formula>
    </cfRule>
  </conditionalFormatting>
  <conditionalFormatting sqref="H38">
    <cfRule type="expression" dxfId="87" priority="50">
      <formula>MOD(H38,1)=0</formula>
    </cfRule>
  </conditionalFormatting>
  <conditionalFormatting sqref="G38">
    <cfRule type="expression" dxfId="86" priority="47">
      <formula>MOD(G38,1)=0</formula>
    </cfRule>
  </conditionalFormatting>
  <conditionalFormatting sqref="I38">
    <cfRule type="expression" dxfId="85" priority="46">
      <formula>MOD(I38,1)=0</formula>
    </cfRule>
  </conditionalFormatting>
  <conditionalFormatting sqref="I38">
    <cfRule type="expression" dxfId="84" priority="45">
      <formula>MOD(I38,1)=0</formula>
    </cfRule>
  </conditionalFormatting>
  <conditionalFormatting sqref="J38">
    <cfRule type="expression" dxfId="83" priority="44">
      <formula>MOD(J38,1)=0</formula>
    </cfRule>
  </conditionalFormatting>
  <conditionalFormatting sqref="K38">
    <cfRule type="expression" dxfId="82" priority="41">
      <formula>MOD(K38,1)=0</formula>
    </cfRule>
  </conditionalFormatting>
  <conditionalFormatting sqref="L38">
    <cfRule type="expression" dxfId="81" priority="39">
      <formula>MOD(L38,1)=0</formula>
    </cfRule>
  </conditionalFormatting>
  <conditionalFormatting sqref="G38">
    <cfRule type="expression" dxfId="80" priority="48">
      <formula>MOD(G38,1)=0</formula>
    </cfRule>
  </conditionalFormatting>
  <conditionalFormatting sqref="H38">
    <cfRule type="expression" dxfId="79" priority="49">
      <formula>MOD(H38,1)=0</formula>
    </cfRule>
  </conditionalFormatting>
  <conditionalFormatting sqref="J38">
    <cfRule type="expression" dxfId="78" priority="43">
      <formula>MOD(J38,1)=0</formula>
    </cfRule>
  </conditionalFormatting>
  <conditionalFormatting sqref="K38">
    <cfRule type="expression" dxfId="77" priority="42">
      <formula>MOD(K38,1)=0</formula>
    </cfRule>
  </conditionalFormatting>
  <conditionalFormatting sqref="L38">
    <cfRule type="expression" dxfId="76" priority="40">
      <formula>MOD(L38,1)=0</formula>
    </cfRule>
  </conditionalFormatting>
  <conditionalFormatting sqref="M38:AI38">
    <cfRule type="expression" dxfId="75" priority="37">
      <formula>MOD(M38,1)=0</formula>
    </cfRule>
  </conditionalFormatting>
  <conditionalFormatting sqref="M38:AI38">
    <cfRule type="expression" dxfId="74" priority="38">
      <formula>MOD(M38,1)=0</formula>
    </cfRule>
  </conditionalFormatting>
  <conditionalFormatting sqref="F131:F133">
    <cfRule type="expression" dxfId="73" priority="14">
      <formula>MOD(F131,1)=0</formula>
    </cfRule>
  </conditionalFormatting>
  <conditionalFormatting sqref="F131:F133">
    <cfRule type="expression" dxfId="72" priority="13">
      <formula>MOD(F131,1)=0</formula>
    </cfRule>
  </conditionalFormatting>
  <conditionalFormatting sqref="F101:F129">
    <cfRule type="expression" dxfId="71" priority="16">
      <formula>MOD(F101,1)=0</formula>
    </cfRule>
  </conditionalFormatting>
  <conditionalFormatting sqref="F101:F129">
    <cfRule type="expression" dxfId="70" priority="15">
      <formula>MOD(F101,1)=0</formula>
    </cfRule>
  </conditionalFormatting>
  <conditionalFormatting sqref="F39:F67">
    <cfRule type="expression" dxfId="69" priority="24">
      <formula>MOD(F39,1)=0</formula>
    </cfRule>
  </conditionalFormatting>
  <conditionalFormatting sqref="F39:F67">
    <cfRule type="expression" dxfId="68" priority="23">
      <formula>MOD(F39,1)=0</formula>
    </cfRule>
  </conditionalFormatting>
  <conditionalFormatting sqref="F69">
    <cfRule type="expression" dxfId="67" priority="22">
      <formula>MOD(F69,1)=0</formula>
    </cfRule>
  </conditionalFormatting>
  <conditionalFormatting sqref="F69">
    <cfRule type="expression" dxfId="66" priority="21">
      <formula>MOD(F69,1)=0</formula>
    </cfRule>
  </conditionalFormatting>
  <conditionalFormatting sqref="F70:F98">
    <cfRule type="expression" dxfId="65" priority="20">
      <formula>MOD(F70,1)=0</formula>
    </cfRule>
  </conditionalFormatting>
  <conditionalFormatting sqref="F70:F98">
    <cfRule type="expression" dxfId="64" priority="19">
      <formula>MOD(F70,1)=0</formula>
    </cfRule>
  </conditionalFormatting>
  <conditionalFormatting sqref="F100">
    <cfRule type="expression" dxfId="63" priority="18">
      <formula>MOD(F100,1)=0</formula>
    </cfRule>
  </conditionalFormatting>
  <conditionalFormatting sqref="F100">
    <cfRule type="expression" dxfId="62" priority="17">
      <formula>MOD(F100,1)=0</formula>
    </cfRule>
  </conditionalFormatting>
  <conditionalFormatting sqref="C7">
    <cfRule type="expression" dxfId="61" priority="12">
      <formula>MOD(C7,1)=0</formula>
    </cfRule>
  </conditionalFormatting>
  <conditionalFormatting sqref="C7">
    <cfRule type="expression" dxfId="60" priority="11">
      <formula>MOD(C7,1)=0</formula>
    </cfRule>
  </conditionalFormatting>
  <conditionalFormatting sqref="C38">
    <cfRule type="expression" dxfId="59" priority="8">
      <formula>MOD(C38,1)=0</formula>
    </cfRule>
  </conditionalFormatting>
  <conditionalFormatting sqref="C38">
    <cfRule type="expression" dxfId="58" priority="7">
      <formula>MOD(C38,1)=0</formula>
    </cfRule>
  </conditionalFormatting>
  <conditionalFormatting sqref="C100">
    <cfRule type="expression" dxfId="57" priority="4">
      <formula>MOD(C100,1)=0</formula>
    </cfRule>
  </conditionalFormatting>
  <conditionalFormatting sqref="C100">
    <cfRule type="expression" dxfId="56" priority="3">
      <formula>MOD(C100,1)=0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393-D119-40D9-A3AF-DF8A19D28F72}">
  <dimension ref="A1:AA14"/>
  <sheetViews>
    <sheetView showGridLines="0" workbookViewId="0">
      <selection activeCell="C4" sqref="C4"/>
    </sheetView>
  </sheetViews>
  <sheetFormatPr defaultColWidth="6.84375" defaultRowHeight="18.600000000000001" x14ac:dyDescent="0.45"/>
  <cols>
    <col min="1" max="1" width="4.84375" bestFit="1" customWidth="1"/>
    <col min="2" max="2" width="3.84375" customWidth="1"/>
    <col min="3" max="3" width="9.69140625" bestFit="1" customWidth="1"/>
    <col min="4" max="12" width="4.84375" customWidth="1"/>
    <col min="14" max="14" width="4.84375" customWidth="1"/>
    <col min="15" max="15" width="3.84375" customWidth="1"/>
    <col min="16" max="16" width="9.69140625" bestFit="1" customWidth="1"/>
    <col min="17" max="24" width="4.84375" customWidth="1"/>
    <col min="25" max="25" width="10.4609375" bestFit="1" customWidth="1"/>
  </cols>
  <sheetData>
    <row r="1" spans="1:27" ht="74.400000000000006" x14ac:dyDescent="0.45">
      <c r="A1" s="7" t="str" cm="1">
        <f t="array" aca="1" ref="A1" ca="1">MID(CELL("filename",A1),FIND("]",CELL("filename",A1))+1,255)</f>
        <v>0382 l-13 r-17</v>
      </c>
      <c r="B1" s="8" t="str" cm="1">
        <f t="array" aca="1" ref="B1" ca="1">MID(CELL("filename"),SEARCH("[",CELL("filename"))+1,SEARCH(".",CELL("filename"))-1-SEARCH("[",CELL("filename")))</f>
        <v>Tio Cash Master 0380 Snap In Calculation</v>
      </c>
      <c r="C1" s="25"/>
      <c r="D1" s="27"/>
      <c r="E1" s="28"/>
      <c r="F1" s="27"/>
      <c r="G1" s="27"/>
      <c r="H1" s="27"/>
      <c r="I1" s="27"/>
      <c r="J1" s="27"/>
      <c r="K1" s="27"/>
      <c r="L1" s="27"/>
      <c r="N1" s="25"/>
      <c r="O1" s="26"/>
      <c r="P1" s="27"/>
      <c r="Q1" s="27"/>
      <c r="R1" s="28"/>
      <c r="S1" s="27"/>
      <c r="T1" s="27"/>
      <c r="U1" s="27"/>
      <c r="V1" s="27"/>
      <c r="W1" s="27"/>
      <c r="X1" s="27"/>
      <c r="Y1" s="27"/>
      <c r="Z1" s="27"/>
      <c r="AA1" s="27"/>
    </row>
    <row r="2" spans="1:27" ht="19.2" thickBot="1" x14ac:dyDescent="0.5">
      <c r="A2" s="29"/>
      <c r="B2" s="27"/>
      <c r="C2" s="28"/>
      <c r="D2" s="27"/>
      <c r="E2" s="27"/>
      <c r="F2" s="27"/>
      <c r="G2" s="27"/>
      <c r="H2" s="27"/>
      <c r="I2" s="27"/>
      <c r="J2" s="27"/>
      <c r="K2" s="27"/>
      <c r="L2" s="27"/>
      <c r="N2" s="29"/>
      <c r="O2" s="27"/>
      <c r="P2" s="28"/>
      <c r="Q2" s="27"/>
      <c r="R2" s="27"/>
      <c r="S2" s="27"/>
      <c r="T2" s="27"/>
      <c r="U2" s="27"/>
      <c r="V2" s="27"/>
      <c r="W2" s="27"/>
      <c r="X2" s="27"/>
      <c r="Y2" s="27"/>
    </row>
    <row r="3" spans="1:27" ht="19.2" thickBot="1" x14ac:dyDescent="0.5">
      <c r="A3" s="49"/>
      <c r="B3" s="32"/>
      <c r="C3" s="30" t="s">
        <v>0</v>
      </c>
      <c r="D3" s="31" t="s">
        <v>1</v>
      </c>
      <c r="E3" s="32"/>
      <c r="F3" s="32"/>
      <c r="G3" s="33"/>
      <c r="H3" s="32"/>
      <c r="I3" s="32"/>
      <c r="J3" s="32"/>
      <c r="K3" s="32"/>
      <c r="L3" s="32"/>
      <c r="M3" s="50"/>
      <c r="N3" s="49"/>
      <c r="O3" s="32"/>
      <c r="P3" s="30" t="s">
        <v>0</v>
      </c>
      <c r="Q3" s="31" t="s">
        <v>1</v>
      </c>
      <c r="R3" s="32"/>
      <c r="S3" s="32"/>
      <c r="T3" s="33"/>
      <c r="U3" s="32"/>
      <c r="V3" s="32"/>
      <c r="W3" s="32"/>
      <c r="X3" s="32"/>
      <c r="Y3" s="33"/>
    </row>
    <row r="4" spans="1:27" ht="19.2" thickBot="1" x14ac:dyDescent="0.5">
      <c r="A4" s="51"/>
      <c r="B4" s="52"/>
      <c r="C4" s="2">
        <v>13</v>
      </c>
      <c r="D4" s="35" t="s">
        <v>6</v>
      </c>
      <c r="E4" s="36"/>
      <c r="F4" s="36"/>
      <c r="G4" s="37"/>
      <c r="H4" s="52"/>
      <c r="I4" s="52"/>
      <c r="J4" s="52"/>
      <c r="K4" s="52"/>
      <c r="L4" s="52"/>
      <c r="M4" s="53"/>
      <c r="N4" s="51"/>
      <c r="O4" s="52"/>
      <c r="P4" s="2">
        <v>17</v>
      </c>
      <c r="Q4" s="35" t="s">
        <v>15</v>
      </c>
      <c r="R4" s="36"/>
      <c r="S4" s="36"/>
      <c r="T4" s="37"/>
      <c r="U4" s="52"/>
      <c r="V4" s="52"/>
      <c r="W4" s="52"/>
      <c r="X4" s="52"/>
      <c r="Y4" s="64"/>
    </row>
    <row r="5" spans="1:27" ht="19.2" thickBot="1" x14ac:dyDescent="0.5">
      <c r="A5" s="51"/>
      <c r="B5" s="52"/>
      <c r="C5" s="38" t="s">
        <v>7</v>
      </c>
      <c r="D5" s="54"/>
      <c r="E5" s="52"/>
      <c r="F5" s="52"/>
      <c r="G5" s="52"/>
      <c r="H5" s="52"/>
      <c r="I5" s="52"/>
      <c r="J5" s="52"/>
      <c r="K5" s="52"/>
      <c r="L5" s="52"/>
      <c r="M5" s="53"/>
      <c r="N5" s="51"/>
      <c r="O5" s="52"/>
      <c r="P5" s="38" t="s">
        <v>7</v>
      </c>
      <c r="Q5" s="54"/>
      <c r="R5" s="52"/>
      <c r="S5" s="52"/>
      <c r="T5" s="52"/>
      <c r="U5" s="52"/>
      <c r="V5" s="52"/>
      <c r="W5" s="52"/>
      <c r="X5" s="52"/>
      <c r="Y5" s="64"/>
    </row>
    <row r="6" spans="1:27" ht="19.2" thickBot="1" x14ac:dyDescent="0.5">
      <c r="A6" s="51" t="s">
        <v>5</v>
      </c>
      <c r="B6" s="52"/>
      <c r="C6" s="34">
        <v>13</v>
      </c>
      <c r="D6" s="39">
        <v>1</v>
      </c>
      <c r="E6" s="40">
        <v>7</v>
      </c>
      <c r="F6" s="40">
        <v>11</v>
      </c>
      <c r="G6" s="40">
        <v>13</v>
      </c>
      <c r="H6" s="40">
        <v>17</v>
      </c>
      <c r="I6" s="40">
        <v>19</v>
      </c>
      <c r="J6" s="40">
        <v>23</v>
      </c>
      <c r="K6" s="41">
        <v>29</v>
      </c>
      <c r="L6" s="52" t="s">
        <v>2</v>
      </c>
      <c r="M6" s="53"/>
      <c r="N6" s="51" t="s">
        <v>5</v>
      </c>
      <c r="O6" s="52"/>
      <c r="P6" s="34">
        <v>17</v>
      </c>
      <c r="Q6" s="39">
        <v>1</v>
      </c>
      <c r="R6" s="40">
        <v>7</v>
      </c>
      <c r="S6" s="40">
        <v>11</v>
      </c>
      <c r="T6" s="40">
        <v>13</v>
      </c>
      <c r="U6" s="40">
        <v>17</v>
      </c>
      <c r="V6" s="40">
        <v>19</v>
      </c>
      <c r="W6" s="40">
        <v>23</v>
      </c>
      <c r="X6" s="41">
        <v>29</v>
      </c>
      <c r="Y6" s="64" t="s">
        <v>2</v>
      </c>
    </row>
    <row r="7" spans="1:27" x14ac:dyDescent="0.45">
      <c r="A7" s="51">
        <v>0</v>
      </c>
      <c r="B7" s="52">
        <v>1</v>
      </c>
      <c r="C7" s="55">
        <v>13</v>
      </c>
      <c r="D7" s="56">
        <v>0.4</v>
      </c>
      <c r="E7" s="56">
        <v>0.2</v>
      </c>
      <c r="F7" s="56">
        <v>6.6666666666666666E-2</v>
      </c>
      <c r="G7" s="56">
        <v>0</v>
      </c>
      <c r="H7" s="56">
        <v>-0.13333333333333333</v>
      </c>
      <c r="I7" s="56">
        <v>-0.2</v>
      </c>
      <c r="J7" s="56">
        <v>-0.33333333333333331</v>
      </c>
      <c r="K7" s="56">
        <v>-0.53333333333333333</v>
      </c>
      <c r="L7" s="57" t="s">
        <v>6</v>
      </c>
      <c r="M7" s="53"/>
      <c r="N7" s="51">
        <v>0</v>
      </c>
      <c r="O7" s="52">
        <v>1</v>
      </c>
      <c r="P7" s="55">
        <v>17</v>
      </c>
      <c r="Q7" s="56">
        <v>0.53333333333333333</v>
      </c>
      <c r="R7" s="56">
        <v>0.33333333333333331</v>
      </c>
      <c r="S7" s="56">
        <v>0.2</v>
      </c>
      <c r="T7" s="56">
        <v>0.13333333333333333</v>
      </c>
      <c r="U7" s="56">
        <v>0</v>
      </c>
      <c r="V7" s="56">
        <v>-6.6666666666666666E-2</v>
      </c>
      <c r="W7" s="56">
        <v>-0.2</v>
      </c>
      <c r="X7" s="56">
        <v>-0.4</v>
      </c>
      <c r="Y7" s="65" t="s">
        <v>15</v>
      </c>
    </row>
    <row r="8" spans="1:27" x14ac:dyDescent="0.45">
      <c r="A8" s="51"/>
      <c r="B8" s="52">
        <v>7</v>
      </c>
      <c r="C8" s="55">
        <v>91</v>
      </c>
      <c r="D8" s="56">
        <v>3</v>
      </c>
      <c r="E8" s="56">
        <v>2.8</v>
      </c>
      <c r="F8" s="56">
        <v>2.6666666666666665</v>
      </c>
      <c r="G8" s="56">
        <v>2.6</v>
      </c>
      <c r="H8" s="56">
        <v>2.4666666666666668</v>
      </c>
      <c r="I8" s="56">
        <v>2.4</v>
      </c>
      <c r="J8" s="56">
        <v>2.2666666666666666</v>
      </c>
      <c r="K8" s="56">
        <v>2.0666666666666669</v>
      </c>
      <c r="L8" s="57" t="s">
        <v>8</v>
      </c>
      <c r="M8" s="53"/>
      <c r="N8" s="51"/>
      <c r="O8" s="52">
        <v>7</v>
      </c>
      <c r="P8" s="55">
        <v>119</v>
      </c>
      <c r="Q8" s="56">
        <v>3.9333333333333331</v>
      </c>
      <c r="R8" s="56">
        <v>3.7333333333333334</v>
      </c>
      <c r="S8" s="56">
        <v>3.6</v>
      </c>
      <c r="T8" s="56">
        <v>3.5333333333333332</v>
      </c>
      <c r="U8" s="56">
        <v>3.4</v>
      </c>
      <c r="V8" s="56">
        <v>3.3333333333333335</v>
      </c>
      <c r="W8" s="56">
        <v>3.2</v>
      </c>
      <c r="X8" s="56">
        <v>3</v>
      </c>
      <c r="Y8" s="65" t="s">
        <v>16</v>
      </c>
    </row>
    <row r="9" spans="1:27" x14ac:dyDescent="0.45">
      <c r="A9" s="51"/>
      <c r="B9" s="52">
        <v>11</v>
      </c>
      <c r="C9" s="55">
        <v>143</v>
      </c>
      <c r="D9" s="56">
        <v>4.7333333333333334</v>
      </c>
      <c r="E9" s="56">
        <v>4.5333333333333332</v>
      </c>
      <c r="F9" s="56">
        <v>4.4000000000000004</v>
      </c>
      <c r="G9" s="56">
        <v>4.333333333333333</v>
      </c>
      <c r="H9" s="56">
        <v>4.2</v>
      </c>
      <c r="I9" s="56">
        <v>4.1333333333333337</v>
      </c>
      <c r="J9" s="56">
        <v>4</v>
      </c>
      <c r="K9" s="56">
        <v>3.8</v>
      </c>
      <c r="L9" s="57" t="s">
        <v>9</v>
      </c>
      <c r="M9" s="53"/>
      <c r="N9" s="51"/>
      <c r="O9" s="52">
        <v>11</v>
      </c>
      <c r="P9" s="55">
        <v>187</v>
      </c>
      <c r="Q9" s="56">
        <v>6.2</v>
      </c>
      <c r="R9" s="56">
        <v>6</v>
      </c>
      <c r="S9" s="56">
        <v>5.8666666666666663</v>
      </c>
      <c r="T9" s="56">
        <v>5.8</v>
      </c>
      <c r="U9" s="56">
        <v>5.666666666666667</v>
      </c>
      <c r="V9" s="56">
        <v>5.6</v>
      </c>
      <c r="W9" s="56">
        <v>5.4666666666666668</v>
      </c>
      <c r="X9" s="56">
        <v>5.2666666666666666</v>
      </c>
      <c r="Y9" s="65" t="s">
        <v>17</v>
      </c>
    </row>
    <row r="10" spans="1:27" x14ac:dyDescent="0.45">
      <c r="A10" s="51"/>
      <c r="B10" s="52">
        <v>13</v>
      </c>
      <c r="C10" s="55">
        <v>169</v>
      </c>
      <c r="D10" s="56">
        <v>5.6</v>
      </c>
      <c r="E10" s="56">
        <v>5.4</v>
      </c>
      <c r="F10" s="56">
        <v>5.2666666666666666</v>
      </c>
      <c r="G10" s="56">
        <v>5.2</v>
      </c>
      <c r="H10" s="56">
        <v>5.0666666666666664</v>
      </c>
      <c r="I10" s="56">
        <v>5</v>
      </c>
      <c r="J10" s="56">
        <v>4.8666666666666663</v>
      </c>
      <c r="K10" s="56">
        <v>4.666666666666667</v>
      </c>
      <c r="L10" s="57" t="s">
        <v>10</v>
      </c>
      <c r="M10" s="53"/>
      <c r="N10" s="51"/>
      <c r="O10" s="52">
        <v>13</v>
      </c>
      <c r="P10" s="55">
        <v>221</v>
      </c>
      <c r="Q10" s="56">
        <v>7.333333333333333</v>
      </c>
      <c r="R10" s="56">
        <v>7.1333333333333337</v>
      </c>
      <c r="S10" s="56">
        <v>7</v>
      </c>
      <c r="T10" s="56">
        <v>6.9333333333333336</v>
      </c>
      <c r="U10" s="56">
        <v>6.8</v>
      </c>
      <c r="V10" s="56">
        <v>6.7333333333333334</v>
      </c>
      <c r="W10" s="56">
        <v>6.6</v>
      </c>
      <c r="X10" s="56">
        <v>6.4</v>
      </c>
      <c r="Y10" s="65" t="s">
        <v>11</v>
      </c>
    </row>
    <row r="11" spans="1:27" x14ac:dyDescent="0.45">
      <c r="A11" s="51"/>
      <c r="B11" s="52">
        <v>17</v>
      </c>
      <c r="C11" s="55">
        <v>221</v>
      </c>
      <c r="D11" s="56">
        <v>7.333333333333333</v>
      </c>
      <c r="E11" s="56">
        <v>7.1333333333333337</v>
      </c>
      <c r="F11" s="56">
        <v>7</v>
      </c>
      <c r="G11" s="56">
        <v>6.9333333333333336</v>
      </c>
      <c r="H11" s="56">
        <v>6.8</v>
      </c>
      <c r="I11" s="56">
        <v>6.7333333333333334</v>
      </c>
      <c r="J11" s="56">
        <v>6.6</v>
      </c>
      <c r="K11" s="56">
        <v>6.4</v>
      </c>
      <c r="L11" s="57" t="s">
        <v>11</v>
      </c>
      <c r="M11" s="53"/>
      <c r="N11" s="51"/>
      <c r="O11" s="52">
        <v>17</v>
      </c>
      <c r="P11" s="55">
        <v>289</v>
      </c>
      <c r="Q11" s="56">
        <v>9.6</v>
      </c>
      <c r="R11" s="56">
        <v>9.4</v>
      </c>
      <c r="S11" s="56">
        <v>9.2666666666666675</v>
      </c>
      <c r="T11" s="56">
        <v>9.1999999999999993</v>
      </c>
      <c r="U11" s="56">
        <v>9.0666666666666664</v>
      </c>
      <c r="V11" s="56">
        <v>9</v>
      </c>
      <c r="W11" s="56">
        <v>8.8666666666666671</v>
      </c>
      <c r="X11" s="56">
        <v>8.6666666666666661</v>
      </c>
      <c r="Y11" s="65" t="s">
        <v>18</v>
      </c>
    </row>
    <row r="12" spans="1:27" x14ac:dyDescent="0.45">
      <c r="A12" s="51"/>
      <c r="B12" s="52">
        <v>19</v>
      </c>
      <c r="C12" s="55">
        <v>247</v>
      </c>
      <c r="D12" s="56">
        <v>8.1999999999999993</v>
      </c>
      <c r="E12" s="56">
        <v>8</v>
      </c>
      <c r="F12" s="56">
        <v>7.8666666666666663</v>
      </c>
      <c r="G12" s="56">
        <v>7.8</v>
      </c>
      <c r="H12" s="56">
        <v>7.666666666666667</v>
      </c>
      <c r="I12" s="56">
        <v>7.6</v>
      </c>
      <c r="J12" s="56">
        <v>7.4666666666666668</v>
      </c>
      <c r="K12" s="56">
        <v>7.2666666666666666</v>
      </c>
      <c r="L12" s="57" t="s">
        <v>12</v>
      </c>
      <c r="M12" s="53"/>
      <c r="N12" s="51"/>
      <c r="O12" s="52">
        <v>19</v>
      </c>
      <c r="P12" s="55">
        <v>323</v>
      </c>
      <c r="Q12" s="56">
        <v>10.733333333333333</v>
      </c>
      <c r="R12" s="56">
        <v>10.533333333333333</v>
      </c>
      <c r="S12" s="56">
        <v>10.4</v>
      </c>
      <c r="T12" s="56">
        <v>10.333333333333334</v>
      </c>
      <c r="U12" s="56">
        <v>10.199999999999999</v>
      </c>
      <c r="V12" s="56">
        <v>10.133333333333333</v>
      </c>
      <c r="W12" s="56">
        <v>10</v>
      </c>
      <c r="X12" s="56">
        <v>9.8000000000000007</v>
      </c>
      <c r="Y12" s="65" t="s">
        <v>19</v>
      </c>
    </row>
    <row r="13" spans="1:27" x14ac:dyDescent="0.45">
      <c r="A13" s="51"/>
      <c r="B13" s="52">
        <v>23</v>
      </c>
      <c r="C13" s="55">
        <v>299</v>
      </c>
      <c r="D13" s="56">
        <v>9.9333333333333336</v>
      </c>
      <c r="E13" s="56">
        <v>9.7333333333333325</v>
      </c>
      <c r="F13" s="56">
        <v>9.6</v>
      </c>
      <c r="G13" s="56">
        <v>9.5333333333333332</v>
      </c>
      <c r="H13" s="56">
        <v>9.4</v>
      </c>
      <c r="I13" s="56">
        <v>9.3333333333333339</v>
      </c>
      <c r="J13" s="56">
        <v>9.1999999999999993</v>
      </c>
      <c r="K13" s="56">
        <v>9</v>
      </c>
      <c r="L13" s="57" t="s">
        <v>13</v>
      </c>
      <c r="M13" s="53"/>
      <c r="N13" s="51"/>
      <c r="O13" s="52">
        <v>23</v>
      </c>
      <c r="P13" s="55">
        <v>391</v>
      </c>
      <c r="Q13" s="56">
        <v>13</v>
      </c>
      <c r="R13" s="56">
        <v>12.8</v>
      </c>
      <c r="S13" s="56">
        <v>12.666666666666666</v>
      </c>
      <c r="T13" s="56">
        <v>12.6</v>
      </c>
      <c r="U13" s="56">
        <v>12.466666666666667</v>
      </c>
      <c r="V13" s="56">
        <v>12.4</v>
      </c>
      <c r="W13" s="56">
        <v>12.266666666666667</v>
      </c>
      <c r="X13" s="56">
        <v>12.066666666666666</v>
      </c>
      <c r="Y13" s="65" t="s">
        <v>20</v>
      </c>
    </row>
    <row r="14" spans="1:27" ht="19.2" thickBot="1" x14ac:dyDescent="0.5">
      <c r="A14" s="58"/>
      <c r="B14" s="59">
        <v>29</v>
      </c>
      <c r="C14" s="60">
        <v>377</v>
      </c>
      <c r="D14" s="61">
        <v>12.533333333333333</v>
      </c>
      <c r="E14" s="61">
        <v>12.333333333333334</v>
      </c>
      <c r="F14" s="61">
        <v>12.2</v>
      </c>
      <c r="G14" s="61">
        <v>12.133333333333333</v>
      </c>
      <c r="H14" s="61">
        <v>12</v>
      </c>
      <c r="I14" s="61">
        <v>11.933333333333334</v>
      </c>
      <c r="J14" s="61">
        <v>11.8</v>
      </c>
      <c r="K14" s="61">
        <v>11.6</v>
      </c>
      <c r="L14" s="62" t="s">
        <v>14</v>
      </c>
      <c r="M14" s="63"/>
      <c r="N14" s="58"/>
      <c r="O14" s="59">
        <v>29</v>
      </c>
      <c r="P14" s="60">
        <v>493</v>
      </c>
      <c r="Q14" s="61">
        <v>16.399999999999999</v>
      </c>
      <c r="R14" s="61">
        <v>16.2</v>
      </c>
      <c r="S14" s="61">
        <v>16.066666666666666</v>
      </c>
      <c r="T14" s="61">
        <v>16</v>
      </c>
      <c r="U14" s="61">
        <v>15.866666666666667</v>
      </c>
      <c r="V14" s="61">
        <v>15.8</v>
      </c>
      <c r="W14" s="61">
        <v>15.666666666666666</v>
      </c>
      <c r="X14" s="61">
        <v>15.466666666666667</v>
      </c>
      <c r="Y14" s="66" t="s">
        <v>21</v>
      </c>
    </row>
  </sheetData>
  <conditionalFormatting sqref="E7:K7">
    <cfRule type="expression" dxfId="55" priority="8">
      <formula>MOD(E7,1)=0</formula>
    </cfRule>
  </conditionalFormatting>
  <conditionalFormatting sqref="R7:X7">
    <cfRule type="expression" dxfId="54" priority="1">
      <formula>MOD(R7,1)=0</formula>
    </cfRule>
  </conditionalFormatting>
  <conditionalFormatting sqref="D8:K14">
    <cfRule type="expression" dxfId="53" priority="14">
      <formula>MOD(D8,1)=0</formula>
    </cfRule>
  </conditionalFormatting>
  <conditionalFormatting sqref="C5">
    <cfRule type="expression" dxfId="52" priority="12">
      <formula>$C$4="NOT PRIME"</formula>
    </cfRule>
    <cfRule type="expression" dxfId="51" priority="13">
      <formula>$C$4="PRIME"</formula>
    </cfRule>
  </conditionalFormatting>
  <conditionalFormatting sqref="D7">
    <cfRule type="expression" dxfId="50" priority="11">
      <formula>MOD(D7,1)=0</formula>
    </cfRule>
  </conditionalFormatting>
  <conditionalFormatting sqref="D7">
    <cfRule type="expression" dxfId="49" priority="10">
      <formula>MOD(D7,1)=0</formula>
    </cfRule>
  </conditionalFormatting>
  <conditionalFormatting sqref="E7:K7">
    <cfRule type="expression" dxfId="48" priority="9">
      <formula>MOD(E7,1)=0</formula>
    </cfRule>
  </conditionalFormatting>
  <conditionalFormatting sqref="Q8:X14">
    <cfRule type="expression" dxfId="47" priority="7">
      <formula>MOD(Q8,1)=0</formula>
    </cfRule>
  </conditionalFormatting>
  <conditionalFormatting sqref="P5">
    <cfRule type="expression" dxfId="46" priority="5">
      <formula>$E$4="NOT PRIME"</formula>
    </cfRule>
    <cfRule type="expression" dxfId="45" priority="6">
      <formula>$E$4="PRIME"</formula>
    </cfRule>
  </conditionalFormatting>
  <conditionalFormatting sqref="Q7">
    <cfRule type="expression" dxfId="44" priority="4">
      <formula>MOD(Q7,1)=0</formula>
    </cfRule>
  </conditionalFormatting>
  <conditionalFormatting sqref="Q7">
    <cfRule type="expression" dxfId="43" priority="3">
      <formula>MOD(Q7,1)=0</formula>
    </cfRule>
  </conditionalFormatting>
  <conditionalFormatting sqref="R7:X7">
    <cfRule type="expression" dxfId="42" priority="2">
      <formula>MOD(R7,1)=0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5995-FB57-46A9-A360-7BDC229B15D5}">
  <sheetPr codeName="Sheet30">
    <tabColor theme="5"/>
  </sheetPr>
  <dimension ref="A1:AQ134"/>
  <sheetViews>
    <sheetView showGridLines="0" zoomScale="60" zoomScaleNormal="60" workbookViewId="0">
      <selection activeCell="E4" sqref="E4"/>
    </sheetView>
  </sheetViews>
  <sheetFormatPr defaultColWidth="6.15234375" defaultRowHeight="18.600000000000001" x14ac:dyDescent="0.45"/>
  <cols>
    <col min="1" max="1" width="7.61328125" style="5" customWidth="1"/>
    <col min="2" max="2" width="2.53515625" style="3" customWidth="1"/>
    <col min="3" max="4" width="4.3046875" style="3" customWidth="1"/>
    <col min="5" max="5" width="10.61328125" style="4" bestFit="1" customWidth="1"/>
    <col min="6" max="6" width="3.23046875" style="4" customWidth="1"/>
    <col min="7" max="34" width="3.23046875" style="3" customWidth="1"/>
    <col min="35" max="35" width="2.3046875" style="3" customWidth="1"/>
    <col min="36" max="36" width="57.61328125" style="3" customWidth="1"/>
    <col min="37" max="16384" width="6.15234375" style="1"/>
  </cols>
  <sheetData>
    <row r="1" spans="1:43" ht="40.049999999999997" customHeight="1" x14ac:dyDescent="0.45">
      <c r="A1" s="7" t="str" cm="1">
        <f t="array" aca="1" ref="A1" ca="1">MID(CELL("filename",A1),FIND("]",CELL("filename",A1))+1,255)</f>
        <v>0381 Snap In All old</v>
      </c>
      <c r="B1" s="8" t="str" cm="1">
        <f t="array" aca="1" ref="B1" ca="1">MID(CELL("filename"),SEARCH("[",CELL("filename"))+1,SEARCH(".",CELL("filename"))-1-SEARCH("[",CELL("filename")))</f>
        <v>Tio Cash Master 0380 Snap In Calculation</v>
      </c>
      <c r="C1" s="8"/>
      <c r="D1" s="8"/>
      <c r="E1" s="9"/>
      <c r="F1" s="9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10"/>
      <c r="AL1" s="10"/>
      <c r="AM1" s="10"/>
      <c r="AN1" s="10"/>
      <c r="AO1" s="10"/>
      <c r="AP1" s="10"/>
      <c r="AQ1" s="10"/>
    </row>
    <row r="2" spans="1:43" ht="19.2" thickBot="1" x14ac:dyDescent="0.5">
      <c r="A2" s="11"/>
      <c r="B2" s="8"/>
      <c r="C2" s="8"/>
      <c r="D2" s="8"/>
      <c r="E2" s="9"/>
      <c r="F2" s="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10"/>
      <c r="AL2" s="10"/>
      <c r="AM2" s="10"/>
      <c r="AN2" s="10"/>
      <c r="AO2" s="10"/>
      <c r="AP2" s="10"/>
      <c r="AQ2" s="10"/>
    </row>
    <row r="3" spans="1:43" ht="19.2" thickBot="1" x14ac:dyDescent="0.5">
      <c r="A3" s="11"/>
      <c r="B3" s="8"/>
      <c r="C3" s="8"/>
      <c r="D3" s="8"/>
      <c r="E3" s="12" t="s">
        <v>0</v>
      </c>
      <c r="F3" s="13" t="s">
        <v>1</v>
      </c>
      <c r="G3" s="14"/>
      <c r="H3" s="14"/>
      <c r="I3" s="14"/>
      <c r="J3" s="14"/>
      <c r="K3" s="14"/>
      <c r="L3" s="15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10"/>
      <c r="AL3" s="10"/>
      <c r="AM3" s="10"/>
      <c r="AN3" s="10"/>
      <c r="AO3" s="10"/>
      <c r="AP3" s="10"/>
      <c r="AQ3" s="10"/>
    </row>
    <row r="4" spans="1:43" ht="19.2" thickBot="1" x14ac:dyDescent="0.5">
      <c r="A4" s="11"/>
      <c r="B4" s="8"/>
      <c r="C4" s="8"/>
      <c r="D4" s="8"/>
      <c r="E4" s="6">
        <v>5</v>
      </c>
      <c r="F4" s="16" t="str">
        <f>FactorNumber(E4)</f>
        <v>1,5</v>
      </c>
      <c r="G4" s="17"/>
      <c r="H4" s="17"/>
      <c r="I4" s="17"/>
      <c r="J4" s="17"/>
      <c r="K4" s="17"/>
      <c r="L4" s="1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10"/>
      <c r="AL4" s="10"/>
      <c r="AM4" s="10"/>
      <c r="AN4" s="10"/>
      <c r="AO4" s="10"/>
      <c r="AP4" s="10"/>
      <c r="AQ4" s="10"/>
    </row>
    <row r="5" spans="1:43" ht="19.2" thickBot="1" x14ac:dyDescent="0.5">
      <c r="A5" s="11"/>
      <c r="B5" s="8"/>
      <c r="C5" s="8"/>
      <c r="D5" s="8"/>
      <c r="E5" s="19" t="str">
        <f>IF(LEN(F4)-LEN(SUBSTITUTE(F4,",",""))=1,"PRIME","NOT PRIME")</f>
        <v>PRIME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10"/>
      <c r="AL5" s="10"/>
      <c r="AM5" s="10"/>
      <c r="AN5" s="10"/>
      <c r="AO5" s="10"/>
      <c r="AP5" s="10"/>
      <c r="AQ5" s="10"/>
    </row>
    <row r="6" spans="1:43" ht="19.8" thickTop="1" thickBot="1" x14ac:dyDescent="0.5">
      <c r="A6" s="11"/>
      <c r="B6" s="8"/>
      <c r="C6" s="8"/>
      <c r="D6" s="8"/>
      <c r="E6" s="20">
        <f>E4</f>
        <v>5</v>
      </c>
      <c r="F6" s="21" t="s">
        <v>4</v>
      </c>
      <c r="G6" s="22">
        <v>2</v>
      </c>
      <c r="H6" s="22">
        <v>3</v>
      </c>
      <c r="I6" s="22">
        <v>4</v>
      </c>
      <c r="J6" s="22">
        <v>5</v>
      </c>
      <c r="K6" s="22">
        <v>6</v>
      </c>
      <c r="L6" s="22">
        <v>7</v>
      </c>
      <c r="M6" s="22">
        <v>8</v>
      </c>
      <c r="N6" s="22">
        <v>9</v>
      </c>
      <c r="O6" s="22">
        <v>10</v>
      </c>
      <c r="P6" s="22">
        <v>11</v>
      </c>
      <c r="Q6" s="22">
        <v>12</v>
      </c>
      <c r="R6" s="22">
        <v>13</v>
      </c>
      <c r="S6" s="22">
        <v>14</v>
      </c>
      <c r="T6" s="22">
        <v>15</v>
      </c>
      <c r="U6" s="22">
        <v>16</v>
      </c>
      <c r="V6" s="22">
        <v>17</v>
      </c>
      <c r="W6" s="22">
        <v>18</v>
      </c>
      <c r="X6" s="22">
        <v>19</v>
      </c>
      <c r="Y6" s="22">
        <v>20</v>
      </c>
      <c r="Z6" s="22">
        <v>21</v>
      </c>
      <c r="AA6" s="22">
        <v>22</v>
      </c>
      <c r="AB6" s="22">
        <v>23</v>
      </c>
      <c r="AC6" s="22">
        <v>24</v>
      </c>
      <c r="AD6" s="22">
        <v>25</v>
      </c>
      <c r="AE6" s="22">
        <v>26</v>
      </c>
      <c r="AF6" s="22">
        <v>27</v>
      </c>
      <c r="AG6" s="22">
        <v>28</v>
      </c>
      <c r="AH6" s="22">
        <v>29</v>
      </c>
      <c r="AI6" s="8"/>
      <c r="AJ6" s="8" t="s">
        <v>2</v>
      </c>
      <c r="AK6" s="10"/>
      <c r="AL6" s="10"/>
      <c r="AM6" s="10"/>
      <c r="AN6" s="10"/>
      <c r="AO6" s="10"/>
      <c r="AP6" s="10"/>
      <c r="AQ6" s="10"/>
    </row>
    <row r="7" spans="1:43" x14ac:dyDescent="0.45">
      <c r="A7" s="11"/>
      <c r="B7" s="8"/>
      <c r="C7" s="8"/>
      <c r="D7" s="8">
        <v>0</v>
      </c>
      <c r="E7" s="9">
        <f>D7*$E$6</f>
        <v>0</v>
      </c>
      <c r="F7" s="23">
        <f>(E7-1)/30</f>
        <v>-3.3333333333333333E-2</v>
      </c>
      <c r="G7" s="23">
        <f>(E7-2)/30</f>
        <v>-6.6666666666666666E-2</v>
      </c>
      <c r="H7" s="23">
        <f>(E7-3)/30</f>
        <v>-0.1</v>
      </c>
      <c r="I7" s="23">
        <f>(E7-4)/30</f>
        <v>-0.13333333333333333</v>
      </c>
      <c r="J7" s="23">
        <f>(E7-5)/30</f>
        <v>-0.16666666666666666</v>
      </c>
      <c r="K7" s="23">
        <f>($E7-6)/30</f>
        <v>-0.2</v>
      </c>
      <c r="L7" s="23">
        <f>($E7-7)/30</f>
        <v>-0.23333333333333334</v>
      </c>
      <c r="M7" s="23">
        <f>($E7-8)/30</f>
        <v>-0.26666666666666666</v>
      </c>
      <c r="N7" s="23">
        <f>($E7-9)/30</f>
        <v>-0.3</v>
      </c>
      <c r="O7" s="23">
        <f>($E7-10)/30</f>
        <v>-0.33333333333333331</v>
      </c>
      <c r="P7" s="23">
        <f>($E7-11)/30</f>
        <v>-0.36666666666666664</v>
      </c>
      <c r="Q7" s="23">
        <f>($E7-12)/30</f>
        <v>-0.4</v>
      </c>
      <c r="R7" s="23">
        <f>($E7-13)/30</f>
        <v>-0.43333333333333335</v>
      </c>
      <c r="S7" s="23">
        <f>($E7-14)/30</f>
        <v>-0.46666666666666667</v>
      </c>
      <c r="T7" s="23">
        <f>($E7-15)/30</f>
        <v>-0.5</v>
      </c>
      <c r="U7" s="23">
        <f>($E7-16)/30</f>
        <v>-0.53333333333333333</v>
      </c>
      <c r="V7" s="23">
        <f>($E7-17)/30</f>
        <v>-0.56666666666666665</v>
      </c>
      <c r="W7" s="23">
        <f>($E7-18)/30</f>
        <v>-0.6</v>
      </c>
      <c r="X7" s="23">
        <f>($E7-19)/30</f>
        <v>-0.6333333333333333</v>
      </c>
      <c r="Y7" s="23">
        <f>($E7-20)/30</f>
        <v>-0.66666666666666663</v>
      </c>
      <c r="Z7" s="23">
        <f>($E7-21)/30</f>
        <v>-0.7</v>
      </c>
      <c r="AA7" s="23">
        <f>($E7-22)/30</f>
        <v>-0.73333333333333328</v>
      </c>
      <c r="AB7" s="23">
        <f>($E7-23)/30</f>
        <v>-0.76666666666666672</v>
      </c>
      <c r="AC7" s="23">
        <f>($E7-24)/30</f>
        <v>-0.8</v>
      </c>
      <c r="AD7" s="23">
        <f>($E7-25)/30</f>
        <v>-0.83333333333333337</v>
      </c>
      <c r="AE7" s="23">
        <f>($E7-26)/30</f>
        <v>-0.8666666666666667</v>
      </c>
      <c r="AF7" s="23">
        <f>($E7-27)/30</f>
        <v>-0.9</v>
      </c>
      <c r="AG7" s="23">
        <f>($E7-28)/30</f>
        <v>-0.93333333333333335</v>
      </c>
      <c r="AH7" s="23">
        <f>($E7-29)/30</f>
        <v>-0.96666666666666667</v>
      </c>
      <c r="AI7" s="8"/>
      <c r="AJ7" s="24" t="str">
        <f>FactorNumber(E7)</f>
        <v/>
      </c>
      <c r="AK7" s="10"/>
      <c r="AL7" s="10"/>
      <c r="AM7" s="10"/>
      <c r="AN7" s="10"/>
      <c r="AO7" s="10"/>
      <c r="AP7" s="10"/>
      <c r="AQ7" s="10"/>
    </row>
    <row r="8" spans="1:43" x14ac:dyDescent="0.45">
      <c r="A8" s="11"/>
      <c r="B8" s="8"/>
      <c r="C8" s="8"/>
      <c r="D8" s="8">
        <v>1</v>
      </c>
      <c r="E8" s="9">
        <f>D8*$E$6</f>
        <v>5</v>
      </c>
      <c r="F8" s="23">
        <f t="shared" ref="F8:F36" si="0">(E8-1)/30</f>
        <v>0.13333333333333333</v>
      </c>
      <c r="G8" s="23">
        <f>(E8-2)/30</f>
        <v>0.1</v>
      </c>
      <c r="H8" s="23">
        <f>(E8-3)/30</f>
        <v>6.6666666666666666E-2</v>
      </c>
      <c r="I8" s="23">
        <f>(E8-4)/30</f>
        <v>3.3333333333333333E-2</v>
      </c>
      <c r="J8" s="23">
        <f>(E8-5)/30</f>
        <v>0</v>
      </c>
      <c r="K8" s="23">
        <f t="shared" ref="K8:K72" si="1">($E8-6)/30</f>
        <v>-3.3333333333333333E-2</v>
      </c>
      <c r="L8" s="23">
        <f>($E8-7)/30</f>
        <v>-6.6666666666666666E-2</v>
      </c>
      <c r="M8" s="23">
        <f>($E8-8)/30</f>
        <v>-0.1</v>
      </c>
      <c r="N8" s="23">
        <f>($E8-9)/30</f>
        <v>-0.13333333333333333</v>
      </c>
      <c r="O8" s="23">
        <f>($E8-10)/30</f>
        <v>-0.16666666666666666</v>
      </c>
      <c r="P8" s="23">
        <f>($E8-11)/30</f>
        <v>-0.2</v>
      </c>
      <c r="Q8" s="23">
        <f>($E8-12)/30</f>
        <v>-0.23333333333333334</v>
      </c>
      <c r="R8" s="23">
        <f>($E8-13)/30</f>
        <v>-0.26666666666666666</v>
      </c>
      <c r="S8" s="23">
        <f>($E8-14)/30</f>
        <v>-0.3</v>
      </c>
      <c r="T8" s="23">
        <f>($E8-15)/30</f>
        <v>-0.33333333333333331</v>
      </c>
      <c r="U8" s="23">
        <f>($E8-16)/30</f>
        <v>-0.36666666666666664</v>
      </c>
      <c r="V8" s="23">
        <f>($E8-17)/30</f>
        <v>-0.4</v>
      </c>
      <c r="W8" s="23">
        <f>($E8-18)/30</f>
        <v>-0.43333333333333335</v>
      </c>
      <c r="X8" s="23">
        <f>($E8-19)/30</f>
        <v>-0.46666666666666667</v>
      </c>
      <c r="Y8" s="23">
        <f>($E8-20)/30</f>
        <v>-0.5</v>
      </c>
      <c r="Z8" s="23">
        <f>($E8-21)/30</f>
        <v>-0.53333333333333333</v>
      </c>
      <c r="AA8" s="23">
        <f>($E8-22)/30</f>
        <v>-0.56666666666666665</v>
      </c>
      <c r="AB8" s="23">
        <f>($E8-23)/30</f>
        <v>-0.6</v>
      </c>
      <c r="AC8" s="23">
        <f>($E8-24)/30</f>
        <v>-0.6333333333333333</v>
      </c>
      <c r="AD8" s="23">
        <f>($E8-25)/30</f>
        <v>-0.66666666666666663</v>
      </c>
      <c r="AE8" s="23">
        <f>($E8-26)/30</f>
        <v>-0.7</v>
      </c>
      <c r="AF8" s="23">
        <f>($E8-27)/30</f>
        <v>-0.73333333333333328</v>
      </c>
      <c r="AG8" s="23">
        <f>($E8-28)/30</f>
        <v>-0.76666666666666672</v>
      </c>
      <c r="AH8" s="23">
        <f>($E8-29)/30</f>
        <v>-0.8</v>
      </c>
      <c r="AI8" s="8"/>
      <c r="AJ8" s="24" t="str">
        <f>FactorNumber(E8)</f>
        <v>1,5</v>
      </c>
      <c r="AK8" s="10"/>
      <c r="AL8" s="10"/>
      <c r="AM8" s="10"/>
      <c r="AN8" s="10"/>
      <c r="AO8" s="10"/>
      <c r="AP8" s="10"/>
      <c r="AQ8" s="10"/>
    </row>
    <row r="9" spans="1:43" x14ac:dyDescent="0.45">
      <c r="A9" s="11"/>
      <c r="B9" s="8"/>
      <c r="C9" s="8"/>
      <c r="D9" s="8">
        <v>2</v>
      </c>
      <c r="E9" s="9">
        <f>D9*$E$6</f>
        <v>10</v>
      </c>
      <c r="F9" s="23">
        <f t="shared" si="0"/>
        <v>0.3</v>
      </c>
      <c r="G9" s="23">
        <f>(E9-2)/30</f>
        <v>0.26666666666666666</v>
      </c>
      <c r="H9" s="23">
        <f t="shared" ref="H9:H36" si="2">(E9-3)/30</f>
        <v>0.23333333333333334</v>
      </c>
      <c r="I9" s="23">
        <f t="shared" ref="I9:I36" si="3">(E9-4)/30</f>
        <v>0.2</v>
      </c>
      <c r="J9" s="23">
        <f t="shared" ref="J9:J36" si="4">(E9-5)/30</f>
        <v>0.16666666666666666</v>
      </c>
      <c r="K9" s="23">
        <f t="shared" si="1"/>
        <v>0.13333333333333333</v>
      </c>
      <c r="L9" s="23">
        <f t="shared" ref="L9:L74" si="5">($E9-7)/30</f>
        <v>0.1</v>
      </c>
      <c r="M9" s="23">
        <f t="shared" ref="M9:M74" si="6">($E9-8)/30</f>
        <v>6.6666666666666666E-2</v>
      </c>
      <c r="N9" s="23">
        <f t="shared" ref="N9:N74" si="7">($E9-9)/30</f>
        <v>3.3333333333333333E-2</v>
      </c>
      <c r="O9" s="23">
        <f t="shared" ref="O9:O74" si="8">($E9-10)/30</f>
        <v>0</v>
      </c>
      <c r="P9" s="23">
        <f t="shared" ref="P9:P74" si="9">($E9-11)/30</f>
        <v>-3.3333333333333333E-2</v>
      </c>
      <c r="Q9" s="23">
        <f t="shared" ref="Q9:Q74" si="10">($E9-12)/30</f>
        <v>-6.6666666666666666E-2</v>
      </c>
      <c r="R9" s="23">
        <f t="shared" ref="R9:R74" si="11">($E9-13)/30</f>
        <v>-0.1</v>
      </c>
      <c r="S9" s="23">
        <f t="shared" ref="S9:S74" si="12">($E9-14)/30</f>
        <v>-0.13333333333333333</v>
      </c>
      <c r="T9" s="23">
        <f t="shared" ref="T9:T74" si="13">($E9-15)/30</f>
        <v>-0.16666666666666666</v>
      </c>
      <c r="U9" s="23">
        <f t="shared" ref="U9:U74" si="14">($E9-16)/30</f>
        <v>-0.2</v>
      </c>
      <c r="V9" s="23">
        <f t="shared" ref="V9:V74" si="15">($E9-17)/30</f>
        <v>-0.23333333333333334</v>
      </c>
      <c r="W9" s="23">
        <f t="shared" ref="W9:W74" si="16">($E9-18)/30</f>
        <v>-0.26666666666666666</v>
      </c>
      <c r="X9" s="23">
        <f t="shared" ref="X9:X74" si="17">($E9-19)/30</f>
        <v>-0.3</v>
      </c>
      <c r="Y9" s="23">
        <f t="shared" ref="Y9:Y74" si="18">($E9-20)/30</f>
        <v>-0.33333333333333331</v>
      </c>
      <c r="Z9" s="23">
        <f t="shared" ref="Z9:Z74" si="19">($E9-21)/30</f>
        <v>-0.36666666666666664</v>
      </c>
      <c r="AA9" s="23">
        <f t="shared" ref="AA9:AA74" si="20">($E9-22)/30</f>
        <v>-0.4</v>
      </c>
      <c r="AB9" s="23">
        <f t="shared" ref="AB9:AB74" si="21">($E9-23)/30</f>
        <v>-0.43333333333333335</v>
      </c>
      <c r="AC9" s="23">
        <f t="shared" ref="AC9:AC74" si="22">($E9-24)/30</f>
        <v>-0.46666666666666667</v>
      </c>
      <c r="AD9" s="23">
        <f t="shared" ref="AD9:AD74" si="23">($E9-25)/30</f>
        <v>-0.5</v>
      </c>
      <c r="AE9" s="23">
        <f t="shared" ref="AE9:AE74" si="24">($E9-26)/30</f>
        <v>-0.53333333333333333</v>
      </c>
      <c r="AF9" s="23">
        <f t="shared" ref="AF9:AF74" si="25">($E9-27)/30</f>
        <v>-0.56666666666666665</v>
      </c>
      <c r="AG9" s="23">
        <f t="shared" ref="AG9:AG74" si="26">($E9-28)/30</f>
        <v>-0.6</v>
      </c>
      <c r="AH9" s="23">
        <f t="shared" ref="AH9:AH74" si="27">($E9-29)/30</f>
        <v>-0.6333333333333333</v>
      </c>
      <c r="AI9" s="8"/>
      <c r="AJ9" s="24" t="str">
        <f>FactorNumber(E9)</f>
        <v>1,2,5,10</v>
      </c>
      <c r="AK9" s="10"/>
      <c r="AL9" s="10"/>
      <c r="AM9" s="10"/>
      <c r="AN9" s="10"/>
      <c r="AO9" s="10"/>
      <c r="AP9" s="10"/>
      <c r="AQ9" s="10"/>
    </row>
    <row r="10" spans="1:43" x14ac:dyDescent="0.45">
      <c r="A10" s="11"/>
      <c r="B10" s="8"/>
      <c r="C10" s="8"/>
      <c r="D10" s="8">
        <v>3</v>
      </c>
      <c r="E10" s="9">
        <f t="shared" ref="E10:E74" si="28">D10*$E$6</f>
        <v>15</v>
      </c>
      <c r="F10" s="23">
        <f t="shared" si="0"/>
        <v>0.46666666666666667</v>
      </c>
      <c r="G10" s="23">
        <f t="shared" ref="G10:G36" si="29">(E10-2)/30</f>
        <v>0.43333333333333335</v>
      </c>
      <c r="H10" s="23">
        <f t="shared" si="2"/>
        <v>0.4</v>
      </c>
      <c r="I10" s="23">
        <f t="shared" si="3"/>
        <v>0.36666666666666664</v>
      </c>
      <c r="J10" s="23">
        <f t="shared" si="4"/>
        <v>0.33333333333333331</v>
      </c>
      <c r="K10" s="23">
        <f t="shared" si="1"/>
        <v>0.3</v>
      </c>
      <c r="L10" s="23">
        <f t="shared" si="5"/>
        <v>0.26666666666666666</v>
      </c>
      <c r="M10" s="23">
        <f t="shared" si="6"/>
        <v>0.23333333333333334</v>
      </c>
      <c r="N10" s="23">
        <f t="shared" si="7"/>
        <v>0.2</v>
      </c>
      <c r="O10" s="23">
        <f t="shared" si="8"/>
        <v>0.16666666666666666</v>
      </c>
      <c r="P10" s="23">
        <f t="shared" si="9"/>
        <v>0.13333333333333333</v>
      </c>
      <c r="Q10" s="23">
        <f t="shared" si="10"/>
        <v>0.1</v>
      </c>
      <c r="R10" s="23">
        <f t="shared" si="11"/>
        <v>6.6666666666666666E-2</v>
      </c>
      <c r="S10" s="23">
        <f t="shared" si="12"/>
        <v>3.3333333333333333E-2</v>
      </c>
      <c r="T10" s="23">
        <f t="shared" si="13"/>
        <v>0</v>
      </c>
      <c r="U10" s="23">
        <f t="shared" si="14"/>
        <v>-3.3333333333333333E-2</v>
      </c>
      <c r="V10" s="23">
        <f t="shared" si="15"/>
        <v>-6.6666666666666666E-2</v>
      </c>
      <c r="W10" s="23">
        <f t="shared" si="16"/>
        <v>-0.1</v>
      </c>
      <c r="X10" s="23">
        <f t="shared" si="17"/>
        <v>-0.13333333333333333</v>
      </c>
      <c r="Y10" s="23">
        <f t="shared" si="18"/>
        <v>-0.16666666666666666</v>
      </c>
      <c r="Z10" s="23">
        <f t="shared" si="19"/>
        <v>-0.2</v>
      </c>
      <c r="AA10" s="23">
        <f t="shared" si="20"/>
        <v>-0.23333333333333334</v>
      </c>
      <c r="AB10" s="23">
        <f t="shared" si="21"/>
        <v>-0.26666666666666666</v>
      </c>
      <c r="AC10" s="23">
        <f t="shared" si="22"/>
        <v>-0.3</v>
      </c>
      <c r="AD10" s="23">
        <f t="shared" si="23"/>
        <v>-0.33333333333333331</v>
      </c>
      <c r="AE10" s="23">
        <f t="shared" si="24"/>
        <v>-0.36666666666666664</v>
      </c>
      <c r="AF10" s="23">
        <f t="shared" si="25"/>
        <v>-0.4</v>
      </c>
      <c r="AG10" s="23">
        <f t="shared" si="26"/>
        <v>-0.43333333333333335</v>
      </c>
      <c r="AH10" s="23">
        <f t="shared" si="27"/>
        <v>-0.46666666666666667</v>
      </c>
      <c r="AI10" s="8"/>
      <c r="AJ10" s="24" t="str">
        <f t="shared" ref="AJ10:AJ36" si="30">FactorNumber(E10)</f>
        <v>1,3,5,15</v>
      </c>
      <c r="AK10" s="10"/>
      <c r="AL10" s="10"/>
      <c r="AM10" s="10"/>
      <c r="AN10" s="10"/>
      <c r="AO10" s="10"/>
      <c r="AP10" s="10"/>
      <c r="AQ10" s="10"/>
    </row>
    <row r="11" spans="1:43" x14ac:dyDescent="0.45">
      <c r="A11" s="11"/>
      <c r="B11" s="8"/>
      <c r="C11" s="8"/>
      <c r="D11" s="8">
        <v>4</v>
      </c>
      <c r="E11" s="9">
        <f t="shared" si="28"/>
        <v>20</v>
      </c>
      <c r="F11" s="23">
        <f t="shared" si="0"/>
        <v>0.6333333333333333</v>
      </c>
      <c r="G11" s="23">
        <f t="shared" si="29"/>
        <v>0.6</v>
      </c>
      <c r="H11" s="23">
        <f t="shared" si="2"/>
        <v>0.56666666666666665</v>
      </c>
      <c r="I11" s="23">
        <f t="shared" si="3"/>
        <v>0.53333333333333333</v>
      </c>
      <c r="J11" s="23">
        <f t="shared" si="4"/>
        <v>0.5</v>
      </c>
      <c r="K11" s="23">
        <f t="shared" si="1"/>
        <v>0.46666666666666667</v>
      </c>
      <c r="L11" s="23">
        <f t="shared" si="5"/>
        <v>0.43333333333333335</v>
      </c>
      <c r="M11" s="23">
        <f t="shared" si="6"/>
        <v>0.4</v>
      </c>
      <c r="N11" s="23">
        <f t="shared" si="7"/>
        <v>0.36666666666666664</v>
      </c>
      <c r="O11" s="23">
        <f t="shared" si="8"/>
        <v>0.33333333333333331</v>
      </c>
      <c r="P11" s="23">
        <f t="shared" si="9"/>
        <v>0.3</v>
      </c>
      <c r="Q11" s="23">
        <f t="shared" si="10"/>
        <v>0.26666666666666666</v>
      </c>
      <c r="R11" s="23">
        <f t="shared" si="11"/>
        <v>0.23333333333333334</v>
      </c>
      <c r="S11" s="23">
        <f t="shared" si="12"/>
        <v>0.2</v>
      </c>
      <c r="T11" s="23">
        <f t="shared" si="13"/>
        <v>0.16666666666666666</v>
      </c>
      <c r="U11" s="23">
        <f t="shared" si="14"/>
        <v>0.13333333333333333</v>
      </c>
      <c r="V11" s="23">
        <f t="shared" si="15"/>
        <v>0.1</v>
      </c>
      <c r="W11" s="23">
        <f t="shared" si="16"/>
        <v>6.6666666666666666E-2</v>
      </c>
      <c r="X11" s="23">
        <f t="shared" si="17"/>
        <v>3.3333333333333333E-2</v>
      </c>
      <c r="Y11" s="23">
        <f t="shared" si="18"/>
        <v>0</v>
      </c>
      <c r="Z11" s="23">
        <f t="shared" si="19"/>
        <v>-3.3333333333333333E-2</v>
      </c>
      <c r="AA11" s="23">
        <f t="shared" si="20"/>
        <v>-6.6666666666666666E-2</v>
      </c>
      <c r="AB11" s="23">
        <f t="shared" si="21"/>
        <v>-0.1</v>
      </c>
      <c r="AC11" s="23">
        <f t="shared" si="22"/>
        <v>-0.13333333333333333</v>
      </c>
      <c r="AD11" s="23">
        <f t="shared" si="23"/>
        <v>-0.16666666666666666</v>
      </c>
      <c r="AE11" s="23">
        <f t="shared" si="24"/>
        <v>-0.2</v>
      </c>
      <c r="AF11" s="23">
        <f t="shared" si="25"/>
        <v>-0.23333333333333334</v>
      </c>
      <c r="AG11" s="23">
        <f t="shared" si="26"/>
        <v>-0.26666666666666666</v>
      </c>
      <c r="AH11" s="23">
        <f t="shared" si="27"/>
        <v>-0.3</v>
      </c>
      <c r="AI11" s="8"/>
      <c r="AJ11" s="24" t="str">
        <f t="shared" si="30"/>
        <v>1,2,4,5,10,20</v>
      </c>
      <c r="AK11" s="10"/>
      <c r="AL11" s="10"/>
      <c r="AM11" s="10"/>
      <c r="AN11" s="10"/>
      <c r="AO11" s="10"/>
      <c r="AP11" s="10"/>
      <c r="AQ11" s="10"/>
    </row>
    <row r="12" spans="1:43" x14ac:dyDescent="0.45">
      <c r="A12" s="11"/>
      <c r="B12" s="8"/>
      <c r="C12" s="8"/>
      <c r="D12" s="8">
        <v>5</v>
      </c>
      <c r="E12" s="9">
        <f t="shared" si="28"/>
        <v>25</v>
      </c>
      <c r="F12" s="23">
        <f t="shared" si="0"/>
        <v>0.8</v>
      </c>
      <c r="G12" s="23">
        <f t="shared" si="29"/>
        <v>0.76666666666666672</v>
      </c>
      <c r="H12" s="23">
        <f t="shared" si="2"/>
        <v>0.73333333333333328</v>
      </c>
      <c r="I12" s="23">
        <f t="shared" si="3"/>
        <v>0.7</v>
      </c>
      <c r="J12" s="23">
        <f t="shared" si="4"/>
        <v>0.66666666666666663</v>
      </c>
      <c r="K12" s="23">
        <f t="shared" si="1"/>
        <v>0.6333333333333333</v>
      </c>
      <c r="L12" s="23">
        <f t="shared" si="5"/>
        <v>0.6</v>
      </c>
      <c r="M12" s="23">
        <f t="shared" si="6"/>
        <v>0.56666666666666665</v>
      </c>
      <c r="N12" s="23">
        <f t="shared" si="7"/>
        <v>0.53333333333333333</v>
      </c>
      <c r="O12" s="23">
        <f t="shared" si="8"/>
        <v>0.5</v>
      </c>
      <c r="P12" s="23">
        <f t="shared" si="9"/>
        <v>0.46666666666666667</v>
      </c>
      <c r="Q12" s="23">
        <f t="shared" si="10"/>
        <v>0.43333333333333335</v>
      </c>
      <c r="R12" s="23">
        <f t="shared" si="11"/>
        <v>0.4</v>
      </c>
      <c r="S12" s="23">
        <f t="shared" si="12"/>
        <v>0.36666666666666664</v>
      </c>
      <c r="T12" s="23">
        <f t="shared" si="13"/>
        <v>0.33333333333333331</v>
      </c>
      <c r="U12" s="23">
        <f t="shared" si="14"/>
        <v>0.3</v>
      </c>
      <c r="V12" s="23">
        <f t="shared" si="15"/>
        <v>0.26666666666666666</v>
      </c>
      <c r="W12" s="23">
        <f t="shared" si="16"/>
        <v>0.23333333333333334</v>
      </c>
      <c r="X12" s="23">
        <f t="shared" si="17"/>
        <v>0.2</v>
      </c>
      <c r="Y12" s="23">
        <f t="shared" si="18"/>
        <v>0.16666666666666666</v>
      </c>
      <c r="Z12" s="23">
        <f t="shared" si="19"/>
        <v>0.13333333333333333</v>
      </c>
      <c r="AA12" s="23">
        <f t="shared" si="20"/>
        <v>0.1</v>
      </c>
      <c r="AB12" s="23">
        <f t="shared" si="21"/>
        <v>6.6666666666666666E-2</v>
      </c>
      <c r="AC12" s="23">
        <f t="shared" si="22"/>
        <v>3.3333333333333333E-2</v>
      </c>
      <c r="AD12" s="23">
        <f t="shared" si="23"/>
        <v>0</v>
      </c>
      <c r="AE12" s="23">
        <f t="shared" si="24"/>
        <v>-3.3333333333333333E-2</v>
      </c>
      <c r="AF12" s="23">
        <f t="shared" si="25"/>
        <v>-6.6666666666666666E-2</v>
      </c>
      <c r="AG12" s="23">
        <f t="shared" si="26"/>
        <v>-0.1</v>
      </c>
      <c r="AH12" s="23">
        <f t="shared" si="27"/>
        <v>-0.13333333333333333</v>
      </c>
      <c r="AI12" s="8"/>
      <c r="AJ12" s="24" t="str">
        <f t="shared" si="30"/>
        <v>1,5,25</v>
      </c>
      <c r="AK12" s="10"/>
      <c r="AL12" s="10"/>
      <c r="AM12" s="10"/>
      <c r="AN12" s="10"/>
      <c r="AO12" s="10"/>
      <c r="AP12" s="10"/>
      <c r="AQ12" s="10"/>
    </row>
    <row r="13" spans="1:43" x14ac:dyDescent="0.45">
      <c r="A13" s="11"/>
      <c r="B13" s="8"/>
      <c r="C13" s="8"/>
      <c r="D13" s="8">
        <v>6</v>
      </c>
      <c r="E13" s="9">
        <f t="shared" si="28"/>
        <v>30</v>
      </c>
      <c r="F13" s="23">
        <f t="shared" si="0"/>
        <v>0.96666666666666667</v>
      </c>
      <c r="G13" s="23">
        <f t="shared" si="29"/>
        <v>0.93333333333333335</v>
      </c>
      <c r="H13" s="23">
        <f t="shared" si="2"/>
        <v>0.9</v>
      </c>
      <c r="I13" s="23">
        <f t="shared" si="3"/>
        <v>0.8666666666666667</v>
      </c>
      <c r="J13" s="23">
        <f t="shared" si="4"/>
        <v>0.83333333333333337</v>
      </c>
      <c r="K13" s="23">
        <f t="shared" si="1"/>
        <v>0.8</v>
      </c>
      <c r="L13" s="23">
        <f t="shared" si="5"/>
        <v>0.76666666666666672</v>
      </c>
      <c r="M13" s="23">
        <f t="shared" si="6"/>
        <v>0.73333333333333328</v>
      </c>
      <c r="N13" s="23">
        <f t="shared" si="7"/>
        <v>0.7</v>
      </c>
      <c r="O13" s="23">
        <f t="shared" si="8"/>
        <v>0.66666666666666663</v>
      </c>
      <c r="P13" s="23">
        <f t="shared" si="9"/>
        <v>0.6333333333333333</v>
      </c>
      <c r="Q13" s="23">
        <f t="shared" si="10"/>
        <v>0.6</v>
      </c>
      <c r="R13" s="23">
        <f t="shared" si="11"/>
        <v>0.56666666666666665</v>
      </c>
      <c r="S13" s="23">
        <f t="shared" si="12"/>
        <v>0.53333333333333333</v>
      </c>
      <c r="T13" s="23">
        <f t="shared" si="13"/>
        <v>0.5</v>
      </c>
      <c r="U13" s="23">
        <f t="shared" si="14"/>
        <v>0.46666666666666667</v>
      </c>
      <c r="V13" s="23">
        <f t="shared" si="15"/>
        <v>0.43333333333333335</v>
      </c>
      <c r="W13" s="23">
        <f t="shared" si="16"/>
        <v>0.4</v>
      </c>
      <c r="X13" s="23">
        <f t="shared" si="17"/>
        <v>0.36666666666666664</v>
      </c>
      <c r="Y13" s="23">
        <f t="shared" si="18"/>
        <v>0.33333333333333331</v>
      </c>
      <c r="Z13" s="23">
        <f t="shared" si="19"/>
        <v>0.3</v>
      </c>
      <c r="AA13" s="23">
        <f t="shared" si="20"/>
        <v>0.26666666666666666</v>
      </c>
      <c r="AB13" s="23">
        <f t="shared" si="21"/>
        <v>0.23333333333333334</v>
      </c>
      <c r="AC13" s="23">
        <f t="shared" si="22"/>
        <v>0.2</v>
      </c>
      <c r="AD13" s="23">
        <f t="shared" si="23"/>
        <v>0.16666666666666666</v>
      </c>
      <c r="AE13" s="23">
        <f t="shared" si="24"/>
        <v>0.13333333333333333</v>
      </c>
      <c r="AF13" s="23">
        <f t="shared" si="25"/>
        <v>0.1</v>
      </c>
      <c r="AG13" s="23">
        <f t="shared" si="26"/>
        <v>6.6666666666666666E-2</v>
      </c>
      <c r="AH13" s="23">
        <f t="shared" si="27"/>
        <v>3.3333333333333333E-2</v>
      </c>
      <c r="AI13" s="8"/>
      <c r="AJ13" s="24" t="str">
        <f t="shared" si="30"/>
        <v>1,2,3,5,6,10,15,30</v>
      </c>
      <c r="AK13" s="10"/>
      <c r="AL13" s="10"/>
      <c r="AM13" s="10"/>
      <c r="AN13" s="10"/>
      <c r="AO13" s="10"/>
      <c r="AP13" s="10"/>
      <c r="AQ13" s="10"/>
    </row>
    <row r="14" spans="1:43" x14ac:dyDescent="0.45">
      <c r="A14" s="11"/>
      <c r="B14" s="8"/>
      <c r="C14" s="8"/>
      <c r="D14" s="8">
        <v>7</v>
      </c>
      <c r="E14" s="9">
        <f t="shared" si="28"/>
        <v>35</v>
      </c>
      <c r="F14" s="23">
        <f t="shared" si="0"/>
        <v>1.1333333333333333</v>
      </c>
      <c r="G14" s="23">
        <f t="shared" si="29"/>
        <v>1.1000000000000001</v>
      </c>
      <c r="H14" s="23">
        <f t="shared" si="2"/>
        <v>1.0666666666666667</v>
      </c>
      <c r="I14" s="23">
        <f t="shared" si="3"/>
        <v>1.0333333333333334</v>
      </c>
      <c r="J14" s="23">
        <f t="shared" si="4"/>
        <v>1</v>
      </c>
      <c r="K14" s="23">
        <f t="shared" si="1"/>
        <v>0.96666666666666667</v>
      </c>
      <c r="L14" s="23">
        <f t="shared" si="5"/>
        <v>0.93333333333333335</v>
      </c>
      <c r="M14" s="23">
        <f t="shared" si="6"/>
        <v>0.9</v>
      </c>
      <c r="N14" s="23">
        <f t="shared" si="7"/>
        <v>0.8666666666666667</v>
      </c>
      <c r="O14" s="23">
        <f t="shared" si="8"/>
        <v>0.83333333333333337</v>
      </c>
      <c r="P14" s="23">
        <f t="shared" si="9"/>
        <v>0.8</v>
      </c>
      <c r="Q14" s="23">
        <f t="shared" si="10"/>
        <v>0.76666666666666672</v>
      </c>
      <c r="R14" s="23">
        <f t="shared" si="11"/>
        <v>0.73333333333333328</v>
      </c>
      <c r="S14" s="23">
        <f t="shared" si="12"/>
        <v>0.7</v>
      </c>
      <c r="T14" s="23">
        <f t="shared" si="13"/>
        <v>0.66666666666666663</v>
      </c>
      <c r="U14" s="23">
        <f t="shared" si="14"/>
        <v>0.6333333333333333</v>
      </c>
      <c r="V14" s="23">
        <f t="shared" si="15"/>
        <v>0.6</v>
      </c>
      <c r="W14" s="23">
        <f t="shared" si="16"/>
        <v>0.56666666666666665</v>
      </c>
      <c r="X14" s="23">
        <f t="shared" si="17"/>
        <v>0.53333333333333333</v>
      </c>
      <c r="Y14" s="23">
        <f t="shared" si="18"/>
        <v>0.5</v>
      </c>
      <c r="Z14" s="23">
        <f t="shared" si="19"/>
        <v>0.46666666666666667</v>
      </c>
      <c r="AA14" s="23">
        <f t="shared" si="20"/>
        <v>0.43333333333333335</v>
      </c>
      <c r="AB14" s="23">
        <f t="shared" si="21"/>
        <v>0.4</v>
      </c>
      <c r="AC14" s="23">
        <f t="shared" si="22"/>
        <v>0.36666666666666664</v>
      </c>
      <c r="AD14" s="23">
        <f t="shared" si="23"/>
        <v>0.33333333333333331</v>
      </c>
      <c r="AE14" s="23">
        <f t="shared" si="24"/>
        <v>0.3</v>
      </c>
      <c r="AF14" s="23">
        <f t="shared" si="25"/>
        <v>0.26666666666666666</v>
      </c>
      <c r="AG14" s="23">
        <f t="shared" si="26"/>
        <v>0.23333333333333334</v>
      </c>
      <c r="AH14" s="23">
        <f t="shared" si="27"/>
        <v>0.2</v>
      </c>
      <c r="AI14" s="8"/>
      <c r="AJ14" s="24" t="str">
        <f t="shared" si="30"/>
        <v>1,5,7,35</v>
      </c>
      <c r="AK14" s="10"/>
      <c r="AL14" s="10"/>
      <c r="AM14" s="10"/>
      <c r="AN14" s="10"/>
      <c r="AO14" s="10"/>
      <c r="AP14" s="10"/>
      <c r="AQ14" s="10"/>
    </row>
    <row r="15" spans="1:43" x14ac:dyDescent="0.45">
      <c r="A15" s="11"/>
      <c r="B15" s="8"/>
      <c r="C15" s="8"/>
      <c r="D15" s="8">
        <v>8</v>
      </c>
      <c r="E15" s="9">
        <f t="shared" si="28"/>
        <v>40</v>
      </c>
      <c r="F15" s="23">
        <f t="shared" si="0"/>
        <v>1.3</v>
      </c>
      <c r="G15" s="23">
        <f t="shared" si="29"/>
        <v>1.2666666666666666</v>
      </c>
      <c r="H15" s="23">
        <f t="shared" si="2"/>
        <v>1.2333333333333334</v>
      </c>
      <c r="I15" s="23">
        <f t="shared" si="3"/>
        <v>1.2</v>
      </c>
      <c r="J15" s="23">
        <f t="shared" si="4"/>
        <v>1.1666666666666667</v>
      </c>
      <c r="K15" s="23">
        <f t="shared" si="1"/>
        <v>1.1333333333333333</v>
      </c>
      <c r="L15" s="23">
        <f t="shared" si="5"/>
        <v>1.1000000000000001</v>
      </c>
      <c r="M15" s="23">
        <f t="shared" si="6"/>
        <v>1.0666666666666667</v>
      </c>
      <c r="N15" s="23">
        <f t="shared" si="7"/>
        <v>1.0333333333333334</v>
      </c>
      <c r="O15" s="23">
        <f t="shared" si="8"/>
        <v>1</v>
      </c>
      <c r="P15" s="23">
        <f t="shared" si="9"/>
        <v>0.96666666666666667</v>
      </c>
      <c r="Q15" s="23">
        <f t="shared" si="10"/>
        <v>0.93333333333333335</v>
      </c>
      <c r="R15" s="23">
        <f t="shared" si="11"/>
        <v>0.9</v>
      </c>
      <c r="S15" s="23">
        <f t="shared" si="12"/>
        <v>0.8666666666666667</v>
      </c>
      <c r="T15" s="23">
        <f t="shared" si="13"/>
        <v>0.83333333333333337</v>
      </c>
      <c r="U15" s="23">
        <f t="shared" si="14"/>
        <v>0.8</v>
      </c>
      <c r="V15" s="23">
        <f t="shared" si="15"/>
        <v>0.76666666666666672</v>
      </c>
      <c r="W15" s="23">
        <f t="shared" si="16"/>
        <v>0.73333333333333328</v>
      </c>
      <c r="X15" s="23">
        <f t="shared" si="17"/>
        <v>0.7</v>
      </c>
      <c r="Y15" s="23">
        <f t="shared" si="18"/>
        <v>0.66666666666666663</v>
      </c>
      <c r="Z15" s="23">
        <f t="shared" si="19"/>
        <v>0.6333333333333333</v>
      </c>
      <c r="AA15" s="23">
        <f t="shared" si="20"/>
        <v>0.6</v>
      </c>
      <c r="AB15" s="23">
        <f t="shared" si="21"/>
        <v>0.56666666666666665</v>
      </c>
      <c r="AC15" s="23">
        <f t="shared" si="22"/>
        <v>0.53333333333333333</v>
      </c>
      <c r="AD15" s="23">
        <f t="shared" si="23"/>
        <v>0.5</v>
      </c>
      <c r="AE15" s="23">
        <f t="shared" si="24"/>
        <v>0.46666666666666667</v>
      </c>
      <c r="AF15" s="23">
        <f t="shared" si="25"/>
        <v>0.43333333333333335</v>
      </c>
      <c r="AG15" s="23">
        <f t="shared" si="26"/>
        <v>0.4</v>
      </c>
      <c r="AH15" s="23">
        <f t="shared" si="27"/>
        <v>0.36666666666666664</v>
      </c>
      <c r="AI15" s="8"/>
      <c r="AJ15" s="24" t="str">
        <f t="shared" si="30"/>
        <v>1,2,4,5,8,10,20,40</v>
      </c>
      <c r="AK15" s="10"/>
      <c r="AL15" s="10"/>
      <c r="AM15" s="10"/>
      <c r="AN15" s="10"/>
      <c r="AO15" s="10"/>
      <c r="AP15" s="10"/>
      <c r="AQ15" s="10"/>
    </row>
    <row r="16" spans="1:43" x14ac:dyDescent="0.45">
      <c r="A16" s="11"/>
      <c r="B16" s="8"/>
      <c r="C16" s="8"/>
      <c r="D16" s="8">
        <v>9</v>
      </c>
      <c r="E16" s="9">
        <f t="shared" si="28"/>
        <v>45</v>
      </c>
      <c r="F16" s="23">
        <f t="shared" si="0"/>
        <v>1.4666666666666666</v>
      </c>
      <c r="G16" s="23">
        <f t="shared" si="29"/>
        <v>1.4333333333333333</v>
      </c>
      <c r="H16" s="23">
        <f t="shared" si="2"/>
        <v>1.4</v>
      </c>
      <c r="I16" s="23">
        <f t="shared" si="3"/>
        <v>1.3666666666666667</v>
      </c>
      <c r="J16" s="23">
        <f t="shared" si="4"/>
        <v>1.3333333333333333</v>
      </c>
      <c r="K16" s="23">
        <f t="shared" si="1"/>
        <v>1.3</v>
      </c>
      <c r="L16" s="23">
        <f t="shared" si="5"/>
        <v>1.2666666666666666</v>
      </c>
      <c r="M16" s="23">
        <f t="shared" si="6"/>
        <v>1.2333333333333334</v>
      </c>
      <c r="N16" s="23">
        <f t="shared" si="7"/>
        <v>1.2</v>
      </c>
      <c r="O16" s="23">
        <f t="shared" si="8"/>
        <v>1.1666666666666667</v>
      </c>
      <c r="P16" s="23">
        <f t="shared" si="9"/>
        <v>1.1333333333333333</v>
      </c>
      <c r="Q16" s="23">
        <f t="shared" si="10"/>
        <v>1.1000000000000001</v>
      </c>
      <c r="R16" s="23">
        <f t="shared" si="11"/>
        <v>1.0666666666666667</v>
      </c>
      <c r="S16" s="23">
        <f t="shared" si="12"/>
        <v>1.0333333333333334</v>
      </c>
      <c r="T16" s="23">
        <f t="shared" si="13"/>
        <v>1</v>
      </c>
      <c r="U16" s="23">
        <f t="shared" si="14"/>
        <v>0.96666666666666667</v>
      </c>
      <c r="V16" s="23">
        <f t="shared" si="15"/>
        <v>0.93333333333333335</v>
      </c>
      <c r="W16" s="23">
        <f t="shared" si="16"/>
        <v>0.9</v>
      </c>
      <c r="X16" s="23">
        <f t="shared" si="17"/>
        <v>0.8666666666666667</v>
      </c>
      <c r="Y16" s="23">
        <f t="shared" si="18"/>
        <v>0.83333333333333337</v>
      </c>
      <c r="Z16" s="23">
        <f t="shared" si="19"/>
        <v>0.8</v>
      </c>
      <c r="AA16" s="23">
        <f t="shared" si="20"/>
        <v>0.76666666666666672</v>
      </c>
      <c r="AB16" s="23">
        <f t="shared" si="21"/>
        <v>0.73333333333333328</v>
      </c>
      <c r="AC16" s="23">
        <f t="shared" si="22"/>
        <v>0.7</v>
      </c>
      <c r="AD16" s="23">
        <f t="shared" si="23"/>
        <v>0.66666666666666663</v>
      </c>
      <c r="AE16" s="23">
        <f t="shared" si="24"/>
        <v>0.6333333333333333</v>
      </c>
      <c r="AF16" s="23">
        <f t="shared" si="25"/>
        <v>0.6</v>
      </c>
      <c r="AG16" s="23">
        <f t="shared" si="26"/>
        <v>0.56666666666666665</v>
      </c>
      <c r="AH16" s="23">
        <f t="shared" si="27"/>
        <v>0.53333333333333333</v>
      </c>
      <c r="AI16" s="8"/>
      <c r="AJ16" s="24" t="str">
        <f t="shared" si="30"/>
        <v>1,3,5,9,15,45</v>
      </c>
      <c r="AK16" s="10"/>
      <c r="AL16" s="10"/>
      <c r="AM16" s="10"/>
      <c r="AN16" s="10"/>
      <c r="AO16" s="10"/>
      <c r="AP16" s="10"/>
      <c r="AQ16" s="10"/>
    </row>
    <row r="17" spans="1:43" x14ac:dyDescent="0.45">
      <c r="A17" s="11"/>
      <c r="B17" s="8"/>
      <c r="C17" s="8"/>
      <c r="D17" s="8">
        <v>10</v>
      </c>
      <c r="E17" s="9">
        <f t="shared" si="28"/>
        <v>50</v>
      </c>
      <c r="F17" s="23">
        <f t="shared" si="0"/>
        <v>1.6333333333333333</v>
      </c>
      <c r="G17" s="23">
        <f t="shared" si="29"/>
        <v>1.6</v>
      </c>
      <c r="H17" s="23">
        <f t="shared" si="2"/>
        <v>1.5666666666666667</v>
      </c>
      <c r="I17" s="23">
        <f t="shared" si="3"/>
        <v>1.5333333333333334</v>
      </c>
      <c r="J17" s="23">
        <f t="shared" si="4"/>
        <v>1.5</v>
      </c>
      <c r="K17" s="23">
        <f t="shared" si="1"/>
        <v>1.4666666666666666</v>
      </c>
      <c r="L17" s="23">
        <f t="shared" si="5"/>
        <v>1.4333333333333333</v>
      </c>
      <c r="M17" s="23">
        <f t="shared" si="6"/>
        <v>1.4</v>
      </c>
      <c r="N17" s="23">
        <f t="shared" si="7"/>
        <v>1.3666666666666667</v>
      </c>
      <c r="O17" s="23">
        <f t="shared" si="8"/>
        <v>1.3333333333333333</v>
      </c>
      <c r="P17" s="23">
        <f t="shared" si="9"/>
        <v>1.3</v>
      </c>
      <c r="Q17" s="23">
        <f t="shared" si="10"/>
        <v>1.2666666666666666</v>
      </c>
      <c r="R17" s="23">
        <f t="shared" si="11"/>
        <v>1.2333333333333334</v>
      </c>
      <c r="S17" s="23">
        <f t="shared" si="12"/>
        <v>1.2</v>
      </c>
      <c r="T17" s="23">
        <f t="shared" si="13"/>
        <v>1.1666666666666667</v>
      </c>
      <c r="U17" s="23">
        <f t="shared" si="14"/>
        <v>1.1333333333333333</v>
      </c>
      <c r="V17" s="23">
        <f t="shared" si="15"/>
        <v>1.1000000000000001</v>
      </c>
      <c r="W17" s="23">
        <f t="shared" si="16"/>
        <v>1.0666666666666667</v>
      </c>
      <c r="X17" s="23">
        <f t="shared" si="17"/>
        <v>1.0333333333333334</v>
      </c>
      <c r="Y17" s="23">
        <f t="shared" si="18"/>
        <v>1</v>
      </c>
      <c r="Z17" s="23">
        <f t="shared" si="19"/>
        <v>0.96666666666666667</v>
      </c>
      <c r="AA17" s="23">
        <f t="shared" si="20"/>
        <v>0.93333333333333335</v>
      </c>
      <c r="AB17" s="23">
        <f t="shared" si="21"/>
        <v>0.9</v>
      </c>
      <c r="AC17" s="23">
        <f t="shared" si="22"/>
        <v>0.8666666666666667</v>
      </c>
      <c r="AD17" s="23">
        <f t="shared" si="23"/>
        <v>0.83333333333333337</v>
      </c>
      <c r="AE17" s="23">
        <f t="shared" si="24"/>
        <v>0.8</v>
      </c>
      <c r="AF17" s="23">
        <f t="shared" si="25"/>
        <v>0.76666666666666672</v>
      </c>
      <c r="AG17" s="23">
        <f t="shared" si="26"/>
        <v>0.73333333333333328</v>
      </c>
      <c r="AH17" s="23">
        <f t="shared" si="27"/>
        <v>0.7</v>
      </c>
      <c r="AI17" s="8"/>
      <c r="AJ17" s="24" t="str">
        <f t="shared" si="30"/>
        <v>1,2,5,10,25,50</v>
      </c>
      <c r="AK17" s="10"/>
      <c r="AL17" s="10"/>
      <c r="AM17" s="10"/>
      <c r="AN17" s="10"/>
      <c r="AO17" s="10"/>
      <c r="AP17" s="10"/>
      <c r="AQ17" s="10"/>
    </row>
    <row r="18" spans="1:43" x14ac:dyDescent="0.45">
      <c r="A18" s="11"/>
      <c r="B18" s="8"/>
      <c r="C18" s="8"/>
      <c r="D18" s="8">
        <v>11</v>
      </c>
      <c r="E18" s="9">
        <f t="shared" si="28"/>
        <v>55</v>
      </c>
      <c r="F18" s="23">
        <f t="shared" si="0"/>
        <v>1.8</v>
      </c>
      <c r="G18" s="23">
        <f t="shared" si="29"/>
        <v>1.7666666666666666</v>
      </c>
      <c r="H18" s="23">
        <f t="shared" si="2"/>
        <v>1.7333333333333334</v>
      </c>
      <c r="I18" s="23">
        <f t="shared" si="3"/>
        <v>1.7</v>
      </c>
      <c r="J18" s="23">
        <f t="shared" si="4"/>
        <v>1.6666666666666667</v>
      </c>
      <c r="K18" s="23">
        <f t="shared" si="1"/>
        <v>1.6333333333333333</v>
      </c>
      <c r="L18" s="23">
        <f t="shared" si="5"/>
        <v>1.6</v>
      </c>
      <c r="M18" s="23">
        <f t="shared" si="6"/>
        <v>1.5666666666666667</v>
      </c>
      <c r="N18" s="23">
        <f t="shared" si="7"/>
        <v>1.5333333333333334</v>
      </c>
      <c r="O18" s="23">
        <f t="shared" si="8"/>
        <v>1.5</v>
      </c>
      <c r="P18" s="23">
        <f t="shared" si="9"/>
        <v>1.4666666666666666</v>
      </c>
      <c r="Q18" s="23">
        <f t="shared" si="10"/>
        <v>1.4333333333333333</v>
      </c>
      <c r="R18" s="23">
        <f t="shared" si="11"/>
        <v>1.4</v>
      </c>
      <c r="S18" s="23">
        <f t="shared" si="12"/>
        <v>1.3666666666666667</v>
      </c>
      <c r="T18" s="23">
        <f t="shared" si="13"/>
        <v>1.3333333333333333</v>
      </c>
      <c r="U18" s="23">
        <f t="shared" si="14"/>
        <v>1.3</v>
      </c>
      <c r="V18" s="23">
        <f t="shared" si="15"/>
        <v>1.2666666666666666</v>
      </c>
      <c r="W18" s="23">
        <f t="shared" si="16"/>
        <v>1.2333333333333334</v>
      </c>
      <c r="X18" s="23">
        <f t="shared" si="17"/>
        <v>1.2</v>
      </c>
      <c r="Y18" s="23">
        <f t="shared" si="18"/>
        <v>1.1666666666666667</v>
      </c>
      <c r="Z18" s="23">
        <f t="shared" si="19"/>
        <v>1.1333333333333333</v>
      </c>
      <c r="AA18" s="23">
        <f t="shared" si="20"/>
        <v>1.1000000000000001</v>
      </c>
      <c r="AB18" s="23">
        <f t="shared" si="21"/>
        <v>1.0666666666666667</v>
      </c>
      <c r="AC18" s="23">
        <f t="shared" si="22"/>
        <v>1.0333333333333334</v>
      </c>
      <c r="AD18" s="23">
        <f t="shared" si="23"/>
        <v>1</v>
      </c>
      <c r="AE18" s="23">
        <f t="shared" si="24"/>
        <v>0.96666666666666667</v>
      </c>
      <c r="AF18" s="23">
        <f t="shared" si="25"/>
        <v>0.93333333333333335</v>
      </c>
      <c r="AG18" s="23">
        <f t="shared" si="26"/>
        <v>0.9</v>
      </c>
      <c r="AH18" s="23">
        <f t="shared" si="27"/>
        <v>0.8666666666666667</v>
      </c>
      <c r="AI18" s="8"/>
      <c r="AJ18" s="24" t="str">
        <f t="shared" si="30"/>
        <v>1,5,11,55</v>
      </c>
      <c r="AK18" s="10"/>
      <c r="AL18" s="10"/>
      <c r="AM18" s="10"/>
      <c r="AN18" s="10"/>
      <c r="AO18" s="10"/>
      <c r="AP18" s="10"/>
      <c r="AQ18" s="10"/>
    </row>
    <row r="19" spans="1:43" x14ac:dyDescent="0.45">
      <c r="A19" s="11"/>
      <c r="B19" s="8"/>
      <c r="C19" s="8"/>
      <c r="D19" s="8">
        <v>12</v>
      </c>
      <c r="E19" s="9">
        <f t="shared" si="28"/>
        <v>60</v>
      </c>
      <c r="F19" s="23">
        <f t="shared" si="0"/>
        <v>1.9666666666666666</v>
      </c>
      <c r="G19" s="23">
        <f t="shared" si="29"/>
        <v>1.9333333333333333</v>
      </c>
      <c r="H19" s="23">
        <f t="shared" si="2"/>
        <v>1.9</v>
      </c>
      <c r="I19" s="23">
        <f t="shared" si="3"/>
        <v>1.8666666666666667</v>
      </c>
      <c r="J19" s="23">
        <f t="shared" si="4"/>
        <v>1.8333333333333333</v>
      </c>
      <c r="K19" s="23">
        <f t="shared" si="1"/>
        <v>1.8</v>
      </c>
      <c r="L19" s="23">
        <f t="shared" si="5"/>
        <v>1.7666666666666666</v>
      </c>
      <c r="M19" s="23">
        <f t="shared" si="6"/>
        <v>1.7333333333333334</v>
      </c>
      <c r="N19" s="23">
        <f t="shared" si="7"/>
        <v>1.7</v>
      </c>
      <c r="O19" s="23">
        <f t="shared" si="8"/>
        <v>1.6666666666666667</v>
      </c>
      <c r="P19" s="23">
        <f t="shared" si="9"/>
        <v>1.6333333333333333</v>
      </c>
      <c r="Q19" s="23">
        <f t="shared" si="10"/>
        <v>1.6</v>
      </c>
      <c r="R19" s="23">
        <f t="shared" si="11"/>
        <v>1.5666666666666667</v>
      </c>
      <c r="S19" s="23">
        <f t="shared" si="12"/>
        <v>1.5333333333333334</v>
      </c>
      <c r="T19" s="23">
        <f t="shared" si="13"/>
        <v>1.5</v>
      </c>
      <c r="U19" s="23">
        <f t="shared" si="14"/>
        <v>1.4666666666666666</v>
      </c>
      <c r="V19" s="23">
        <f t="shared" si="15"/>
        <v>1.4333333333333333</v>
      </c>
      <c r="W19" s="23">
        <f t="shared" si="16"/>
        <v>1.4</v>
      </c>
      <c r="X19" s="23">
        <f t="shared" si="17"/>
        <v>1.3666666666666667</v>
      </c>
      <c r="Y19" s="23">
        <f t="shared" si="18"/>
        <v>1.3333333333333333</v>
      </c>
      <c r="Z19" s="23">
        <f t="shared" si="19"/>
        <v>1.3</v>
      </c>
      <c r="AA19" s="23">
        <f t="shared" si="20"/>
        <v>1.2666666666666666</v>
      </c>
      <c r="AB19" s="23">
        <f t="shared" si="21"/>
        <v>1.2333333333333334</v>
      </c>
      <c r="AC19" s="23">
        <f t="shared" si="22"/>
        <v>1.2</v>
      </c>
      <c r="AD19" s="23">
        <f t="shared" si="23"/>
        <v>1.1666666666666667</v>
      </c>
      <c r="AE19" s="23">
        <f t="shared" si="24"/>
        <v>1.1333333333333333</v>
      </c>
      <c r="AF19" s="23">
        <f t="shared" si="25"/>
        <v>1.1000000000000001</v>
      </c>
      <c r="AG19" s="23">
        <f t="shared" si="26"/>
        <v>1.0666666666666667</v>
      </c>
      <c r="AH19" s="23">
        <f t="shared" si="27"/>
        <v>1.0333333333333334</v>
      </c>
      <c r="AI19" s="8"/>
      <c r="AJ19" s="24" t="str">
        <f t="shared" si="30"/>
        <v>1,2,3,4,5,6,10,12,15,20,30,60</v>
      </c>
      <c r="AK19" s="10"/>
      <c r="AL19" s="10"/>
      <c r="AM19" s="10"/>
      <c r="AN19" s="10"/>
      <c r="AO19" s="10"/>
      <c r="AP19" s="10"/>
      <c r="AQ19" s="10"/>
    </row>
    <row r="20" spans="1:43" x14ac:dyDescent="0.45">
      <c r="A20" s="11"/>
      <c r="B20" s="8"/>
      <c r="C20" s="8"/>
      <c r="D20" s="8">
        <v>13</v>
      </c>
      <c r="E20" s="9">
        <f t="shared" si="28"/>
        <v>65</v>
      </c>
      <c r="F20" s="23">
        <f t="shared" si="0"/>
        <v>2.1333333333333333</v>
      </c>
      <c r="G20" s="23">
        <f t="shared" si="29"/>
        <v>2.1</v>
      </c>
      <c r="H20" s="23">
        <f t="shared" si="2"/>
        <v>2.0666666666666669</v>
      </c>
      <c r="I20" s="23">
        <f t="shared" si="3"/>
        <v>2.0333333333333332</v>
      </c>
      <c r="J20" s="23">
        <f t="shared" si="4"/>
        <v>2</v>
      </c>
      <c r="K20" s="23">
        <f t="shared" si="1"/>
        <v>1.9666666666666666</v>
      </c>
      <c r="L20" s="23">
        <f t="shared" si="5"/>
        <v>1.9333333333333333</v>
      </c>
      <c r="M20" s="23">
        <f t="shared" si="6"/>
        <v>1.9</v>
      </c>
      <c r="N20" s="23">
        <f t="shared" si="7"/>
        <v>1.8666666666666667</v>
      </c>
      <c r="O20" s="23">
        <f t="shared" si="8"/>
        <v>1.8333333333333333</v>
      </c>
      <c r="P20" s="23">
        <f t="shared" si="9"/>
        <v>1.8</v>
      </c>
      <c r="Q20" s="23">
        <f t="shared" si="10"/>
        <v>1.7666666666666666</v>
      </c>
      <c r="R20" s="23">
        <f t="shared" si="11"/>
        <v>1.7333333333333334</v>
      </c>
      <c r="S20" s="23">
        <f t="shared" si="12"/>
        <v>1.7</v>
      </c>
      <c r="T20" s="23">
        <f t="shared" si="13"/>
        <v>1.6666666666666667</v>
      </c>
      <c r="U20" s="23">
        <f t="shared" si="14"/>
        <v>1.6333333333333333</v>
      </c>
      <c r="V20" s="23">
        <f t="shared" si="15"/>
        <v>1.6</v>
      </c>
      <c r="W20" s="23">
        <f t="shared" si="16"/>
        <v>1.5666666666666667</v>
      </c>
      <c r="X20" s="23">
        <f t="shared" si="17"/>
        <v>1.5333333333333334</v>
      </c>
      <c r="Y20" s="23">
        <f t="shared" si="18"/>
        <v>1.5</v>
      </c>
      <c r="Z20" s="23">
        <f t="shared" si="19"/>
        <v>1.4666666666666666</v>
      </c>
      <c r="AA20" s="23">
        <f t="shared" si="20"/>
        <v>1.4333333333333333</v>
      </c>
      <c r="AB20" s="23">
        <f t="shared" si="21"/>
        <v>1.4</v>
      </c>
      <c r="AC20" s="23">
        <f t="shared" si="22"/>
        <v>1.3666666666666667</v>
      </c>
      <c r="AD20" s="23">
        <f t="shared" si="23"/>
        <v>1.3333333333333333</v>
      </c>
      <c r="AE20" s="23">
        <f t="shared" si="24"/>
        <v>1.3</v>
      </c>
      <c r="AF20" s="23">
        <f t="shared" si="25"/>
        <v>1.2666666666666666</v>
      </c>
      <c r="AG20" s="23">
        <f t="shared" si="26"/>
        <v>1.2333333333333334</v>
      </c>
      <c r="AH20" s="23">
        <f t="shared" si="27"/>
        <v>1.2</v>
      </c>
      <c r="AI20" s="8"/>
      <c r="AJ20" s="24" t="str">
        <f t="shared" si="30"/>
        <v>1,5,13,65</v>
      </c>
      <c r="AK20" s="10"/>
      <c r="AL20" s="10"/>
      <c r="AM20" s="10"/>
      <c r="AN20" s="10"/>
      <c r="AO20" s="10"/>
      <c r="AP20" s="10"/>
      <c r="AQ20" s="10"/>
    </row>
    <row r="21" spans="1:43" x14ac:dyDescent="0.45">
      <c r="A21" s="11"/>
      <c r="B21" s="8"/>
      <c r="C21" s="8"/>
      <c r="D21" s="8">
        <v>14</v>
      </c>
      <c r="E21" s="9">
        <f t="shared" si="28"/>
        <v>70</v>
      </c>
      <c r="F21" s="23">
        <f t="shared" si="0"/>
        <v>2.2999999999999998</v>
      </c>
      <c r="G21" s="23">
        <f t="shared" si="29"/>
        <v>2.2666666666666666</v>
      </c>
      <c r="H21" s="23">
        <f t="shared" si="2"/>
        <v>2.2333333333333334</v>
      </c>
      <c r="I21" s="23">
        <f t="shared" si="3"/>
        <v>2.2000000000000002</v>
      </c>
      <c r="J21" s="23">
        <f t="shared" si="4"/>
        <v>2.1666666666666665</v>
      </c>
      <c r="K21" s="23">
        <f t="shared" si="1"/>
        <v>2.1333333333333333</v>
      </c>
      <c r="L21" s="23">
        <f t="shared" si="5"/>
        <v>2.1</v>
      </c>
      <c r="M21" s="23">
        <f t="shared" si="6"/>
        <v>2.0666666666666669</v>
      </c>
      <c r="N21" s="23">
        <f t="shared" si="7"/>
        <v>2.0333333333333332</v>
      </c>
      <c r="O21" s="23">
        <f t="shared" si="8"/>
        <v>2</v>
      </c>
      <c r="P21" s="23">
        <f t="shared" si="9"/>
        <v>1.9666666666666666</v>
      </c>
      <c r="Q21" s="23">
        <f t="shared" si="10"/>
        <v>1.9333333333333333</v>
      </c>
      <c r="R21" s="23">
        <f t="shared" si="11"/>
        <v>1.9</v>
      </c>
      <c r="S21" s="23">
        <f t="shared" si="12"/>
        <v>1.8666666666666667</v>
      </c>
      <c r="T21" s="23">
        <f t="shared" si="13"/>
        <v>1.8333333333333333</v>
      </c>
      <c r="U21" s="23">
        <f t="shared" si="14"/>
        <v>1.8</v>
      </c>
      <c r="V21" s="23">
        <f t="shared" si="15"/>
        <v>1.7666666666666666</v>
      </c>
      <c r="W21" s="23">
        <f t="shared" si="16"/>
        <v>1.7333333333333334</v>
      </c>
      <c r="X21" s="23">
        <f t="shared" si="17"/>
        <v>1.7</v>
      </c>
      <c r="Y21" s="23">
        <f t="shared" si="18"/>
        <v>1.6666666666666667</v>
      </c>
      <c r="Z21" s="23">
        <f t="shared" si="19"/>
        <v>1.6333333333333333</v>
      </c>
      <c r="AA21" s="23">
        <f t="shared" si="20"/>
        <v>1.6</v>
      </c>
      <c r="AB21" s="23">
        <f t="shared" si="21"/>
        <v>1.5666666666666667</v>
      </c>
      <c r="AC21" s="23">
        <f t="shared" si="22"/>
        <v>1.5333333333333334</v>
      </c>
      <c r="AD21" s="23">
        <f t="shared" si="23"/>
        <v>1.5</v>
      </c>
      <c r="AE21" s="23">
        <f t="shared" si="24"/>
        <v>1.4666666666666666</v>
      </c>
      <c r="AF21" s="23">
        <f t="shared" si="25"/>
        <v>1.4333333333333333</v>
      </c>
      <c r="AG21" s="23">
        <f t="shared" si="26"/>
        <v>1.4</v>
      </c>
      <c r="AH21" s="23">
        <f t="shared" si="27"/>
        <v>1.3666666666666667</v>
      </c>
      <c r="AI21" s="8"/>
      <c r="AJ21" s="24" t="str">
        <f t="shared" si="30"/>
        <v>1,2,5,7,10,14,35,70</v>
      </c>
      <c r="AK21" s="10"/>
      <c r="AL21" s="10"/>
      <c r="AM21" s="10"/>
      <c r="AN21" s="10"/>
      <c r="AO21" s="10"/>
      <c r="AP21" s="10"/>
      <c r="AQ21" s="10"/>
    </row>
    <row r="22" spans="1:43" x14ac:dyDescent="0.45">
      <c r="A22" s="11"/>
      <c r="B22" s="8"/>
      <c r="C22" s="8"/>
      <c r="D22" s="8">
        <v>15</v>
      </c>
      <c r="E22" s="9">
        <f>D22*$E$6</f>
        <v>75</v>
      </c>
      <c r="F22" s="23">
        <f t="shared" si="0"/>
        <v>2.4666666666666668</v>
      </c>
      <c r="G22" s="23">
        <f>(E22-2)/30</f>
        <v>2.4333333333333331</v>
      </c>
      <c r="H22" s="23">
        <f>(E22-3)/30</f>
        <v>2.4</v>
      </c>
      <c r="I22" s="23">
        <f>(E22-4)/30</f>
        <v>2.3666666666666667</v>
      </c>
      <c r="J22" s="23">
        <f>(E22-5)/30</f>
        <v>2.3333333333333335</v>
      </c>
      <c r="K22" s="23">
        <f>($E22-6)/30</f>
        <v>2.2999999999999998</v>
      </c>
      <c r="L22" s="23">
        <f>($E22-7)/30</f>
        <v>2.2666666666666666</v>
      </c>
      <c r="M22" s="23">
        <f>($E22-8)/30</f>
        <v>2.2333333333333334</v>
      </c>
      <c r="N22" s="23">
        <f>($E22-9)/30</f>
        <v>2.2000000000000002</v>
      </c>
      <c r="O22" s="23">
        <f>($E22-10)/30</f>
        <v>2.1666666666666665</v>
      </c>
      <c r="P22" s="23">
        <f>($E22-11)/30</f>
        <v>2.1333333333333333</v>
      </c>
      <c r="Q22" s="23">
        <f>($E22-12)/30</f>
        <v>2.1</v>
      </c>
      <c r="R22" s="23">
        <f>($E22-13)/30</f>
        <v>2.0666666666666669</v>
      </c>
      <c r="S22" s="23">
        <f>($E22-14)/30</f>
        <v>2.0333333333333332</v>
      </c>
      <c r="T22" s="23">
        <f>($E22-15)/30</f>
        <v>2</v>
      </c>
      <c r="U22" s="23">
        <f>($E22-16)/30</f>
        <v>1.9666666666666666</v>
      </c>
      <c r="V22" s="23">
        <f>($E22-17)/30</f>
        <v>1.9333333333333333</v>
      </c>
      <c r="W22" s="23">
        <f>($E22-18)/30</f>
        <v>1.9</v>
      </c>
      <c r="X22" s="23">
        <f>($E22-19)/30</f>
        <v>1.8666666666666667</v>
      </c>
      <c r="Y22" s="23">
        <f>($E22-20)/30</f>
        <v>1.8333333333333333</v>
      </c>
      <c r="Z22" s="23">
        <f>($E22-21)/30</f>
        <v>1.8</v>
      </c>
      <c r="AA22" s="23">
        <f>($E22-22)/30</f>
        <v>1.7666666666666666</v>
      </c>
      <c r="AB22" s="23">
        <f>($E22-23)/30</f>
        <v>1.7333333333333334</v>
      </c>
      <c r="AC22" s="23">
        <f>($E22-24)/30</f>
        <v>1.7</v>
      </c>
      <c r="AD22" s="23">
        <f>($E22-25)/30</f>
        <v>1.6666666666666667</v>
      </c>
      <c r="AE22" s="23">
        <f>($E22-26)/30</f>
        <v>1.6333333333333333</v>
      </c>
      <c r="AF22" s="23">
        <f>($E22-27)/30</f>
        <v>1.6</v>
      </c>
      <c r="AG22" s="23">
        <f>($E22-28)/30</f>
        <v>1.5666666666666667</v>
      </c>
      <c r="AH22" s="23">
        <f>($E22-29)/30</f>
        <v>1.5333333333333334</v>
      </c>
      <c r="AI22" s="8"/>
      <c r="AJ22" s="24" t="str">
        <f>FactorNumber(E22)</f>
        <v>1,3,5,15,25,75</v>
      </c>
      <c r="AK22" s="10"/>
      <c r="AL22" s="10"/>
      <c r="AM22" s="10"/>
      <c r="AN22" s="10"/>
      <c r="AO22" s="10"/>
      <c r="AP22" s="10"/>
      <c r="AQ22" s="10"/>
    </row>
    <row r="23" spans="1:43" x14ac:dyDescent="0.45">
      <c r="A23" s="11"/>
      <c r="B23" s="8"/>
      <c r="C23" s="8"/>
      <c r="D23" s="8">
        <v>16</v>
      </c>
      <c r="E23" s="9">
        <f t="shared" si="28"/>
        <v>80</v>
      </c>
      <c r="F23" s="23">
        <f t="shared" si="0"/>
        <v>2.6333333333333333</v>
      </c>
      <c r="G23" s="23">
        <f t="shared" si="29"/>
        <v>2.6</v>
      </c>
      <c r="H23" s="23">
        <f t="shared" si="2"/>
        <v>2.5666666666666669</v>
      </c>
      <c r="I23" s="23">
        <f t="shared" si="3"/>
        <v>2.5333333333333332</v>
      </c>
      <c r="J23" s="23">
        <f t="shared" si="4"/>
        <v>2.5</v>
      </c>
      <c r="K23" s="23">
        <f t="shared" si="1"/>
        <v>2.4666666666666668</v>
      </c>
      <c r="L23" s="23">
        <f t="shared" si="5"/>
        <v>2.4333333333333331</v>
      </c>
      <c r="M23" s="23">
        <f t="shared" si="6"/>
        <v>2.4</v>
      </c>
      <c r="N23" s="23">
        <f t="shared" si="7"/>
        <v>2.3666666666666667</v>
      </c>
      <c r="O23" s="23">
        <f t="shared" si="8"/>
        <v>2.3333333333333335</v>
      </c>
      <c r="P23" s="23">
        <f t="shared" si="9"/>
        <v>2.2999999999999998</v>
      </c>
      <c r="Q23" s="23">
        <f t="shared" si="10"/>
        <v>2.2666666666666666</v>
      </c>
      <c r="R23" s="23">
        <f t="shared" si="11"/>
        <v>2.2333333333333334</v>
      </c>
      <c r="S23" s="23">
        <f t="shared" si="12"/>
        <v>2.2000000000000002</v>
      </c>
      <c r="T23" s="23">
        <f t="shared" si="13"/>
        <v>2.1666666666666665</v>
      </c>
      <c r="U23" s="23">
        <f t="shared" si="14"/>
        <v>2.1333333333333333</v>
      </c>
      <c r="V23" s="23">
        <f t="shared" si="15"/>
        <v>2.1</v>
      </c>
      <c r="W23" s="23">
        <f t="shared" si="16"/>
        <v>2.0666666666666669</v>
      </c>
      <c r="X23" s="23">
        <f t="shared" si="17"/>
        <v>2.0333333333333332</v>
      </c>
      <c r="Y23" s="23">
        <f t="shared" si="18"/>
        <v>2</v>
      </c>
      <c r="Z23" s="23">
        <f t="shared" si="19"/>
        <v>1.9666666666666666</v>
      </c>
      <c r="AA23" s="23">
        <f t="shared" si="20"/>
        <v>1.9333333333333333</v>
      </c>
      <c r="AB23" s="23">
        <f t="shared" si="21"/>
        <v>1.9</v>
      </c>
      <c r="AC23" s="23">
        <f t="shared" si="22"/>
        <v>1.8666666666666667</v>
      </c>
      <c r="AD23" s="23">
        <f t="shared" si="23"/>
        <v>1.8333333333333333</v>
      </c>
      <c r="AE23" s="23">
        <f t="shared" si="24"/>
        <v>1.8</v>
      </c>
      <c r="AF23" s="23">
        <f t="shared" si="25"/>
        <v>1.7666666666666666</v>
      </c>
      <c r="AG23" s="23">
        <f t="shared" si="26"/>
        <v>1.7333333333333334</v>
      </c>
      <c r="AH23" s="23">
        <f t="shared" si="27"/>
        <v>1.7</v>
      </c>
      <c r="AI23" s="8"/>
      <c r="AJ23" s="24" t="str">
        <f t="shared" si="30"/>
        <v>1,2,4,5,8,10,16,20,40,80</v>
      </c>
      <c r="AK23" s="10"/>
      <c r="AL23" s="10"/>
      <c r="AM23" s="10"/>
      <c r="AN23" s="10"/>
      <c r="AO23" s="10"/>
      <c r="AP23" s="10"/>
      <c r="AQ23" s="10"/>
    </row>
    <row r="24" spans="1:43" x14ac:dyDescent="0.45">
      <c r="A24" s="11"/>
      <c r="B24" s="8"/>
      <c r="C24" s="8"/>
      <c r="D24" s="8">
        <v>17</v>
      </c>
      <c r="E24" s="9">
        <f t="shared" si="28"/>
        <v>85</v>
      </c>
      <c r="F24" s="23">
        <f t="shared" si="0"/>
        <v>2.8</v>
      </c>
      <c r="G24" s="23">
        <f t="shared" si="29"/>
        <v>2.7666666666666666</v>
      </c>
      <c r="H24" s="23">
        <f t="shared" si="2"/>
        <v>2.7333333333333334</v>
      </c>
      <c r="I24" s="23">
        <f t="shared" si="3"/>
        <v>2.7</v>
      </c>
      <c r="J24" s="23">
        <f t="shared" si="4"/>
        <v>2.6666666666666665</v>
      </c>
      <c r="K24" s="23">
        <f t="shared" si="1"/>
        <v>2.6333333333333333</v>
      </c>
      <c r="L24" s="23">
        <f t="shared" si="5"/>
        <v>2.6</v>
      </c>
      <c r="M24" s="23">
        <f t="shared" si="6"/>
        <v>2.5666666666666669</v>
      </c>
      <c r="N24" s="23">
        <f t="shared" si="7"/>
        <v>2.5333333333333332</v>
      </c>
      <c r="O24" s="23">
        <f t="shared" si="8"/>
        <v>2.5</v>
      </c>
      <c r="P24" s="23">
        <f t="shared" si="9"/>
        <v>2.4666666666666668</v>
      </c>
      <c r="Q24" s="23">
        <f t="shared" si="10"/>
        <v>2.4333333333333331</v>
      </c>
      <c r="R24" s="23">
        <f t="shared" si="11"/>
        <v>2.4</v>
      </c>
      <c r="S24" s="23">
        <f t="shared" si="12"/>
        <v>2.3666666666666667</v>
      </c>
      <c r="T24" s="23">
        <f t="shared" si="13"/>
        <v>2.3333333333333335</v>
      </c>
      <c r="U24" s="23">
        <f t="shared" si="14"/>
        <v>2.2999999999999998</v>
      </c>
      <c r="V24" s="23">
        <f t="shared" si="15"/>
        <v>2.2666666666666666</v>
      </c>
      <c r="W24" s="23">
        <f t="shared" si="16"/>
        <v>2.2333333333333334</v>
      </c>
      <c r="X24" s="23">
        <f t="shared" si="17"/>
        <v>2.2000000000000002</v>
      </c>
      <c r="Y24" s="23">
        <f t="shared" si="18"/>
        <v>2.1666666666666665</v>
      </c>
      <c r="Z24" s="23">
        <f t="shared" si="19"/>
        <v>2.1333333333333333</v>
      </c>
      <c r="AA24" s="23">
        <f t="shared" si="20"/>
        <v>2.1</v>
      </c>
      <c r="AB24" s="23">
        <f t="shared" si="21"/>
        <v>2.0666666666666669</v>
      </c>
      <c r="AC24" s="23">
        <f t="shared" si="22"/>
        <v>2.0333333333333332</v>
      </c>
      <c r="AD24" s="23">
        <f t="shared" si="23"/>
        <v>2</v>
      </c>
      <c r="AE24" s="23">
        <f t="shared" si="24"/>
        <v>1.9666666666666666</v>
      </c>
      <c r="AF24" s="23">
        <f t="shared" si="25"/>
        <v>1.9333333333333333</v>
      </c>
      <c r="AG24" s="23">
        <f t="shared" si="26"/>
        <v>1.9</v>
      </c>
      <c r="AH24" s="23">
        <f t="shared" si="27"/>
        <v>1.8666666666666667</v>
      </c>
      <c r="AI24" s="8"/>
      <c r="AJ24" s="24" t="str">
        <f t="shared" si="30"/>
        <v>1,5,17,85</v>
      </c>
      <c r="AK24" s="10"/>
      <c r="AL24" s="10"/>
      <c r="AM24" s="10"/>
      <c r="AN24" s="10"/>
      <c r="AO24" s="10"/>
      <c r="AP24" s="10"/>
      <c r="AQ24" s="10"/>
    </row>
    <row r="25" spans="1:43" x14ac:dyDescent="0.45">
      <c r="A25" s="11"/>
      <c r="B25" s="8"/>
      <c r="C25" s="8"/>
      <c r="D25" s="8">
        <v>18</v>
      </c>
      <c r="E25" s="9">
        <f t="shared" si="28"/>
        <v>90</v>
      </c>
      <c r="F25" s="23">
        <f t="shared" si="0"/>
        <v>2.9666666666666668</v>
      </c>
      <c r="G25" s="23">
        <f t="shared" si="29"/>
        <v>2.9333333333333331</v>
      </c>
      <c r="H25" s="23">
        <f t="shared" si="2"/>
        <v>2.9</v>
      </c>
      <c r="I25" s="23">
        <f t="shared" si="3"/>
        <v>2.8666666666666667</v>
      </c>
      <c r="J25" s="23">
        <f t="shared" si="4"/>
        <v>2.8333333333333335</v>
      </c>
      <c r="K25" s="23">
        <f t="shared" si="1"/>
        <v>2.8</v>
      </c>
      <c r="L25" s="23">
        <f t="shared" si="5"/>
        <v>2.7666666666666666</v>
      </c>
      <c r="M25" s="23">
        <f t="shared" si="6"/>
        <v>2.7333333333333334</v>
      </c>
      <c r="N25" s="23">
        <f t="shared" si="7"/>
        <v>2.7</v>
      </c>
      <c r="O25" s="23">
        <f t="shared" si="8"/>
        <v>2.6666666666666665</v>
      </c>
      <c r="P25" s="23">
        <f t="shared" si="9"/>
        <v>2.6333333333333333</v>
      </c>
      <c r="Q25" s="23">
        <f t="shared" si="10"/>
        <v>2.6</v>
      </c>
      <c r="R25" s="23">
        <f t="shared" si="11"/>
        <v>2.5666666666666669</v>
      </c>
      <c r="S25" s="23">
        <f t="shared" si="12"/>
        <v>2.5333333333333332</v>
      </c>
      <c r="T25" s="23">
        <f t="shared" si="13"/>
        <v>2.5</v>
      </c>
      <c r="U25" s="23">
        <f t="shared" si="14"/>
        <v>2.4666666666666668</v>
      </c>
      <c r="V25" s="23">
        <f t="shared" si="15"/>
        <v>2.4333333333333331</v>
      </c>
      <c r="W25" s="23">
        <f t="shared" si="16"/>
        <v>2.4</v>
      </c>
      <c r="X25" s="23">
        <f t="shared" si="17"/>
        <v>2.3666666666666667</v>
      </c>
      <c r="Y25" s="23">
        <f t="shared" si="18"/>
        <v>2.3333333333333335</v>
      </c>
      <c r="Z25" s="23">
        <f t="shared" si="19"/>
        <v>2.2999999999999998</v>
      </c>
      <c r="AA25" s="23">
        <f t="shared" si="20"/>
        <v>2.2666666666666666</v>
      </c>
      <c r="AB25" s="23">
        <f t="shared" si="21"/>
        <v>2.2333333333333334</v>
      </c>
      <c r="AC25" s="23">
        <f t="shared" si="22"/>
        <v>2.2000000000000002</v>
      </c>
      <c r="AD25" s="23">
        <f t="shared" si="23"/>
        <v>2.1666666666666665</v>
      </c>
      <c r="AE25" s="23">
        <f t="shared" si="24"/>
        <v>2.1333333333333333</v>
      </c>
      <c r="AF25" s="23">
        <f t="shared" si="25"/>
        <v>2.1</v>
      </c>
      <c r="AG25" s="23">
        <f t="shared" si="26"/>
        <v>2.0666666666666669</v>
      </c>
      <c r="AH25" s="23">
        <f t="shared" si="27"/>
        <v>2.0333333333333332</v>
      </c>
      <c r="AI25" s="8"/>
      <c r="AJ25" s="24" t="str">
        <f t="shared" si="30"/>
        <v>1,2,3,5,6,9,10,15,18,30,45,90</v>
      </c>
      <c r="AK25" s="10"/>
      <c r="AL25" s="10"/>
      <c r="AM25" s="10"/>
      <c r="AN25" s="10"/>
      <c r="AO25" s="10"/>
      <c r="AP25" s="10"/>
      <c r="AQ25" s="10"/>
    </row>
    <row r="26" spans="1:43" x14ac:dyDescent="0.45">
      <c r="A26" s="11"/>
      <c r="B26" s="8"/>
      <c r="C26" s="8"/>
      <c r="D26" s="8">
        <v>19</v>
      </c>
      <c r="E26" s="9">
        <f t="shared" si="28"/>
        <v>95</v>
      </c>
      <c r="F26" s="23">
        <f t="shared" si="0"/>
        <v>3.1333333333333333</v>
      </c>
      <c r="G26" s="23">
        <f t="shared" si="29"/>
        <v>3.1</v>
      </c>
      <c r="H26" s="23">
        <f t="shared" si="2"/>
        <v>3.0666666666666669</v>
      </c>
      <c r="I26" s="23">
        <f t="shared" si="3"/>
        <v>3.0333333333333332</v>
      </c>
      <c r="J26" s="23">
        <f t="shared" si="4"/>
        <v>3</v>
      </c>
      <c r="K26" s="23">
        <f t="shared" si="1"/>
        <v>2.9666666666666668</v>
      </c>
      <c r="L26" s="23">
        <f t="shared" si="5"/>
        <v>2.9333333333333331</v>
      </c>
      <c r="M26" s="23">
        <f t="shared" si="6"/>
        <v>2.9</v>
      </c>
      <c r="N26" s="23">
        <f t="shared" si="7"/>
        <v>2.8666666666666667</v>
      </c>
      <c r="O26" s="23">
        <f t="shared" si="8"/>
        <v>2.8333333333333335</v>
      </c>
      <c r="P26" s="23">
        <f t="shared" si="9"/>
        <v>2.8</v>
      </c>
      <c r="Q26" s="23">
        <f t="shared" si="10"/>
        <v>2.7666666666666666</v>
      </c>
      <c r="R26" s="23">
        <f t="shared" si="11"/>
        <v>2.7333333333333334</v>
      </c>
      <c r="S26" s="23">
        <f t="shared" si="12"/>
        <v>2.7</v>
      </c>
      <c r="T26" s="23">
        <f t="shared" si="13"/>
        <v>2.6666666666666665</v>
      </c>
      <c r="U26" s="23">
        <f t="shared" si="14"/>
        <v>2.6333333333333333</v>
      </c>
      <c r="V26" s="23">
        <f t="shared" si="15"/>
        <v>2.6</v>
      </c>
      <c r="W26" s="23">
        <f t="shared" si="16"/>
        <v>2.5666666666666669</v>
      </c>
      <c r="X26" s="23">
        <f t="shared" si="17"/>
        <v>2.5333333333333332</v>
      </c>
      <c r="Y26" s="23">
        <f t="shared" si="18"/>
        <v>2.5</v>
      </c>
      <c r="Z26" s="23">
        <f t="shared" si="19"/>
        <v>2.4666666666666668</v>
      </c>
      <c r="AA26" s="23">
        <f t="shared" si="20"/>
        <v>2.4333333333333331</v>
      </c>
      <c r="AB26" s="23">
        <f t="shared" si="21"/>
        <v>2.4</v>
      </c>
      <c r="AC26" s="23">
        <f t="shared" si="22"/>
        <v>2.3666666666666667</v>
      </c>
      <c r="AD26" s="23">
        <f t="shared" si="23"/>
        <v>2.3333333333333335</v>
      </c>
      <c r="AE26" s="23">
        <f t="shared" si="24"/>
        <v>2.2999999999999998</v>
      </c>
      <c r="AF26" s="23">
        <f t="shared" si="25"/>
        <v>2.2666666666666666</v>
      </c>
      <c r="AG26" s="23">
        <f t="shared" si="26"/>
        <v>2.2333333333333334</v>
      </c>
      <c r="AH26" s="23">
        <f t="shared" si="27"/>
        <v>2.2000000000000002</v>
      </c>
      <c r="AI26" s="8"/>
      <c r="AJ26" s="24" t="str">
        <f t="shared" si="30"/>
        <v>1,5,19,95</v>
      </c>
      <c r="AK26" s="10"/>
      <c r="AL26" s="10"/>
      <c r="AM26" s="10"/>
      <c r="AN26" s="10"/>
      <c r="AO26" s="10"/>
      <c r="AP26" s="10"/>
      <c r="AQ26" s="10"/>
    </row>
    <row r="27" spans="1:43" x14ac:dyDescent="0.45">
      <c r="A27" s="11"/>
      <c r="B27" s="8"/>
      <c r="C27" s="8"/>
      <c r="D27" s="8">
        <v>20</v>
      </c>
      <c r="E27" s="9">
        <f t="shared" si="28"/>
        <v>100</v>
      </c>
      <c r="F27" s="23">
        <f t="shared" si="0"/>
        <v>3.3</v>
      </c>
      <c r="G27" s="23">
        <f t="shared" si="29"/>
        <v>3.2666666666666666</v>
      </c>
      <c r="H27" s="23">
        <f t="shared" si="2"/>
        <v>3.2333333333333334</v>
      </c>
      <c r="I27" s="23">
        <f t="shared" si="3"/>
        <v>3.2</v>
      </c>
      <c r="J27" s="23">
        <f t="shared" si="4"/>
        <v>3.1666666666666665</v>
      </c>
      <c r="K27" s="23">
        <f t="shared" si="1"/>
        <v>3.1333333333333333</v>
      </c>
      <c r="L27" s="23">
        <f t="shared" si="5"/>
        <v>3.1</v>
      </c>
      <c r="M27" s="23">
        <f t="shared" si="6"/>
        <v>3.0666666666666669</v>
      </c>
      <c r="N27" s="23">
        <f t="shared" si="7"/>
        <v>3.0333333333333332</v>
      </c>
      <c r="O27" s="23">
        <f t="shared" si="8"/>
        <v>3</v>
      </c>
      <c r="P27" s="23">
        <f t="shared" si="9"/>
        <v>2.9666666666666668</v>
      </c>
      <c r="Q27" s="23">
        <f t="shared" si="10"/>
        <v>2.9333333333333331</v>
      </c>
      <c r="R27" s="23">
        <f t="shared" si="11"/>
        <v>2.9</v>
      </c>
      <c r="S27" s="23">
        <f t="shared" si="12"/>
        <v>2.8666666666666667</v>
      </c>
      <c r="T27" s="23">
        <f t="shared" si="13"/>
        <v>2.8333333333333335</v>
      </c>
      <c r="U27" s="23">
        <f t="shared" si="14"/>
        <v>2.8</v>
      </c>
      <c r="V27" s="23">
        <f t="shared" si="15"/>
        <v>2.7666666666666666</v>
      </c>
      <c r="W27" s="23">
        <f t="shared" si="16"/>
        <v>2.7333333333333334</v>
      </c>
      <c r="X27" s="23">
        <f t="shared" si="17"/>
        <v>2.7</v>
      </c>
      <c r="Y27" s="23">
        <f t="shared" si="18"/>
        <v>2.6666666666666665</v>
      </c>
      <c r="Z27" s="23">
        <f t="shared" si="19"/>
        <v>2.6333333333333333</v>
      </c>
      <c r="AA27" s="23">
        <f t="shared" si="20"/>
        <v>2.6</v>
      </c>
      <c r="AB27" s="23">
        <f t="shared" si="21"/>
        <v>2.5666666666666669</v>
      </c>
      <c r="AC27" s="23">
        <f t="shared" si="22"/>
        <v>2.5333333333333332</v>
      </c>
      <c r="AD27" s="23">
        <f t="shared" si="23"/>
        <v>2.5</v>
      </c>
      <c r="AE27" s="23">
        <f t="shared" si="24"/>
        <v>2.4666666666666668</v>
      </c>
      <c r="AF27" s="23">
        <f t="shared" si="25"/>
        <v>2.4333333333333331</v>
      </c>
      <c r="AG27" s="23">
        <f t="shared" si="26"/>
        <v>2.4</v>
      </c>
      <c r="AH27" s="23">
        <f t="shared" si="27"/>
        <v>2.3666666666666667</v>
      </c>
      <c r="AI27" s="8"/>
      <c r="AJ27" s="24" t="str">
        <f t="shared" si="30"/>
        <v>1,2,4,5,10,20,25,50,100</v>
      </c>
      <c r="AK27" s="10"/>
      <c r="AL27" s="10"/>
      <c r="AM27" s="10"/>
      <c r="AN27" s="10"/>
      <c r="AO27" s="10"/>
      <c r="AP27" s="10"/>
      <c r="AQ27" s="10"/>
    </row>
    <row r="28" spans="1:43" x14ac:dyDescent="0.45">
      <c r="A28" s="11"/>
      <c r="B28" s="8"/>
      <c r="C28" s="8"/>
      <c r="D28" s="8">
        <v>21</v>
      </c>
      <c r="E28" s="9">
        <f t="shared" si="28"/>
        <v>105</v>
      </c>
      <c r="F28" s="23">
        <f t="shared" si="0"/>
        <v>3.4666666666666668</v>
      </c>
      <c r="G28" s="23">
        <f t="shared" si="29"/>
        <v>3.4333333333333331</v>
      </c>
      <c r="H28" s="23">
        <f t="shared" si="2"/>
        <v>3.4</v>
      </c>
      <c r="I28" s="23">
        <f t="shared" si="3"/>
        <v>3.3666666666666667</v>
      </c>
      <c r="J28" s="23">
        <f t="shared" si="4"/>
        <v>3.3333333333333335</v>
      </c>
      <c r="K28" s="23">
        <f t="shared" si="1"/>
        <v>3.3</v>
      </c>
      <c r="L28" s="23">
        <f t="shared" si="5"/>
        <v>3.2666666666666666</v>
      </c>
      <c r="M28" s="23">
        <f t="shared" si="6"/>
        <v>3.2333333333333334</v>
      </c>
      <c r="N28" s="23">
        <f t="shared" si="7"/>
        <v>3.2</v>
      </c>
      <c r="O28" s="23">
        <f t="shared" si="8"/>
        <v>3.1666666666666665</v>
      </c>
      <c r="P28" s="23">
        <f t="shared" si="9"/>
        <v>3.1333333333333333</v>
      </c>
      <c r="Q28" s="23">
        <f t="shared" si="10"/>
        <v>3.1</v>
      </c>
      <c r="R28" s="23">
        <f t="shared" si="11"/>
        <v>3.0666666666666669</v>
      </c>
      <c r="S28" s="23">
        <f t="shared" si="12"/>
        <v>3.0333333333333332</v>
      </c>
      <c r="T28" s="23">
        <f t="shared" si="13"/>
        <v>3</v>
      </c>
      <c r="U28" s="23">
        <f t="shared" si="14"/>
        <v>2.9666666666666668</v>
      </c>
      <c r="V28" s="23">
        <f t="shared" si="15"/>
        <v>2.9333333333333331</v>
      </c>
      <c r="W28" s="23">
        <f t="shared" si="16"/>
        <v>2.9</v>
      </c>
      <c r="X28" s="23">
        <f t="shared" si="17"/>
        <v>2.8666666666666667</v>
      </c>
      <c r="Y28" s="23">
        <f t="shared" si="18"/>
        <v>2.8333333333333335</v>
      </c>
      <c r="Z28" s="23">
        <f t="shared" si="19"/>
        <v>2.8</v>
      </c>
      <c r="AA28" s="23">
        <f t="shared" si="20"/>
        <v>2.7666666666666666</v>
      </c>
      <c r="AB28" s="23">
        <f t="shared" si="21"/>
        <v>2.7333333333333334</v>
      </c>
      <c r="AC28" s="23">
        <f t="shared" si="22"/>
        <v>2.7</v>
      </c>
      <c r="AD28" s="23">
        <f t="shared" si="23"/>
        <v>2.6666666666666665</v>
      </c>
      <c r="AE28" s="23">
        <f t="shared" si="24"/>
        <v>2.6333333333333333</v>
      </c>
      <c r="AF28" s="23">
        <f t="shared" si="25"/>
        <v>2.6</v>
      </c>
      <c r="AG28" s="23">
        <f t="shared" si="26"/>
        <v>2.5666666666666669</v>
      </c>
      <c r="AH28" s="23">
        <f t="shared" si="27"/>
        <v>2.5333333333333332</v>
      </c>
      <c r="AI28" s="8"/>
      <c r="AJ28" s="24" t="str">
        <f t="shared" si="30"/>
        <v>1,3,5,7,15,21,35,105</v>
      </c>
      <c r="AK28" s="10"/>
      <c r="AL28" s="10"/>
      <c r="AM28" s="10"/>
      <c r="AN28" s="10"/>
      <c r="AO28" s="10"/>
      <c r="AP28" s="10"/>
      <c r="AQ28" s="10"/>
    </row>
    <row r="29" spans="1:43" x14ac:dyDescent="0.45">
      <c r="A29" s="11"/>
      <c r="B29" s="8"/>
      <c r="C29" s="8"/>
      <c r="D29" s="8">
        <v>22</v>
      </c>
      <c r="E29" s="9">
        <f t="shared" si="28"/>
        <v>110</v>
      </c>
      <c r="F29" s="23">
        <f t="shared" si="0"/>
        <v>3.6333333333333333</v>
      </c>
      <c r="G29" s="23">
        <f t="shared" si="29"/>
        <v>3.6</v>
      </c>
      <c r="H29" s="23">
        <f t="shared" si="2"/>
        <v>3.5666666666666669</v>
      </c>
      <c r="I29" s="23">
        <f t="shared" si="3"/>
        <v>3.5333333333333332</v>
      </c>
      <c r="J29" s="23">
        <f t="shared" si="4"/>
        <v>3.5</v>
      </c>
      <c r="K29" s="23">
        <f t="shared" si="1"/>
        <v>3.4666666666666668</v>
      </c>
      <c r="L29" s="23">
        <f t="shared" si="5"/>
        <v>3.4333333333333331</v>
      </c>
      <c r="M29" s="23">
        <f t="shared" si="6"/>
        <v>3.4</v>
      </c>
      <c r="N29" s="23">
        <f t="shared" si="7"/>
        <v>3.3666666666666667</v>
      </c>
      <c r="O29" s="23">
        <f t="shared" si="8"/>
        <v>3.3333333333333335</v>
      </c>
      <c r="P29" s="23">
        <f t="shared" si="9"/>
        <v>3.3</v>
      </c>
      <c r="Q29" s="23">
        <f t="shared" si="10"/>
        <v>3.2666666666666666</v>
      </c>
      <c r="R29" s="23">
        <f t="shared" si="11"/>
        <v>3.2333333333333334</v>
      </c>
      <c r="S29" s="23">
        <f t="shared" si="12"/>
        <v>3.2</v>
      </c>
      <c r="T29" s="23">
        <f t="shared" si="13"/>
        <v>3.1666666666666665</v>
      </c>
      <c r="U29" s="23">
        <f t="shared" si="14"/>
        <v>3.1333333333333333</v>
      </c>
      <c r="V29" s="23">
        <f t="shared" si="15"/>
        <v>3.1</v>
      </c>
      <c r="W29" s="23">
        <f t="shared" si="16"/>
        <v>3.0666666666666669</v>
      </c>
      <c r="X29" s="23">
        <f t="shared" si="17"/>
        <v>3.0333333333333332</v>
      </c>
      <c r="Y29" s="23">
        <f t="shared" si="18"/>
        <v>3</v>
      </c>
      <c r="Z29" s="23">
        <f t="shared" si="19"/>
        <v>2.9666666666666668</v>
      </c>
      <c r="AA29" s="23">
        <f t="shared" si="20"/>
        <v>2.9333333333333331</v>
      </c>
      <c r="AB29" s="23">
        <f t="shared" si="21"/>
        <v>2.9</v>
      </c>
      <c r="AC29" s="23">
        <f t="shared" si="22"/>
        <v>2.8666666666666667</v>
      </c>
      <c r="AD29" s="23">
        <f t="shared" si="23"/>
        <v>2.8333333333333335</v>
      </c>
      <c r="AE29" s="23">
        <f t="shared" si="24"/>
        <v>2.8</v>
      </c>
      <c r="AF29" s="23">
        <f t="shared" si="25"/>
        <v>2.7666666666666666</v>
      </c>
      <c r="AG29" s="23">
        <f t="shared" si="26"/>
        <v>2.7333333333333334</v>
      </c>
      <c r="AH29" s="23">
        <f t="shared" si="27"/>
        <v>2.7</v>
      </c>
      <c r="AI29" s="8"/>
      <c r="AJ29" s="24" t="str">
        <f t="shared" si="30"/>
        <v>1,2,5,10,11,22,55,110</v>
      </c>
      <c r="AK29" s="10"/>
      <c r="AL29" s="10"/>
      <c r="AM29" s="10"/>
      <c r="AN29" s="10"/>
      <c r="AO29" s="10"/>
      <c r="AP29" s="10"/>
      <c r="AQ29" s="10"/>
    </row>
    <row r="30" spans="1:43" x14ac:dyDescent="0.45">
      <c r="A30" s="11"/>
      <c r="B30" s="8"/>
      <c r="C30" s="8"/>
      <c r="D30" s="8">
        <v>23</v>
      </c>
      <c r="E30" s="9">
        <f t="shared" si="28"/>
        <v>115</v>
      </c>
      <c r="F30" s="23">
        <f t="shared" si="0"/>
        <v>3.8</v>
      </c>
      <c r="G30" s="23">
        <f t="shared" si="29"/>
        <v>3.7666666666666666</v>
      </c>
      <c r="H30" s="23">
        <f t="shared" si="2"/>
        <v>3.7333333333333334</v>
      </c>
      <c r="I30" s="23">
        <f t="shared" si="3"/>
        <v>3.7</v>
      </c>
      <c r="J30" s="23">
        <f t="shared" si="4"/>
        <v>3.6666666666666665</v>
      </c>
      <c r="K30" s="23">
        <f t="shared" si="1"/>
        <v>3.6333333333333333</v>
      </c>
      <c r="L30" s="23">
        <f t="shared" si="5"/>
        <v>3.6</v>
      </c>
      <c r="M30" s="23">
        <f t="shared" si="6"/>
        <v>3.5666666666666669</v>
      </c>
      <c r="N30" s="23">
        <f t="shared" si="7"/>
        <v>3.5333333333333332</v>
      </c>
      <c r="O30" s="23">
        <f t="shared" si="8"/>
        <v>3.5</v>
      </c>
      <c r="P30" s="23">
        <f t="shared" si="9"/>
        <v>3.4666666666666668</v>
      </c>
      <c r="Q30" s="23">
        <f t="shared" si="10"/>
        <v>3.4333333333333331</v>
      </c>
      <c r="R30" s="23">
        <f t="shared" si="11"/>
        <v>3.4</v>
      </c>
      <c r="S30" s="23">
        <f t="shared" si="12"/>
        <v>3.3666666666666667</v>
      </c>
      <c r="T30" s="23">
        <f t="shared" si="13"/>
        <v>3.3333333333333335</v>
      </c>
      <c r="U30" s="23">
        <f t="shared" si="14"/>
        <v>3.3</v>
      </c>
      <c r="V30" s="23">
        <f t="shared" si="15"/>
        <v>3.2666666666666666</v>
      </c>
      <c r="W30" s="23">
        <f t="shared" si="16"/>
        <v>3.2333333333333334</v>
      </c>
      <c r="X30" s="23">
        <f t="shared" si="17"/>
        <v>3.2</v>
      </c>
      <c r="Y30" s="23">
        <f t="shared" si="18"/>
        <v>3.1666666666666665</v>
      </c>
      <c r="Z30" s="23">
        <f t="shared" si="19"/>
        <v>3.1333333333333333</v>
      </c>
      <c r="AA30" s="23">
        <f t="shared" si="20"/>
        <v>3.1</v>
      </c>
      <c r="AB30" s="23">
        <f t="shared" si="21"/>
        <v>3.0666666666666669</v>
      </c>
      <c r="AC30" s="23">
        <f t="shared" si="22"/>
        <v>3.0333333333333332</v>
      </c>
      <c r="AD30" s="23">
        <f t="shared" si="23"/>
        <v>3</v>
      </c>
      <c r="AE30" s="23">
        <f t="shared" si="24"/>
        <v>2.9666666666666668</v>
      </c>
      <c r="AF30" s="23">
        <f t="shared" si="25"/>
        <v>2.9333333333333331</v>
      </c>
      <c r="AG30" s="23">
        <f t="shared" si="26"/>
        <v>2.9</v>
      </c>
      <c r="AH30" s="23">
        <f t="shared" si="27"/>
        <v>2.8666666666666667</v>
      </c>
      <c r="AI30" s="8"/>
      <c r="AJ30" s="24" t="str">
        <f t="shared" si="30"/>
        <v>1,5,23,115</v>
      </c>
      <c r="AK30" s="10"/>
      <c r="AL30" s="10"/>
      <c r="AM30" s="10"/>
      <c r="AN30" s="10"/>
      <c r="AO30" s="10"/>
      <c r="AP30" s="10"/>
      <c r="AQ30" s="10"/>
    </row>
    <row r="31" spans="1:43" x14ac:dyDescent="0.45">
      <c r="A31" s="11"/>
      <c r="B31" s="8"/>
      <c r="C31" s="8"/>
      <c r="D31" s="8">
        <v>24</v>
      </c>
      <c r="E31" s="9">
        <f t="shared" si="28"/>
        <v>120</v>
      </c>
      <c r="F31" s="23">
        <f t="shared" si="0"/>
        <v>3.9666666666666668</v>
      </c>
      <c r="G31" s="23">
        <f t="shared" si="29"/>
        <v>3.9333333333333331</v>
      </c>
      <c r="H31" s="23">
        <f t="shared" si="2"/>
        <v>3.9</v>
      </c>
      <c r="I31" s="23">
        <f t="shared" si="3"/>
        <v>3.8666666666666667</v>
      </c>
      <c r="J31" s="23">
        <f t="shared" si="4"/>
        <v>3.8333333333333335</v>
      </c>
      <c r="K31" s="23">
        <f t="shared" si="1"/>
        <v>3.8</v>
      </c>
      <c r="L31" s="23">
        <f t="shared" si="5"/>
        <v>3.7666666666666666</v>
      </c>
      <c r="M31" s="23">
        <f t="shared" si="6"/>
        <v>3.7333333333333334</v>
      </c>
      <c r="N31" s="23">
        <f t="shared" si="7"/>
        <v>3.7</v>
      </c>
      <c r="O31" s="23">
        <f t="shared" si="8"/>
        <v>3.6666666666666665</v>
      </c>
      <c r="P31" s="23">
        <f t="shared" si="9"/>
        <v>3.6333333333333333</v>
      </c>
      <c r="Q31" s="23">
        <f t="shared" si="10"/>
        <v>3.6</v>
      </c>
      <c r="R31" s="23">
        <f t="shared" si="11"/>
        <v>3.5666666666666669</v>
      </c>
      <c r="S31" s="23">
        <f t="shared" si="12"/>
        <v>3.5333333333333332</v>
      </c>
      <c r="T31" s="23">
        <f t="shared" si="13"/>
        <v>3.5</v>
      </c>
      <c r="U31" s="23">
        <f t="shared" si="14"/>
        <v>3.4666666666666668</v>
      </c>
      <c r="V31" s="23">
        <f t="shared" si="15"/>
        <v>3.4333333333333331</v>
      </c>
      <c r="W31" s="23">
        <f t="shared" si="16"/>
        <v>3.4</v>
      </c>
      <c r="X31" s="23">
        <f t="shared" si="17"/>
        <v>3.3666666666666667</v>
      </c>
      <c r="Y31" s="23">
        <f t="shared" si="18"/>
        <v>3.3333333333333335</v>
      </c>
      <c r="Z31" s="23">
        <f t="shared" si="19"/>
        <v>3.3</v>
      </c>
      <c r="AA31" s="23">
        <f t="shared" si="20"/>
        <v>3.2666666666666666</v>
      </c>
      <c r="AB31" s="23">
        <f t="shared" si="21"/>
        <v>3.2333333333333334</v>
      </c>
      <c r="AC31" s="23">
        <f t="shared" si="22"/>
        <v>3.2</v>
      </c>
      <c r="AD31" s="23">
        <f t="shared" si="23"/>
        <v>3.1666666666666665</v>
      </c>
      <c r="AE31" s="23">
        <f t="shared" si="24"/>
        <v>3.1333333333333333</v>
      </c>
      <c r="AF31" s="23">
        <f t="shared" si="25"/>
        <v>3.1</v>
      </c>
      <c r="AG31" s="23">
        <f t="shared" si="26"/>
        <v>3.0666666666666669</v>
      </c>
      <c r="AH31" s="23">
        <f t="shared" si="27"/>
        <v>3.0333333333333332</v>
      </c>
      <c r="AI31" s="8"/>
      <c r="AJ31" s="24" t="str">
        <f t="shared" si="30"/>
        <v>1,2,3,4,5,6,8,10,12,15,20,24,30,40,60,120</v>
      </c>
      <c r="AK31" s="10"/>
      <c r="AL31" s="10"/>
      <c r="AM31" s="10"/>
      <c r="AN31" s="10"/>
      <c r="AO31" s="10"/>
      <c r="AP31" s="10"/>
      <c r="AQ31" s="10"/>
    </row>
    <row r="32" spans="1:43" x14ac:dyDescent="0.45">
      <c r="A32" s="11"/>
      <c r="B32" s="8"/>
      <c r="C32" s="8"/>
      <c r="D32" s="8">
        <v>25</v>
      </c>
      <c r="E32" s="9">
        <f t="shared" si="28"/>
        <v>125</v>
      </c>
      <c r="F32" s="23">
        <f t="shared" si="0"/>
        <v>4.1333333333333337</v>
      </c>
      <c r="G32" s="23">
        <f t="shared" si="29"/>
        <v>4.0999999999999996</v>
      </c>
      <c r="H32" s="23">
        <f t="shared" si="2"/>
        <v>4.0666666666666664</v>
      </c>
      <c r="I32" s="23">
        <f t="shared" si="3"/>
        <v>4.0333333333333332</v>
      </c>
      <c r="J32" s="23">
        <f t="shared" si="4"/>
        <v>4</v>
      </c>
      <c r="K32" s="23">
        <f t="shared" si="1"/>
        <v>3.9666666666666668</v>
      </c>
      <c r="L32" s="23">
        <f t="shared" si="5"/>
        <v>3.9333333333333331</v>
      </c>
      <c r="M32" s="23">
        <f t="shared" si="6"/>
        <v>3.9</v>
      </c>
      <c r="N32" s="23">
        <f t="shared" si="7"/>
        <v>3.8666666666666667</v>
      </c>
      <c r="O32" s="23">
        <f t="shared" si="8"/>
        <v>3.8333333333333335</v>
      </c>
      <c r="P32" s="23">
        <f t="shared" si="9"/>
        <v>3.8</v>
      </c>
      <c r="Q32" s="23">
        <f t="shared" si="10"/>
        <v>3.7666666666666666</v>
      </c>
      <c r="R32" s="23">
        <f t="shared" si="11"/>
        <v>3.7333333333333334</v>
      </c>
      <c r="S32" s="23">
        <f t="shared" si="12"/>
        <v>3.7</v>
      </c>
      <c r="T32" s="23">
        <f t="shared" si="13"/>
        <v>3.6666666666666665</v>
      </c>
      <c r="U32" s="23">
        <f t="shared" si="14"/>
        <v>3.6333333333333333</v>
      </c>
      <c r="V32" s="23">
        <f t="shared" si="15"/>
        <v>3.6</v>
      </c>
      <c r="W32" s="23">
        <f t="shared" si="16"/>
        <v>3.5666666666666669</v>
      </c>
      <c r="X32" s="23">
        <f t="shared" si="17"/>
        <v>3.5333333333333332</v>
      </c>
      <c r="Y32" s="23">
        <f t="shared" si="18"/>
        <v>3.5</v>
      </c>
      <c r="Z32" s="23">
        <f t="shared" si="19"/>
        <v>3.4666666666666668</v>
      </c>
      <c r="AA32" s="23">
        <f t="shared" si="20"/>
        <v>3.4333333333333331</v>
      </c>
      <c r="AB32" s="23">
        <f t="shared" si="21"/>
        <v>3.4</v>
      </c>
      <c r="AC32" s="23">
        <f t="shared" si="22"/>
        <v>3.3666666666666667</v>
      </c>
      <c r="AD32" s="23">
        <f t="shared" si="23"/>
        <v>3.3333333333333335</v>
      </c>
      <c r="AE32" s="23">
        <f t="shared" si="24"/>
        <v>3.3</v>
      </c>
      <c r="AF32" s="23">
        <f t="shared" si="25"/>
        <v>3.2666666666666666</v>
      </c>
      <c r="AG32" s="23">
        <f t="shared" si="26"/>
        <v>3.2333333333333334</v>
      </c>
      <c r="AH32" s="23">
        <f t="shared" si="27"/>
        <v>3.2</v>
      </c>
      <c r="AI32" s="8"/>
      <c r="AJ32" s="24" t="str">
        <f t="shared" si="30"/>
        <v>1,5,25,125</v>
      </c>
      <c r="AK32" s="10"/>
      <c r="AL32" s="10"/>
      <c r="AM32" s="10"/>
      <c r="AN32" s="10"/>
      <c r="AO32" s="10"/>
      <c r="AP32" s="10"/>
      <c r="AQ32" s="10"/>
    </row>
    <row r="33" spans="1:43" x14ac:dyDescent="0.45">
      <c r="A33" s="11"/>
      <c r="B33" s="8"/>
      <c r="C33" s="8"/>
      <c r="D33" s="8">
        <v>26</v>
      </c>
      <c r="E33" s="9">
        <f t="shared" si="28"/>
        <v>130</v>
      </c>
      <c r="F33" s="23">
        <f t="shared" si="0"/>
        <v>4.3</v>
      </c>
      <c r="G33" s="23">
        <f t="shared" si="29"/>
        <v>4.2666666666666666</v>
      </c>
      <c r="H33" s="23">
        <f t="shared" si="2"/>
        <v>4.2333333333333334</v>
      </c>
      <c r="I33" s="23">
        <f t="shared" si="3"/>
        <v>4.2</v>
      </c>
      <c r="J33" s="23">
        <f t="shared" si="4"/>
        <v>4.166666666666667</v>
      </c>
      <c r="K33" s="23">
        <f t="shared" si="1"/>
        <v>4.1333333333333337</v>
      </c>
      <c r="L33" s="23">
        <f t="shared" si="5"/>
        <v>4.0999999999999996</v>
      </c>
      <c r="M33" s="23">
        <f t="shared" si="6"/>
        <v>4.0666666666666664</v>
      </c>
      <c r="N33" s="23">
        <f t="shared" si="7"/>
        <v>4.0333333333333332</v>
      </c>
      <c r="O33" s="23">
        <f t="shared" si="8"/>
        <v>4</v>
      </c>
      <c r="P33" s="23">
        <f t="shared" si="9"/>
        <v>3.9666666666666668</v>
      </c>
      <c r="Q33" s="23">
        <f t="shared" si="10"/>
        <v>3.9333333333333331</v>
      </c>
      <c r="R33" s="23">
        <f t="shared" si="11"/>
        <v>3.9</v>
      </c>
      <c r="S33" s="23">
        <f t="shared" si="12"/>
        <v>3.8666666666666667</v>
      </c>
      <c r="T33" s="23">
        <f t="shared" si="13"/>
        <v>3.8333333333333335</v>
      </c>
      <c r="U33" s="23">
        <f t="shared" si="14"/>
        <v>3.8</v>
      </c>
      <c r="V33" s="23">
        <f t="shared" si="15"/>
        <v>3.7666666666666666</v>
      </c>
      <c r="W33" s="23">
        <f t="shared" si="16"/>
        <v>3.7333333333333334</v>
      </c>
      <c r="X33" s="23">
        <f t="shared" si="17"/>
        <v>3.7</v>
      </c>
      <c r="Y33" s="23">
        <f t="shared" si="18"/>
        <v>3.6666666666666665</v>
      </c>
      <c r="Z33" s="23">
        <f t="shared" si="19"/>
        <v>3.6333333333333333</v>
      </c>
      <c r="AA33" s="23">
        <f t="shared" si="20"/>
        <v>3.6</v>
      </c>
      <c r="AB33" s="23">
        <f t="shared" si="21"/>
        <v>3.5666666666666669</v>
      </c>
      <c r="AC33" s="23">
        <f t="shared" si="22"/>
        <v>3.5333333333333332</v>
      </c>
      <c r="AD33" s="23">
        <f t="shared" si="23"/>
        <v>3.5</v>
      </c>
      <c r="AE33" s="23">
        <f t="shared" si="24"/>
        <v>3.4666666666666668</v>
      </c>
      <c r="AF33" s="23">
        <f t="shared" si="25"/>
        <v>3.4333333333333331</v>
      </c>
      <c r="AG33" s="23">
        <f t="shared" si="26"/>
        <v>3.4</v>
      </c>
      <c r="AH33" s="23">
        <f t="shared" si="27"/>
        <v>3.3666666666666667</v>
      </c>
      <c r="AI33" s="8"/>
      <c r="AJ33" s="24" t="str">
        <f t="shared" si="30"/>
        <v>1,2,5,10,13,26,65,130</v>
      </c>
      <c r="AK33" s="10"/>
      <c r="AL33" s="10"/>
      <c r="AM33" s="10"/>
      <c r="AN33" s="10"/>
      <c r="AO33" s="10"/>
      <c r="AP33" s="10"/>
      <c r="AQ33" s="10"/>
    </row>
    <row r="34" spans="1:43" x14ac:dyDescent="0.45">
      <c r="A34" s="11"/>
      <c r="B34" s="8"/>
      <c r="C34" s="8"/>
      <c r="D34" s="8">
        <v>27</v>
      </c>
      <c r="E34" s="9">
        <f t="shared" si="28"/>
        <v>135</v>
      </c>
      <c r="F34" s="23">
        <f t="shared" si="0"/>
        <v>4.4666666666666668</v>
      </c>
      <c r="G34" s="23">
        <f t="shared" si="29"/>
        <v>4.4333333333333336</v>
      </c>
      <c r="H34" s="23">
        <f t="shared" si="2"/>
        <v>4.4000000000000004</v>
      </c>
      <c r="I34" s="23">
        <f t="shared" si="3"/>
        <v>4.3666666666666663</v>
      </c>
      <c r="J34" s="23">
        <f t="shared" si="4"/>
        <v>4.333333333333333</v>
      </c>
      <c r="K34" s="23">
        <f t="shared" si="1"/>
        <v>4.3</v>
      </c>
      <c r="L34" s="23">
        <f t="shared" si="5"/>
        <v>4.2666666666666666</v>
      </c>
      <c r="M34" s="23">
        <f t="shared" si="6"/>
        <v>4.2333333333333334</v>
      </c>
      <c r="N34" s="23">
        <f t="shared" si="7"/>
        <v>4.2</v>
      </c>
      <c r="O34" s="23">
        <f t="shared" si="8"/>
        <v>4.166666666666667</v>
      </c>
      <c r="P34" s="23">
        <f t="shared" si="9"/>
        <v>4.1333333333333337</v>
      </c>
      <c r="Q34" s="23">
        <f t="shared" si="10"/>
        <v>4.0999999999999996</v>
      </c>
      <c r="R34" s="23">
        <f t="shared" si="11"/>
        <v>4.0666666666666664</v>
      </c>
      <c r="S34" s="23">
        <f t="shared" si="12"/>
        <v>4.0333333333333332</v>
      </c>
      <c r="T34" s="23">
        <f t="shared" si="13"/>
        <v>4</v>
      </c>
      <c r="U34" s="23">
        <f t="shared" si="14"/>
        <v>3.9666666666666668</v>
      </c>
      <c r="V34" s="23">
        <f t="shared" si="15"/>
        <v>3.9333333333333331</v>
      </c>
      <c r="W34" s="23">
        <f t="shared" si="16"/>
        <v>3.9</v>
      </c>
      <c r="X34" s="23">
        <f t="shared" si="17"/>
        <v>3.8666666666666667</v>
      </c>
      <c r="Y34" s="23">
        <f t="shared" si="18"/>
        <v>3.8333333333333335</v>
      </c>
      <c r="Z34" s="23">
        <f t="shared" si="19"/>
        <v>3.8</v>
      </c>
      <c r="AA34" s="23">
        <f t="shared" si="20"/>
        <v>3.7666666666666666</v>
      </c>
      <c r="AB34" s="23">
        <f t="shared" si="21"/>
        <v>3.7333333333333334</v>
      </c>
      <c r="AC34" s="23">
        <f t="shared" si="22"/>
        <v>3.7</v>
      </c>
      <c r="AD34" s="23">
        <f t="shared" si="23"/>
        <v>3.6666666666666665</v>
      </c>
      <c r="AE34" s="23">
        <f t="shared" si="24"/>
        <v>3.6333333333333333</v>
      </c>
      <c r="AF34" s="23">
        <f t="shared" si="25"/>
        <v>3.6</v>
      </c>
      <c r="AG34" s="23">
        <f t="shared" si="26"/>
        <v>3.5666666666666669</v>
      </c>
      <c r="AH34" s="23">
        <f t="shared" si="27"/>
        <v>3.5333333333333332</v>
      </c>
      <c r="AI34" s="8"/>
      <c r="AJ34" s="24" t="str">
        <f t="shared" si="30"/>
        <v>1,3,5,9,15,27,45,135</v>
      </c>
      <c r="AK34" s="10"/>
      <c r="AL34" s="10"/>
      <c r="AM34" s="10"/>
      <c r="AN34" s="10"/>
      <c r="AO34" s="10"/>
      <c r="AP34" s="10"/>
      <c r="AQ34" s="10"/>
    </row>
    <row r="35" spans="1:43" x14ac:dyDescent="0.45">
      <c r="A35" s="11"/>
      <c r="B35" s="8"/>
      <c r="C35" s="8"/>
      <c r="D35" s="8">
        <v>28</v>
      </c>
      <c r="E35" s="9">
        <f t="shared" si="28"/>
        <v>140</v>
      </c>
      <c r="F35" s="23">
        <f t="shared" si="0"/>
        <v>4.6333333333333337</v>
      </c>
      <c r="G35" s="23">
        <f t="shared" si="29"/>
        <v>4.5999999999999996</v>
      </c>
      <c r="H35" s="23">
        <f t="shared" si="2"/>
        <v>4.5666666666666664</v>
      </c>
      <c r="I35" s="23">
        <f t="shared" si="3"/>
        <v>4.5333333333333332</v>
      </c>
      <c r="J35" s="23">
        <f t="shared" si="4"/>
        <v>4.5</v>
      </c>
      <c r="K35" s="23">
        <f t="shared" si="1"/>
        <v>4.4666666666666668</v>
      </c>
      <c r="L35" s="23">
        <f t="shared" si="5"/>
        <v>4.4333333333333336</v>
      </c>
      <c r="M35" s="23">
        <f t="shared" si="6"/>
        <v>4.4000000000000004</v>
      </c>
      <c r="N35" s="23">
        <f t="shared" si="7"/>
        <v>4.3666666666666663</v>
      </c>
      <c r="O35" s="23">
        <f t="shared" si="8"/>
        <v>4.333333333333333</v>
      </c>
      <c r="P35" s="23">
        <f t="shared" si="9"/>
        <v>4.3</v>
      </c>
      <c r="Q35" s="23">
        <f t="shared" si="10"/>
        <v>4.2666666666666666</v>
      </c>
      <c r="R35" s="23">
        <f t="shared" si="11"/>
        <v>4.2333333333333334</v>
      </c>
      <c r="S35" s="23">
        <f t="shared" si="12"/>
        <v>4.2</v>
      </c>
      <c r="T35" s="23">
        <f t="shared" si="13"/>
        <v>4.166666666666667</v>
      </c>
      <c r="U35" s="23">
        <f t="shared" si="14"/>
        <v>4.1333333333333337</v>
      </c>
      <c r="V35" s="23">
        <f t="shared" si="15"/>
        <v>4.0999999999999996</v>
      </c>
      <c r="W35" s="23">
        <f t="shared" si="16"/>
        <v>4.0666666666666664</v>
      </c>
      <c r="X35" s="23">
        <f t="shared" si="17"/>
        <v>4.0333333333333332</v>
      </c>
      <c r="Y35" s="23">
        <f t="shared" si="18"/>
        <v>4</v>
      </c>
      <c r="Z35" s="23">
        <f t="shared" si="19"/>
        <v>3.9666666666666668</v>
      </c>
      <c r="AA35" s="23">
        <f t="shared" si="20"/>
        <v>3.9333333333333331</v>
      </c>
      <c r="AB35" s="23">
        <f t="shared" si="21"/>
        <v>3.9</v>
      </c>
      <c r="AC35" s="23">
        <f t="shared" si="22"/>
        <v>3.8666666666666667</v>
      </c>
      <c r="AD35" s="23">
        <f t="shared" si="23"/>
        <v>3.8333333333333335</v>
      </c>
      <c r="AE35" s="23">
        <f t="shared" si="24"/>
        <v>3.8</v>
      </c>
      <c r="AF35" s="23">
        <f t="shared" si="25"/>
        <v>3.7666666666666666</v>
      </c>
      <c r="AG35" s="23">
        <f t="shared" si="26"/>
        <v>3.7333333333333334</v>
      </c>
      <c r="AH35" s="23">
        <f t="shared" si="27"/>
        <v>3.7</v>
      </c>
      <c r="AI35" s="8"/>
      <c r="AJ35" s="24" t="str">
        <f t="shared" si="30"/>
        <v>1,2,4,5,7,10,14,20,28,35,70,140</v>
      </c>
      <c r="AK35" s="10"/>
      <c r="AL35" s="10"/>
      <c r="AM35" s="10"/>
      <c r="AN35" s="10"/>
      <c r="AO35" s="10"/>
      <c r="AP35" s="10"/>
      <c r="AQ35" s="10"/>
    </row>
    <row r="36" spans="1:43" x14ac:dyDescent="0.45">
      <c r="A36" s="11"/>
      <c r="B36" s="8"/>
      <c r="C36" s="8"/>
      <c r="D36" s="8">
        <v>29</v>
      </c>
      <c r="E36" s="9">
        <f t="shared" si="28"/>
        <v>145</v>
      </c>
      <c r="F36" s="23">
        <f t="shared" si="0"/>
        <v>4.8</v>
      </c>
      <c r="G36" s="23">
        <f t="shared" si="29"/>
        <v>4.7666666666666666</v>
      </c>
      <c r="H36" s="23">
        <f t="shared" si="2"/>
        <v>4.7333333333333334</v>
      </c>
      <c r="I36" s="23">
        <f t="shared" si="3"/>
        <v>4.7</v>
      </c>
      <c r="J36" s="23">
        <f t="shared" si="4"/>
        <v>4.666666666666667</v>
      </c>
      <c r="K36" s="23">
        <f t="shared" si="1"/>
        <v>4.6333333333333337</v>
      </c>
      <c r="L36" s="23">
        <f t="shared" si="5"/>
        <v>4.5999999999999996</v>
      </c>
      <c r="M36" s="23">
        <f t="shared" si="6"/>
        <v>4.5666666666666664</v>
      </c>
      <c r="N36" s="23">
        <f t="shared" si="7"/>
        <v>4.5333333333333332</v>
      </c>
      <c r="O36" s="23">
        <f t="shared" si="8"/>
        <v>4.5</v>
      </c>
      <c r="P36" s="23">
        <f t="shared" si="9"/>
        <v>4.4666666666666668</v>
      </c>
      <c r="Q36" s="23">
        <f t="shared" si="10"/>
        <v>4.4333333333333336</v>
      </c>
      <c r="R36" s="23">
        <f t="shared" si="11"/>
        <v>4.4000000000000004</v>
      </c>
      <c r="S36" s="23">
        <f t="shared" si="12"/>
        <v>4.3666666666666663</v>
      </c>
      <c r="T36" s="23">
        <f t="shared" si="13"/>
        <v>4.333333333333333</v>
      </c>
      <c r="U36" s="23">
        <f t="shared" si="14"/>
        <v>4.3</v>
      </c>
      <c r="V36" s="23">
        <f t="shared" si="15"/>
        <v>4.2666666666666666</v>
      </c>
      <c r="W36" s="23">
        <f t="shared" si="16"/>
        <v>4.2333333333333334</v>
      </c>
      <c r="X36" s="23">
        <f t="shared" si="17"/>
        <v>4.2</v>
      </c>
      <c r="Y36" s="23">
        <f t="shared" si="18"/>
        <v>4.166666666666667</v>
      </c>
      <c r="Z36" s="23">
        <f t="shared" si="19"/>
        <v>4.1333333333333337</v>
      </c>
      <c r="AA36" s="23">
        <f t="shared" si="20"/>
        <v>4.0999999999999996</v>
      </c>
      <c r="AB36" s="23">
        <f t="shared" si="21"/>
        <v>4.0666666666666664</v>
      </c>
      <c r="AC36" s="23">
        <f t="shared" si="22"/>
        <v>4.0333333333333332</v>
      </c>
      <c r="AD36" s="23">
        <f t="shared" si="23"/>
        <v>4</v>
      </c>
      <c r="AE36" s="23">
        <f t="shared" si="24"/>
        <v>3.9666666666666668</v>
      </c>
      <c r="AF36" s="23">
        <f t="shared" si="25"/>
        <v>3.9333333333333331</v>
      </c>
      <c r="AG36" s="23">
        <f t="shared" si="26"/>
        <v>3.9</v>
      </c>
      <c r="AH36" s="23">
        <f t="shared" si="27"/>
        <v>3.8666666666666667</v>
      </c>
      <c r="AI36" s="8"/>
      <c r="AJ36" s="24" t="str">
        <f t="shared" si="30"/>
        <v>1,5,29,145</v>
      </c>
      <c r="AK36" s="10"/>
      <c r="AL36" s="10"/>
      <c r="AM36" s="10"/>
      <c r="AN36" s="10"/>
      <c r="AO36" s="10"/>
      <c r="AP36" s="10"/>
      <c r="AQ36" s="10"/>
    </row>
    <row r="37" spans="1:43" x14ac:dyDescent="0.45">
      <c r="A37" s="11"/>
      <c r="B37" s="8"/>
      <c r="C37" s="8"/>
      <c r="D37" s="8"/>
      <c r="E37" s="9"/>
      <c r="F37" s="9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10"/>
      <c r="AL37" s="10"/>
      <c r="AM37" s="10"/>
      <c r="AN37" s="10"/>
      <c r="AO37" s="10"/>
      <c r="AP37" s="10"/>
      <c r="AQ37" s="10"/>
    </row>
    <row r="38" spans="1:43" x14ac:dyDescent="0.45">
      <c r="A38" s="11"/>
      <c r="B38" s="8"/>
      <c r="C38" s="8"/>
      <c r="D38" s="8">
        <v>30</v>
      </c>
      <c r="E38" s="9">
        <f>D38*$E$6</f>
        <v>150</v>
      </c>
      <c r="F38" s="23">
        <f>(E38-1)/30</f>
        <v>4.9666666666666668</v>
      </c>
      <c r="G38" s="23">
        <f>(E38-2)/30</f>
        <v>4.9333333333333336</v>
      </c>
      <c r="H38" s="23">
        <f>(E38-3)/30</f>
        <v>4.9000000000000004</v>
      </c>
      <c r="I38" s="23">
        <f>(E38-4)/30</f>
        <v>4.8666666666666663</v>
      </c>
      <c r="J38" s="23">
        <f>(E38-5)/30</f>
        <v>4.833333333333333</v>
      </c>
      <c r="K38" s="23">
        <f>($E38-6)/30</f>
        <v>4.8</v>
      </c>
      <c r="L38" s="23">
        <f>($E38-7)/30</f>
        <v>4.7666666666666666</v>
      </c>
      <c r="M38" s="23">
        <f>($E38-8)/30</f>
        <v>4.7333333333333334</v>
      </c>
      <c r="N38" s="23">
        <f>($E38-9)/30</f>
        <v>4.7</v>
      </c>
      <c r="O38" s="23">
        <f>($E38-10)/30</f>
        <v>4.666666666666667</v>
      </c>
      <c r="P38" s="23">
        <f>($E38-11)/30</f>
        <v>4.6333333333333337</v>
      </c>
      <c r="Q38" s="23">
        <f>($E38-12)/30</f>
        <v>4.5999999999999996</v>
      </c>
      <c r="R38" s="23">
        <f>($E38-13)/30</f>
        <v>4.5666666666666664</v>
      </c>
      <c r="S38" s="23">
        <f>($E38-14)/30</f>
        <v>4.5333333333333332</v>
      </c>
      <c r="T38" s="23">
        <f>($E38-15)/30</f>
        <v>4.5</v>
      </c>
      <c r="U38" s="23">
        <f>($E38-16)/30</f>
        <v>4.4666666666666668</v>
      </c>
      <c r="V38" s="23">
        <f>($E38-17)/30</f>
        <v>4.4333333333333336</v>
      </c>
      <c r="W38" s="23">
        <f>($E38-18)/30</f>
        <v>4.4000000000000004</v>
      </c>
      <c r="X38" s="23">
        <f>($E38-19)/30</f>
        <v>4.3666666666666663</v>
      </c>
      <c r="Y38" s="23">
        <f>($E38-20)/30</f>
        <v>4.333333333333333</v>
      </c>
      <c r="Z38" s="23">
        <f>($E38-21)/30</f>
        <v>4.3</v>
      </c>
      <c r="AA38" s="23">
        <f>($E38-22)/30</f>
        <v>4.2666666666666666</v>
      </c>
      <c r="AB38" s="23">
        <f>($E38-23)/30</f>
        <v>4.2333333333333334</v>
      </c>
      <c r="AC38" s="23">
        <f>($E38-24)/30</f>
        <v>4.2</v>
      </c>
      <c r="AD38" s="23">
        <f>($E38-25)/30</f>
        <v>4.166666666666667</v>
      </c>
      <c r="AE38" s="23">
        <f>($E38-26)/30</f>
        <v>4.1333333333333337</v>
      </c>
      <c r="AF38" s="23">
        <f>($E38-27)/30</f>
        <v>4.0999999999999996</v>
      </c>
      <c r="AG38" s="23">
        <f>($E38-28)/30</f>
        <v>4.0666666666666664</v>
      </c>
      <c r="AH38" s="23">
        <f>($E38-29)/30</f>
        <v>4.0333333333333332</v>
      </c>
      <c r="AI38" s="8"/>
      <c r="AJ38" s="24" t="str">
        <f>FactorNumber(E38)</f>
        <v>1,2,3,5,6,10,15,25,30,50,75,150</v>
      </c>
      <c r="AK38" s="10"/>
      <c r="AL38" s="10"/>
      <c r="AM38" s="10"/>
      <c r="AN38" s="10"/>
      <c r="AO38" s="10"/>
      <c r="AP38" s="10"/>
      <c r="AQ38" s="10"/>
    </row>
    <row r="39" spans="1:43" x14ac:dyDescent="0.45">
      <c r="A39" s="11"/>
      <c r="B39" s="8"/>
      <c r="C39" s="8"/>
      <c r="D39" s="8">
        <v>31</v>
      </c>
      <c r="E39" s="9">
        <f t="shared" si="28"/>
        <v>155</v>
      </c>
      <c r="F39" s="23">
        <f t="shared" ref="F39:F104" si="31">(E39-1)/30</f>
        <v>5.1333333333333337</v>
      </c>
      <c r="G39" s="23">
        <f t="shared" ref="G39:G104" si="32">(E39-2)/30</f>
        <v>5.0999999999999996</v>
      </c>
      <c r="H39" s="23">
        <f t="shared" ref="H39:H104" si="33">(E39-3)/30</f>
        <v>5.0666666666666664</v>
      </c>
      <c r="I39" s="23">
        <f t="shared" ref="I39:I104" si="34">(E39-4)/30</f>
        <v>5.0333333333333332</v>
      </c>
      <c r="J39" s="23">
        <f t="shared" ref="J39:J104" si="35">(E39-5)/30</f>
        <v>5</v>
      </c>
      <c r="K39" s="23">
        <f t="shared" si="1"/>
        <v>4.9666666666666668</v>
      </c>
      <c r="L39" s="23">
        <f t="shared" si="5"/>
        <v>4.9333333333333336</v>
      </c>
      <c r="M39" s="23">
        <f t="shared" si="6"/>
        <v>4.9000000000000004</v>
      </c>
      <c r="N39" s="23">
        <f t="shared" si="7"/>
        <v>4.8666666666666663</v>
      </c>
      <c r="O39" s="23">
        <f t="shared" si="8"/>
        <v>4.833333333333333</v>
      </c>
      <c r="P39" s="23">
        <f t="shared" si="9"/>
        <v>4.8</v>
      </c>
      <c r="Q39" s="23">
        <f t="shared" si="10"/>
        <v>4.7666666666666666</v>
      </c>
      <c r="R39" s="23">
        <f t="shared" si="11"/>
        <v>4.7333333333333334</v>
      </c>
      <c r="S39" s="23">
        <f t="shared" si="12"/>
        <v>4.7</v>
      </c>
      <c r="T39" s="23">
        <f t="shared" si="13"/>
        <v>4.666666666666667</v>
      </c>
      <c r="U39" s="23">
        <f t="shared" si="14"/>
        <v>4.6333333333333337</v>
      </c>
      <c r="V39" s="23">
        <f t="shared" si="15"/>
        <v>4.5999999999999996</v>
      </c>
      <c r="W39" s="23">
        <f t="shared" si="16"/>
        <v>4.5666666666666664</v>
      </c>
      <c r="X39" s="23">
        <f t="shared" si="17"/>
        <v>4.5333333333333332</v>
      </c>
      <c r="Y39" s="23">
        <f t="shared" si="18"/>
        <v>4.5</v>
      </c>
      <c r="Z39" s="23">
        <f t="shared" si="19"/>
        <v>4.4666666666666668</v>
      </c>
      <c r="AA39" s="23">
        <f t="shared" si="20"/>
        <v>4.4333333333333336</v>
      </c>
      <c r="AB39" s="23">
        <f t="shared" si="21"/>
        <v>4.4000000000000004</v>
      </c>
      <c r="AC39" s="23">
        <f t="shared" si="22"/>
        <v>4.3666666666666663</v>
      </c>
      <c r="AD39" s="23">
        <f t="shared" si="23"/>
        <v>4.333333333333333</v>
      </c>
      <c r="AE39" s="23">
        <f t="shared" si="24"/>
        <v>4.3</v>
      </c>
      <c r="AF39" s="23">
        <f t="shared" si="25"/>
        <v>4.2666666666666666</v>
      </c>
      <c r="AG39" s="23">
        <f t="shared" si="26"/>
        <v>4.2333333333333334</v>
      </c>
      <c r="AH39" s="23">
        <f t="shared" si="27"/>
        <v>4.2</v>
      </c>
      <c r="AI39" s="8"/>
      <c r="AJ39" s="24" t="str">
        <f t="shared" ref="AJ39:AJ104" si="36">FactorNumber(E39)</f>
        <v>1,5,31,155</v>
      </c>
      <c r="AK39" s="10"/>
      <c r="AL39" s="10"/>
      <c r="AM39" s="10"/>
      <c r="AN39" s="10"/>
      <c r="AO39" s="10"/>
      <c r="AP39" s="10"/>
      <c r="AQ39" s="10"/>
    </row>
    <row r="40" spans="1:43" x14ac:dyDescent="0.45">
      <c r="A40" s="11"/>
      <c r="B40" s="8"/>
      <c r="C40" s="8"/>
      <c r="D40" s="8">
        <v>32</v>
      </c>
      <c r="E40" s="9">
        <f t="shared" si="28"/>
        <v>160</v>
      </c>
      <c r="F40" s="23">
        <f t="shared" si="31"/>
        <v>5.3</v>
      </c>
      <c r="G40" s="23">
        <f t="shared" si="32"/>
        <v>5.2666666666666666</v>
      </c>
      <c r="H40" s="23">
        <f t="shared" si="33"/>
        <v>5.2333333333333334</v>
      </c>
      <c r="I40" s="23">
        <f t="shared" si="34"/>
        <v>5.2</v>
      </c>
      <c r="J40" s="23">
        <f t="shared" si="35"/>
        <v>5.166666666666667</v>
      </c>
      <c r="K40" s="23">
        <f t="shared" si="1"/>
        <v>5.1333333333333337</v>
      </c>
      <c r="L40" s="23">
        <f t="shared" si="5"/>
        <v>5.0999999999999996</v>
      </c>
      <c r="M40" s="23">
        <f t="shared" si="6"/>
        <v>5.0666666666666664</v>
      </c>
      <c r="N40" s="23">
        <f t="shared" si="7"/>
        <v>5.0333333333333332</v>
      </c>
      <c r="O40" s="23">
        <f t="shared" si="8"/>
        <v>5</v>
      </c>
      <c r="P40" s="23">
        <f t="shared" si="9"/>
        <v>4.9666666666666668</v>
      </c>
      <c r="Q40" s="23">
        <f t="shared" si="10"/>
        <v>4.9333333333333336</v>
      </c>
      <c r="R40" s="23">
        <f t="shared" si="11"/>
        <v>4.9000000000000004</v>
      </c>
      <c r="S40" s="23">
        <f t="shared" si="12"/>
        <v>4.8666666666666663</v>
      </c>
      <c r="T40" s="23">
        <f t="shared" si="13"/>
        <v>4.833333333333333</v>
      </c>
      <c r="U40" s="23">
        <f t="shared" si="14"/>
        <v>4.8</v>
      </c>
      <c r="V40" s="23">
        <f t="shared" si="15"/>
        <v>4.7666666666666666</v>
      </c>
      <c r="W40" s="23">
        <f t="shared" si="16"/>
        <v>4.7333333333333334</v>
      </c>
      <c r="X40" s="23">
        <f t="shared" si="17"/>
        <v>4.7</v>
      </c>
      <c r="Y40" s="23">
        <f t="shared" si="18"/>
        <v>4.666666666666667</v>
      </c>
      <c r="Z40" s="23">
        <f t="shared" si="19"/>
        <v>4.6333333333333337</v>
      </c>
      <c r="AA40" s="23">
        <f t="shared" si="20"/>
        <v>4.5999999999999996</v>
      </c>
      <c r="AB40" s="23">
        <f t="shared" si="21"/>
        <v>4.5666666666666664</v>
      </c>
      <c r="AC40" s="23">
        <f t="shared" si="22"/>
        <v>4.5333333333333332</v>
      </c>
      <c r="AD40" s="23">
        <f t="shared" si="23"/>
        <v>4.5</v>
      </c>
      <c r="AE40" s="23">
        <f t="shared" si="24"/>
        <v>4.4666666666666668</v>
      </c>
      <c r="AF40" s="23">
        <f t="shared" si="25"/>
        <v>4.4333333333333336</v>
      </c>
      <c r="AG40" s="23">
        <f t="shared" si="26"/>
        <v>4.4000000000000004</v>
      </c>
      <c r="AH40" s="23">
        <f t="shared" si="27"/>
        <v>4.3666666666666663</v>
      </c>
      <c r="AI40" s="8"/>
      <c r="AJ40" s="24" t="str">
        <f t="shared" si="36"/>
        <v>1,2,4,5,8,10,16,20,32,40,80,160</v>
      </c>
      <c r="AK40" s="10"/>
      <c r="AL40" s="10"/>
      <c r="AM40" s="10"/>
      <c r="AN40" s="10"/>
      <c r="AO40" s="10"/>
      <c r="AP40" s="10"/>
      <c r="AQ40" s="10"/>
    </row>
    <row r="41" spans="1:43" x14ac:dyDescent="0.45">
      <c r="A41" s="11"/>
      <c r="B41" s="8"/>
      <c r="C41" s="8"/>
      <c r="D41" s="8">
        <v>33</v>
      </c>
      <c r="E41" s="9">
        <f t="shared" si="28"/>
        <v>165</v>
      </c>
      <c r="F41" s="23">
        <f t="shared" si="31"/>
        <v>5.4666666666666668</v>
      </c>
      <c r="G41" s="23">
        <f t="shared" si="32"/>
        <v>5.4333333333333336</v>
      </c>
      <c r="H41" s="23">
        <f t="shared" si="33"/>
        <v>5.4</v>
      </c>
      <c r="I41" s="23">
        <f t="shared" si="34"/>
        <v>5.3666666666666663</v>
      </c>
      <c r="J41" s="23">
        <f t="shared" si="35"/>
        <v>5.333333333333333</v>
      </c>
      <c r="K41" s="23">
        <f t="shared" si="1"/>
        <v>5.3</v>
      </c>
      <c r="L41" s="23">
        <f t="shared" si="5"/>
        <v>5.2666666666666666</v>
      </c>
      <c r="M41" s="23">
        <f t="shared" si="6"/>
        <v>5.2333333333333334</v>
      </c>
      <c r="N41" s="23">
        <f t="shared" si="7"/>
        <v>5.2</v>
      </c>
      <c r="O41" s="23">
        <f t="shared" si="8"/>
        <v>5.166666666666667</v>
      </c>
      <c r="P41" s="23">
        <f t="shared" si="9"/>
        <v>5.1333333333333337</v>
      </c>
      <c r="Q41" s="23">
        <f t="shared" si="10"/>
        <v>5.0999999999999996</v>
      </c>
      <c r="R41" s="23">
        <f t="shared" si="11"/>
        <v>5.0666666666666664</v>
      </c>
      <c r="S41" s="23">
        <f t="shared" si="12"/>
        <v>5.0333333333333332</v>
      </c>
      <c r="T41" s="23">
        <f t="shared" si="13"/>
        <v>5</v>
      </c>
      <c r="U41" s="23">
        <f t="shared" si="14"/>
        <v>4.9666666666666668</v>
      </c>
      <c r="V41" s="23">
        <f t="shared" si="15"/>
        <v>4.9333333333333336</v>
      </c>
      <c r="W41" s="23">
        <f t="shared" si="16"/>
        <v>4.9000000000000004</v>
      </c>
      <c r="X41" s="23">
        <f t="shared" si="17"/>
        <v>4.8666666666666663</v>
      </c>
      <c r="Y41" s="23">
        <f t="shared" si="18"/>
        <v>4.833333333333333</v>
      </c>
      <c r="Z41" s="23">
        <f t="shared" si="19"/>
        <v>4.8</v>
      </c>
      <c r="AA41" s="23">
        <f t="shared" si="20"/>
        <v>4.7666666666666666</v>
      </c>
      <c r="AB41" s="23">
        <f t="shared" si="21"/>
        <v>4.7333333333333334</v>
      </c>
      <c r="AC41" s="23">
        <f t="shared" si="22"/>
        <v>4.7</v>
      </c>
      <c r="AD41" s="23">
        <f t="shared" si="23"/>
        <v>4.666666666666667</v>
      </c>
      <c r="AE41" s="23">
        <f t="shared" si="24"/>
        <v>4.6333333333333337</v>
      </c>
      <c r="AF41" s="23">
        <f t="shared" si="25"/>
        <v>4.5999999999999996</v>
      </c>
      <c r="AG41" s="23">
        <f t="shared" si="26"/>
        <v>4.5666666666666664</v>
      </c>
      <c r="AH41" s="23">
        <f t="shared" si="27"/>
        <v>4.5333333333333332</v>
      </c>
      <c r="AI41" s="8"/>
      <c r="AJ41" s="24" t="str">
        <f t="shared" si="36"/>
        <v>1,3,5,11,15,33,55,165</v>
      </c>
      <c r="AK41" s="10"/>
      <c r="AL41" s="10"/>
      <c r="AM41" s="10"/>
      <c r="AN41" s="10"/>
      <c r="AO41" s="10"/>
      <c r="AP41" s="10"/>
      <c r="AQ41" s="10"/>
    </row>
    <row r="42" spans="1:43" x14ac:dyDescent="0.45">
      <c r="A42" s="11"/>
      <c r="B42" s="8"/>
      <c r="C42" s="8"/>
      <c r="D42" s="8">
        <v>34</v>
      </c>
      <c r="E42" s="9">
        <f t="shared" si="28"/>
        <v>170</v>
      </c>
      <c r="F42" s="23">
        <f t="shared" si="31"/>
        <v>5.6333333333333337</v>
      </c>
      <c r="G42" s="23">
        <f t="shared" si="32"/>
        <v>5.6</v>
      </c>
      <c r="H42" s="23">
        <f t="shared" si="33"/>
        <v>5.5666666666666664</v>
      </c>
      <c r="I42" s="23">
        <f t="shared" si="34"/>
        <v>5.5333333333333332</v>
      </c>
      <c r="J42" s="23">
        <f t="shared" si="35"/>
        <v>5.5</v>
      </c>
      <c r="K42" s="23">
        <f t="shared" si="1"/>
        <v>5.4666666666666668</v>
      </c>
      <c r="L42" s="23">
        <f t="shared" si="5"/>
        <v>5.4333333333333336</v>
      </c>
      <c r="M42" s="23">
        <f t="shared" si="6"/>
        <v>5.4</v>
      </c>
      <c r="N42" s="23">
        <f t="shared" si="7"/>
        <v>5.3666666666666663</v>
      </c>
      <c r="O42" s="23">
        <f t="shared" si="8"/>
        <v>5.333333333333333</v>
      </c>
      <c r="P42" s="23">
        <f t="shared" si="9"/>
        <v>5.3</v>
      </c>
      <c r="Q42" s="23">
        <f t="shared" si="10"/>
        <v>5.2666666666666666</v>
      </c>
      <c r="R42" s="23">
        <f t="shared" si="11"/>
        <v>5.2333333333333334</v>
      </c>
      <c r="S42" s="23">
        <f t="shared" si="12"/>
        <v>5.2</v>
      </c>
      <c r="T42" s="23">
        <f t="shared" si="13"/>
        <v>5.166666666666667</v>
      </c>
      <c r="U42" s="23">
        <f t="shared" si="14"/>
        <v>5.1333333333333337</v>
      </c>
      <c r="V42" s="23">
        <f t="shared" si="15"/>
        <v>5.0999999999999996</v>
      </c>
      <c r="W42" s="23">
        <f t="shared" si="16"/>
        <v>5.0666666666666664</v>
      </c>
      <c r="X42" s="23">
        <f t="shared" si="17"/>
        <v>5.0333333333333332</v>
      </c>
      <c r="Y42" s="23">
        <f t="shared" si="18"/>
        <v>5</v>
      </c>
      <c r="Z42" s="23">
        <f t="shared" si="19"/>
        <v>4.9666666666666668</v>
      </c>
      <c r="AA42" s="23">
        <f t="shared" si="20"/>
        <v>4.9333333333333336</v>
      </c>
      <c r="AB42" s="23">
        <f t="shared" si="21"/>
        <v>4.9000000000000004</v>
      </c>
      <c r="AC42" s="23">
        <f t="shared" si="22"/>
        <v>4.8666666666666663</v>
      </c>
      <c r="AD42" s="23">
        <f t="shared" si="23"/>
        <v>4.833333333333333</v>
      </c>
      <c r="AE42" s="23">
        <f t="shared" si="24"/>
        <v>4.8</v>
      </c>
      <c r="AF42" s="23">
        <f t="shared" si="25"/>
        <v>4.7666666666666666</v>
      </c>
      <c r="AG42" s="23">
        <f t="shared" si="26"/>
        <v>4.7333333333333334</v>
      </c>
      <c r="AH42" s="23">
        <f t="shared" si="27"/>
        <v>4.7</v>
      </c>
      <c r="AI42" s="8"/>
      <c r="AJ42" s="24" t="str">
        <f t="shared" si="36"/>
        <v>1,2,5,10,17,34,85,170</v>
      </c>
      <c r="AK42" s="10"/>
      <c r="AL42" s="10"/>
      <c r="AM42" s="10"/>
      <c r="AN42" s="10"/>
      <c r="AO42" s="10"/>
      <c r="AP42" s="10"/>
      <c r="AQ42" s="10"/>
    </row>
    <row r="43" spans="1:43" x14ac:dyDescent="0.45">
      <c r="A43" s="11"/>
      <c r="B43" s="8"/>
      <c r="C43" s="8"/>
      <c r="D43" s="8">
        <v>35</v>
      </c>
      <c r="E43" s="9">
        <f t="shared" si="28"/>
        <v>175</v>
      </c>
      <c r="F43" s="23">
        <f t="shared" si="31"/>
        <v>5.8</v>
      </c>
      <c r="G43" s="23">
        <f t="shared" si="32"/>
        <v>5.7666666666666666</v>
      </c>
      <c r="H43" s="23">
        <f t="shared" si="33"/>
        <v>5.7333333333333334</v>
      </c>
      <c r="I43" s="23">
        <f t="shared" si="34"/>
        <v>5.7</v>
      </c>
      <c r="J43" s="23">
        <f t="shared" si="35"/>
        <v>5.666666666666667</v>
      </c>
      <c r="K43" s="23">
        <f t="shared" si="1"/>
        <v>5.6333333333333337</v>
      </c>
      <c r="L43" s="23">
        <f t="shared" si="5"/>
        <v>5.6</v>
      </c>
      <c r="M43" s="23">
        <f t="shared" si="6"/>
        <v>5.5666666666666664</v>
      </c>
      <c r="N43" s="23">
        <f t="shared" si="7"/>
        <v>5.5333333333333332</v>
      </c>
      <c r="O43" s="23">
        <f t="shared" si="8"/>
        <v>5.5</v>
      </c>
      <c r="P43" s="23">
        <f t="shared" si="9"/>
        <v>5.4666666666666668</v>
      </c>
      <c r="Q43" s="23">
        <f t="shared" si="10"/>
        <v>5.4333333333333336</v>
      </c>
      <c r="R43" s="23">
        <f t="shared" si="11"/>
        <v>5.4</v>
      </c>
      <c r="S43" s="23">
        <f t="shared" si="12"/>
        <v>5.3666666666666663</v>
      </c>
      <c r="T43" s="23">
        <f t="shared" si="13"/>
        <v>5.333333333333333</v>
      </c>
      <c r="U43" s="23">
        <f t="shared" si="14"/>
        <v>5.3</v>
      </c>
      <c r="V43" s="23">
        <f t="shared" si="15"/>
        <v>5.2666666666666666</v>
      </c>
      <c r="W43" s="23">
        <f t="shared" si="16"/>
        <v>5.2333333333333334</v>
      </c>
      <c r="X43" s="23">
        <f t="shared" si="17"/>
        <v>5.2</v>
      </c>
      <c r="Y43" s="23">
        <f t="shared" si="18"/>
        <v>5.166666666666667</v>
      </c>
      <c r="Z43" s="23">
        <f t="shared" si="19"/>
        <v>5.1333333333333337</v>
      </c>
      <c r="AA43" s="23">
        <f t="shared" si="20"/>
        <v>5.0999999999999996</v>
      </c>
      <c r="AB43" s="23">
        <f t="shared" si="21"/>
        <v>5.0666666666666664</v>
      </c>
      <c r="AC43" s="23">
        <f t="shared" si="22"/>
        <v>5.0333333333333332</v>
      </c>
      <c r="AD43" s="23">
        <f t="shared" si="23"/>
        <v>5</v>
      </c>
      <c r="AE43" s="23">
        <f t="shared" si="24"/>
        <v>4.9666666666666668</v>
      </c>
      <c r="AF43" s="23">
        <f t="shared" si="25"/>
        <v>4.9333333333333336</v>
      </c>
      <c r="AG43" s="23">
        <f t="shared" si="26"/>
        <v>4.9000000000000004</v>
      </c>
      <c r="AH43" s="23">
        <f t="shared" si="27"/>
        <v>4.8666666666666663</v>
      </c>
      <c r="AI43" s="8"/>
      <c r="AJ43" s="24" t="str">
        <f t="shared" si="36"/>
        <v>1,5,7,25,35,175</v>
      </c>
      <c r="AK43" s="10"/>
      <c r="AL43" s="10"/>
      <c r="AM43" s="10"/>
      <c r="AN43" s="10"/>
      <c r="AO43" s="10"/>
      <c r="AP43" s="10"/>
      <c r="AQ43" s="10"/>
    </row>
    <row r="44" spans="1:43" x14ac:dyDescent="0.45">
      <c r="A44" s="11"/>
      <c r="B44" s="8"/>
      <c r="C44" s="8"/>
      <c r="D44" s="8">
        <v>36</v>
      </c>
      <c r="E44" s="9">
        <f t="shared" si="28"/>
        <v>180</v>
      </c>
      <c r="F44" s="23">
        <f t="shared" si="31"/>
        <v>5.9666666666666668</v>
      </c>
      <c r="G44" s="23">
        <f t="shared" si="32"/>
        <v>5.9333333333333336</v>
      </c>
      <c r="H44" s="23">
        <f t="shared" si="33"/>
        <v>5.9</v>
      </c>
      <c r="I44" s="23">
        <f t="shared" si="34"/>
        <v>5.8666666666666663</v>
      </c>
      <c r="J44" s="23">
        <f t="shared" si="35"/>
        <v>5.833333333333333</v>
      </c>
      <c r="K44" s="23">
        <f t="shared" si="1"/>
        <v>5.8</v>
      </c>
      <c r="L44" s="23">
        <f t="shared" si="5"/>
        <v>5.7666666666666666</v>
      </c>
      <c r="M44" s="23">
        <f t="shared" si="6"/>
        <v>5.7333333333333334</v>
      </c>
      <c r="N44" s="23">
        <f t="shared" si="7"/>
        <v>5.7</v>
      </c>
      <c r="O44" s="23">
        <f t="shared" si="8"/>
        <v>5.666666666666667</v>
      </c>
      <c r="P44" s="23">
        <f t="shared" si="9"/>
        <v>5.6333333333333337</v>
      </c>
      <c r="Q44" s="23">
        <f t="shared" si="10"/>
        <v>5.6</v>
      </c>
      <c r="R44" s="23">
        <f t="shared" si="11"/>
        <v>5.5666666666666664</v>
      </c>
      <c r="S44" s="23">
        <f t="shared" si="12"/>
        <v>5.5333333333333332</v>
      </c>
      <c r="T44" s="23">
        <f t="shared" si="13"/>
        <v>5.5</v>
      </c>
      <c r="U44" s="23">
        <f t="shared" si="14"/>
        <v>5.4666666666666668</v>
      </c>
      <c r="V44" s="23">
        <f t="shared" si="15"/>
        <v>5.4333333333333336</v>
      </c>
      <c r="W44" s="23">
        <f t="shared" si="16"/>
        <v>5.4</v>
      </c>
      <c r="X44" s="23">
        <f t="shared" si="17"/>
        <v>5.3666666666666663</v>
      </c>
      <c r="Y44" s="23">
        <f t="shared" si="18"/>
        <v>5.333333333333333</v>
      </c>
      <c r="Z44" s="23">
        <f t="shared" si="19"/>
        <v>5.3</v>
      </c>
      <c r="AA44" s="23">
        <f t="shared" si="20"/>
        <v>5.2666666666666666</v>
      </c>
      <c r="AB44" s="23">
        <f t="shared" si="21"/>
        <v>5.2333333333333334</v>
      </c>
      <c r="AC44" s="23">
        <f t="shared" si="22"/>
        <v>5.2</v>
      </c>
      <c r="AD44" s="23">
        <f t="shared" si="23"/>
        <v>5.166666666666667</v>
      </c>
      <c r="AE44" s="23">
        <f t="shared" si="24"/>
        <v>5.1333333333333337</v>
      </c>
      <c r="AF44" s="23">
        <f t="shared" si="25"/>
        <v>5.0999999999999996</v>
      </c>
      <c r="AG44" s="23">
        <f t="shared" si="26"/>
        <v>5.0666666666666664</v>
      </c>
      <c r="AH44" s="23">
        <f t="shared" si="27"/>
        <v>5.0333333333333332</v>
      </c>
      <c r="AI44" s="8"/>
      <c r="AJ44" s="24" t="str">
        <f t="shared" si="36"/>
        <v>1,2,3,4,5,6,9,10,12,15,18,20,30,36,45,60,90,180</v>
      </c>
      <c r="AK44" s="10"/>
      <c r="AL44" s="10"/>
      <c r="AM44" s="10"/>
      <c r="AN44" s="10"/>
      <c r="AO44" s="10"/>
      <c r="AP44" s="10"/>
      <c r="AQ44" s="10"/>
    </row>
    <row r="45" spans="1:43" x14ac:dyDescent="0.45">
      <c r="A45" s="11"/>
      <c r="B45" s="8"/>
      <c r="C45" s="8"/>
      <c r="D45" s="8">
        <v>37</v>
      </c>
      <c r="E45" s="9">
        <f t="shared" si="28"/>
        <v>185</v>
      </c>
      <c r="F45" s="23">
        <f t="shared" si="31"/>
        <v>6.1333333333333337</v>
      </c>
      <c r="G45" s="23">
        <f t="shared" si="32"/>
        <v>6.1</v>
      </c>
      <c r="H45" s="23">
        <f t="shared" si="33"/>
        <v>6.0666666666666664</v>
      </c>
      <c r="I45" s="23">
        <f t="shared" si="34"/>
        <v>6.0333333333333332</v>
      </c>
      <c r="J45" s="23">
        <f t="shared" si="35"/>
        <v>6</v>
      </c>
      <c r="K45" s="23">
        <f t="shared" si="1"/>
        <v>5.9666666666666668</v>
      </c>
      <c r="L45" s="23">
        <f t="shared" si="5"/>
        <v>5.9333333333333336</v>
      </c>
      <c r="M45" s="23">
        <f t="shared" si="6"/>
        <v>5.9</v>
      </c>
      <c r="N45" s="23">
        <f t="shared" si="7"/>
        <v>5.8666666666666663</v>
      </c>
      <c r="O45" s="23">
        <f t="shared" si="8"/>
        <v>5.833333333333333</v>
      </c>
      <c r="P45" s="23">
        <f t="shared" si="9"/>
        <v>5.8</v>
      </c>
      <c r="Q45" s="23">
        <f t="shared" si="10"/>
        <v>5.7666666666666666</v>
      </c>
      <c r="R45" s="23">
        <f t="shared" si="11"/>
        <v>5.7333333333333334</v>
      </c>
      <c r="S45" s="23">
        <f t="shared" si="12"/>
        <v>5.7</v>
      </c>
      <c r="T45" s="23">
        <f t="shared" si="13"/>
        <v>5.666666666666667</v>
      </c>
      <c r="U45" s="23">
        <f t="shared" si="14"/>
        <v>5.6333333333333337</v>
      </c>
      <c r="V45" s="23">
        <f t="shared" si="15"/>
        <v>5.6</v>
      </c>
      <c r="W45" s="23">
        <f t="shared" si="16"/>
        <v>5.5666666666666664</v>
      </c>
      <c r="X45" s="23">
        <f t="shared" si="17"/>
        <v>5.5333333333333332</v>
      </c>
      <c r="Y45" s="23">
        <f t="shared" si="18"/>
        <v>5.5</v>
      </c>
      <c r="Z45" s="23">
        <f t="shared" si="19"/>
        <v>5.4666666666666668</v>
      </c>
      <c r="AA45" s="23">
        <f t="shared" si="20"/>
        <v>5.4333333333333336</v>
      </c>
      <c r="AB45" s="23">
        <f t="shared" si="21"/>
        <v>5.4</v>
      </c>
      <c r="AC45" s="23">
        <f t="shared" si="22"/>
        <v>5.3666666666666663</v>
      </c>
      <c r="AD45" s="23">
        <f t="shared" si="23"/>
        <v>5.333333333333333</v>
      </c>
      <c r="AE45" s="23">
        <f t="shared" si="24"/>
        <v>5.3</v>
      </c>
      <c r="AF45" s="23">
        <f t="shared" si="25"/>
        <v>5.2666666666666666</v>
      </c>
      <c r="AG45" s="23">
        <f t="shared" si="26"/>
        <v>5.2333333333333334</v>
      </c>
      <c r="AH45" s="23">
        <f t="shared" si="27"/>
        <v>5.2</v>
      </c>
      <c r="AI45" s="8"/>
      <c r="AJ45" s="24" t="str">
        <f t="shared" si="36"/>
        <v>1,5,37,185</v>
      </c>
      <c r="AK45" s="10"/>
      <c r="AL45" s="10"/>
      <c r="AM45" s="10"/>
      <c r="AN45" s="10"/>
      <c r="AO45" s="10"/>
      <c r="AP45" s="10"/>
      <c r="AQ45" s="10"/>
    </row>
    <row r="46" spans="1:43" x14ac:dyDescent="0.45">
      <c r="A46" s="11"/>
      <c r="B46" s="8"/>
      <c r="C46" s="8"/>
      <c r="D46" s="8">
        <v>38</v>
      </c>
      <c r="E46" s="9">
        <f t="shared" si="28"/>
        <v>190</v>
      </c>
      <c r="F46" s="23">
        <f t="shared" si="31"/>
        <v>6.3</v>
      </c>
      <c r="G46" s="23">
        <f t="shared" si="32"/>
        <v>6.2666666666666666</v>
      </c>
      <c r="H46" s="23">
        <f t="shared" si="33"/>
        <v>6.2333333333333334</v>
      </c>
      <c r="I46" s="23">
        <f t="shared" si="34"/>
        <v>6.2</v>
      </c>
      <c r="J46" s="23">
        <f t="shared" si="35"/>
        <v>6.166666666666667</v>
      </c>
      <c r="K46" s="23">
        <f t="shared" si="1"/>
        <v>6.1333333333333337</v>
      </c>
      <c r="L46" s="23">
        <f t="shared" si="5"/>
        <v>6.1</v>
      </c>
      <c r="M46" s="23">
        <f t="shared" si="6"/>
        <v>6.0666666666666664</v>
      </c>
      <c r="N46" s="23">
        <f t="shared" si="7"/>
        <v>6.0333333333333332</v>
      </c>
      <c r="O46" s="23">
        <f t="shared" si="8"/>
        <v>6</v>
      </c>
      <c r="P46" s="23">
        <f t="shared" si="9"/>
        <v>5.9666666666666668</v>
      </c>
      <c r="Q46" s="23">
        <f t="shared" si="10"/>
        <v>5.9333333333333336</v>
      </c>
      <c r="R46" s="23">
        <f t="shared" si="11"/>
        <v>5.9</v>
      </c>
      <c r="S46" s="23">
        <f t="shared" si="12"/>
        <v>5.8666666666666663</v>
      </c>
      <c r="T46" s="23">
        <f t="shared" si="13"/>
        <v>5.833333333333333</v>
      </c>
      <c r="U46" s="23">
        <f t="shared" si="14"/>
        <v>5.8</v>
      </c>
      <c r="V46" s="23">
        <f t="shared" si="15"/>
        <v>5.7666666666666666</v>
      </c>
      <c r="W46" s="23">
        <f t="shared" si="16"/>
        <v>5.7333333333333334</v>
      </c>
      <c r="X46" s="23">
        <f t="shared" si="17"/>
        <v>5.7</v>
      </c>
      <c r="Y46" s="23">
        <f t="shared" si="18"/>
        <v>5.666666666666667</v>
      </c>
      <c r="Z46" s="23">
        <f t="shared" si="19"/>
        <v>5.6333333333333337</v>
      </c>
      <c r="AA46" s="23">
        <f t="shared" si="20"/>
        <v>5.6</v>
      </c>
      <c r="AB46" s="23">
        <f t="shared" si="21"/>
        <v>5.5666666666666664</v>
      </c>
      <c r="AC46" s="23">
        <f t="shared" si="22"/>
        <v>5.5333333333333332</v>
      </c>
      <c r="AD46" s="23">
        <f t="shared" si="23"/>
        <v>5.5</v>
      </c>
      <c r="AE46" s="23">
        <f t="shared" si="24"/>
        <v>5.4666666666666668</v>
      </c>
      <c r="AF46" s="23">
        <f t="shared" si="25"/>
        <v>5.4333333333333336</v>
      </c>
      <c r="AG46" s="23">
        <f t="shared" si="26"/>
        <v>5.4</v>
      </c>
      <c r="AH46" s="23">
        <f t="shared" si="27"/>
        <v>5.3666666666666663</v>
      </c>
      <c r="AI46" s="8"/>
      <c r="AJ46" s="24" t="str">
        <f t="shared" si="36"/>
        <v>1,2,5,10,19,38,95,190</v>
      </c>
      <c r="AK46" s="10"/>
      <c r="AL46" s="10"/>
      <c r="AM46" s="10"/>
      <c r="AN46" s="10"/>
      <c r="AO46" s="10"/>
      <c r="AP46" s="10"/>
      <c r="AQ46" s="10"/>
    </row>
    <row r="47" spans="1:43" x14ac:dyDescent="0.45">
      <c r="A47" s="11"/>
      <c r="B47" s="8"/>
      <c r="C47" s="8"/>
      <c r="D47" s="8">
        <v>39</v>
      </c>
      <c r="E47" s="9">
        <f t="shared" si="28"/>
        <v>195</v>
      </c>
      <c r="F47" s="23">
        <f t="shared" si="31"/>
        <v>6.4666666666666668</v>
      </c>
      <c r="G47" s="23">
        <f t="shared" si="32"/>
        <v>6.4333333333333336</v>
      </c>
      <c r="H47" s="23">
        <f t="shared" si="33"/>
        <v>6.4</v>
      </c>
      <c r="I47" s="23">
        <f t="shared" si="34"/>
        <v>6.3666666666666663</v>
      </c>
      <c r="J47" s="23">
        <f t="shared" si="35"/>
        <v>6.333333333333333</v>
      </c>
      <c r="K47" s="23">
        <f t="shared" si="1"/>
        <v>6.3</v>
      </c>
      <c r="L47" s="23">
        <f t="shared" si="5"/>
        <v>6.2666666666666666</v>
      </c>
      <c r="M47" s="23">
        <f t="shared" si="6"/>
        <v>6.2333333333333334</v>
      </c>
      <c r="N47" s="23">
        <f t="shared" si="7"/>
        <v>6.2</v>
      </c>
      <c r="O47" s="23">
        <f t="shared" si="8"/>
        <v>6.166666666666667</v>
      </c>
      <c r="P47" s="23">
        <f t="shared" si="9"/>
        <v>6.1333333333333337</v>
      </c>
      <c r="Q47" s="23">
        <f t="shared" si="10"/>
        <v>6.1</v>
      </c>
      <c r="R47" s="23">
        <f t="shared" si="11"/>
        <v>6.0666666666666664</v>
      </c>
      <c r="S47" s="23">
        <f t="shared" si="12"/>
        <v>6.0333333333333332</v>
      </c>
      <c r="T47" s="23">
        <f t="shared" si="13"/>
        <v>6</v>
      </c>
      <c r="U47" s="23">
        <f t="shared" si="14"/>
        <v>5.9666666666666668</v>
      </c>
      <c r="V47" s="23">
        <f t="shared" si="15"/>
        <v>5.9333333333333336</v>
      </c>
      <c r="W47" s="23">
        <f t="shared" si="16"/>
        <v>5.9</v>
      </c>
      <c r="X47" s="23">
        <f t="shared" si="17"/>
        <v>5.8666666666666663</v>
      </c>
      <c r="Y47" s="23">
        <f t="shared" si="18"/>
        <v>5.833333333333333</v>
      </c>
      <c r="Z47" s="23">
        <f t="shared" si="19"/>
        <v>5.8</v>
      </c>
      <c r="AA47" s="23">
        <f t="shared" si="20"/>
        <v>5.7666666666666666</v>
      </c>
      <c r="AB47" s="23">
        <f t="shared" si="21"/>
        <v>5.7333333333333334</v>
      </c>
      <c r="AC47" s="23">
        <f t="shared" si="22"/>
        <v>5.7</v>
      </c>
      <c r="AD47" s="23">
        <f t="shared" si="23"/>
        <v>5.666666666666667</v>
      </c>
      <c r="AE47" s="23">
        <f t="shared" si="24"/>
        <v>5.6333333333333337</v>
      </c>
      <c r="AF47" s="23">
        <f t="shared" si="25"/>
        <v>5.6</v>
      </c>
      <c r="AG47" s="23">
        <f t="shared" si="26"/>
        <v>5.5666666666666664</v>
      </c>
      <c r="AH47" s="23">
        <f t="shared" si="27"/>
        <v>5.5333333333333332</v>
      </c>
      <c r="AI47" s="8"/>
      <c r="AJ47" s="24" t="str">
        <f t="shared" si="36"/>
        <v>1,3,5,13,15,39,65,195</v>
      </c>
      <c r="AK47" s="10"/>
      <c r="AL47" s="10"/>
      <c r="AM47" s="10"/>
      <c r="AN47" s="10"/>
      <c r="AO47" s="10"/>
      <c r="AP47" s="10"/>
      <c r="AQ47" s="10"/>
    </row>
    <row r="48" spans="1:43" x14ac:dyDescent="0.45">
      <c r="A48" s="11"/>
      <c r="B48" s="8"/>
      <c r="C48" s="8"/>
      <c r="D48" s="8">
        <v>40</v>
      </c>
      <c r="E48" s="9">
        <f t="shared" si="28"/>
        <v>200</v>
      </c>
      <c r="F48" s="23">
        <f t="shared" si="31"/>
        <v>6.6333333333333337</v>
      </c>
      <c r="G48" s="23">
        <f t="shared" si="32"/>
        <v>6.6</v>
      </c>
      <c r="H48" s="23">
        <f t="shared" si="33"/>
        <v>6.5666666666666664</v>
      </c>
      <c r="I48" s="23">
        <f t="shared" si="34"/>
        <v>6.5333333333333332</v>
      </c>
      <c r="J48" s="23">
        <f t="shared" si="35"/>
        <v>6.5</v>
      </c>
      <c r="K48" s="23">
        <f t="shared" si="1"/>
        <v>6.4666666666666668</v>
      </c>
      <c r="L48" s="23">
        <f t="shared" si="5"/>
        <v>6.4333333333333336</v>
      </c>
      <c r="M48" s="23">
        <f t="shared" si="6"/>
        <v>6.4</v>
      </c>
      <c r="N48" s="23">
        <f t="shared" si="7"/>
        <v>6.3666666666666663</v>
      </c>
      <c r="O48" s="23">
        <f t="shared" si="8"/>
        <v>6.333333333333333</v>
      </c>
      <c r="P48" s="23">
        <f t="shared" si="9"/>
        <v>6.3</v>
      </c>
      <c r="Q48" s="23">
        <f t="shared" si="10"/>
        <v>6.2666666666666666</v>
      </c>
      <c r="R48" s="23">
        <f t="shared" si="11"/>
        <v>6.2333333333333334</v>
      </c>
      <c r="S48" s="23">
        <f t="shared" si="12"/>
        <v>6.2</v>
      </c>
      <c r="T48" s="23">
        <f t="shared" si="13"/>
        <v>6.166666666666667</v>
      </c>
      <c r="U48" s="23">
        <f t="shared" si="14"/>
        <v>6.1333333333333337</v>
      </c>
      <c r="V48" s="23">
        <f t="shared" si="15"/>
        <v>6.1</v>
      </c>
      <c r="W48" s="23">
        <f t="shared" si="16"/>
        <v>6.0666666666666664</v>
      </c>
      <c r="X48" s="23">
        <f t="shared" si="17"/>
        <v>6.0333333333333332</v>
      </c>
      <c r="Y48" s="23">
        <f t="shared" si="18"/>
        <v>6</v>
      </c>
      <c r="Z48" s="23">
        <f t="shared" si="19"/>
        <v>5.9666666666666668</v>
      </c>
      <c r="AA48" s="23">
        <f t="shared" si="20"/>
        <v>5.9333333333333336</v>
      </c>
      <c r="AB48" s="23">
        <f t="shared" si="21"/>
        <v>5.9</v>
      </c>
      <c r="AC48" s="23">
        <f t="shared" si="22"/>
        <v>5.8666666666666663</v>
      </c>
      <c r="AD48" s="23">
        <f t="shared" si="23"/>
        <v>5.833333333333333</v>
      </c>
      <c r="AE48" s="23">
        <f t="shared" si="24"/>
        <v>5.8</v>
      </c>
      <c r="AF48" s="23">
        <f t="shared" si="25"/>
        <v>5.7666666666666666</v>
      </c>
      <c r="AG48" s="23">
        <f t="shared" si="26"/>
        <v>5.7333333333333334</v>
      </c>
      <c r="AH48" s="23">
        <f t="shared" si="27"/>
        <v>5.7</v>
      </c>
      <c r="AI48" s="8"/>
      <c r="AJ48" s="24" t="str">
        <f t="shared" si="36"/>
        <v>1,2,4,5,8,10,20,25,40,50,100,200</v>
      </c>
      <c r="AK48" s="10"/>
      <c r="AL48" s="10"/>
      <c r="AM48" s="10"/>
      <c r="AN48" s="10"/>
      <c r="AO48" s="10"/>
      <c r="AP48" s="10"/>
      <c r="AQ48" s="10"/>
    </row>
    <row r="49" spans="1:43" x14ac:dyDescent="0.45">
      <c r="A49" s="11"/>
      <c r="B49" s="8"/>
      <c r="C49" s="8"/>
      <c r="D49" s="8">
        <v>41</v>
      </c>
      <c r="E49" s="9">
        <f t="shared" si="28"/>
        <v>205</v>
      </c>
      <c r="F49" s="23">
        <f t="shared" si="31"/>
        <v>6.8</v>
      </c>
      <c r="G49" s="23">
        <f t="shared" si="32"/>
        <v>6.7666666666666666</v>
      </c>
      <c r="H49" s="23">
        <f t="shared" si="33"/>
        <v>6.7333333333333334</v>
      </c>
      <c r="I49" s="23">
        <f t="shared" si="34"/>
        <v>6.7</v>
      </c>
      <c r="J49" s="23">
        <f t="shared" si="35"/>
        <v>6.666666666666667</v>
      </c>
      <c r="K49" s="23">
        <f t="shared" si="1"/>
        <v>6.6333333333333337</v>
      </c>
      <c r="L49" s="23">
        <f t="shared" si="5"/>
        <v>6.6</v>
      </c>
      <c r="M49" s="23">
        <f t="shared" si="6"/>
        <v>6.5666666666666664</v>
      </c>
      <c r="N49" s="23">
        <f t="shared" si="7"/>
        <v>6.5333333333333332</v>
      </c>
      <c r="O49" s="23">
        <f t="shared" si="8"/>
        <v>6.5</v>
      </c>
      <c r="P49" s="23">
        <f t="shared" si="9"/>
        <v>6.4666666666666668</v>
      </c>
      <c r="Q49" s="23">
        <f t="shared" si="10"/>
        <v>6.4333333333333336</v>
      </c>
      <c r="R49" s="23">
        <f t="shared" si="11"/>
        <v>6.4</v>
      </c>
      <c r="S49" s="23">
        <f t="shared" si="12"/>
        <v>6.3666666666666663</v>
      </c>
      <c r="T49" s="23">
        <f t="shared" si="13"/>
        <v>6.333333333333333</v>
      </c>
      <c r="U49" s="23">
        <f t="shared" si="14"/>
        <v>6.3</v>
      </c>
      <c r="V49" s="23">
        <f t="shared" si="15"/>
        <v>6.2666666666666666</v>
      </c>
      <c r="W49" s="23">
        <f t="shared" si="16"/>
        <v>6.2333333333333334</v>
      </c>
      <c r="X49" s="23">
        <f t="shared" si="17"/>
        <v>6.2</v>
      </c>
      <c r="Y49" s="23">
        <f t="shared" si="18"/>
        <v>6.166666666666667</v>
      </c>
      <c r="Z49" s="23">
        <f t="shared" si="19"/>
        <v>6.1333333333333337</v>
      </c>
      <c r="AA49" s="23">
        <f t="shared" si="20"/>
        <v>6.1</v>
      </c>
      <c r="AB49" s="23">
        <f t="shared" si="21"/>
        <v>6.0666666666666664</v>
      </c>
      <c r="AC49" s="23">
        <f t="shared" si="22"/>
        <v>6.0333333333333332</v>
      </c>
      <c r="AD49" s="23">
        <f t="shared" si="23"/>
        <v>6</v>
      </c>
      <c r="AE49" s="23">
        <f t="shared" si="24"/>
        <v>5.9666666666666668</v>
      </c>
      <c r="AF49" s="23">
        <f t="shared" si="25"/>
        <v>5.9333333333333336</v>
      </c>
      <c r="AG49" s="23">
        <f t="shared" si="26"/>
        <v>5.9</v>
      </c>
      <c r="AH49" s="23">
        <f t="shared" si="27"/>
        <v>5.8666666666666663</v>
      </c>
      <c r="AI49" s="8"/>
      <c r="AJ49" s="24" t="str">
        <f t="shared" si="36"/>
        <v>1,5,41,205</v>
      </c>
      <c r="AK49" s="10"/>
      <c r="AL49" s="10"/>
      <c r="AM49" s="10"/>
      <c r="AN49" s="10"/>
      <c r="AO49" s="10"/>
      <c r="AP49" s="10"/>
      <c r="AQ49" s="10"/>
    </row>
    <row r="50" spans="1:43" x14ac:dyDescent="0.45">
      <c r="A50" s="11"/>
      <c r="B50" s="8"/>
      <c r="C50" s="8"/>
      <c r="D50" s="8">
        <v>42</v>
      </c>
      <c r="E50" s="9">
        <f t="shared" si="28"/>
        <v>210</v>
      </c>
      <c r="F50" s="23">
        <f t="shared" si="31"/>
        <v>6.9666666666666668</v>
      </c>
      <c r="G50" s="23">
        <f t="shared" si="32"/>
        <v>6.9333333333333336</v>
      </c>
      <c r="H50" s="23">
        <f t="shared" si="33"/>
        <v>6.9</v>
      </c>
      <c r="I50" s="23">
        <f t="shared" si="34"/>
        <v>6.8666666666666663</v>
      </c>
      <c r="J50" s="23">
        <f t="shared" si="35"/>
        <v>6.833333333333333</v>
      </c>
      <c r="K50" s="23">
        <f t="shared" si="1"/>
        <v>6.8</v>
      </c>
      <c r="L50" s="23">
        <f t="shared" si="5"/>
        <v>6.7666666666666666</v>
      </c>
      <c r="M50" s="23">
        <f t="shared" si="6"/>
        <v>6.7333333333333334</v>
      </c>
      <c r="N50" s="23">
        <f t="shared" si="7"/>
        <v>6.7</v>
      </c>
      <c r="O50" s="23">
        <f t="shared" si="8"/>
        <v>6.666666666666667</v>
      </c>
      <c r="P50" s="23">
        <f t="shared" si="9"/>
        <v>6.6333333333333337</v>
      </c>
      <c r="Q50" s="23">
        <f t="shared" si="10"/>
        <v>6.6</v>
      </c>
      <c r="R50" s="23">
        <f t="shared" si="11"/>
        <v>6.5666666666666664</v>
      </c>
      <c r="S50" s="23">
        <f t="shared" si="12"/>
        <v>6.5333333333333332</v>
      </c>
      <c r="T50" s="23">
        <f t="shared" si="13"/>
        <v>6.5</v>
      </c>
      <c r="U50" s="23">
        <f t="shared" si="14"/>
        <v>6.4666666666666668</v>
      </c>
      <c r="V50" s="23">
        <f t="shared" si="15"/>
        <v>6.4333333333333336</v>
      </c>
      <c r="W50" s="23">
        <f t="shared" si="16"/>
        <v>6.4</v>
      </c>
      <c r="X50" s="23">
        <f t="shared" si="17"/>
        <v>6.3666666666666663</v>
      </c>
      <c r="Y50" s="23">
        <f t="shared" si="18"/>
        <v>6.333333333333333</v>
      </c>
      <c r="Z50" s="23">
        <f t="shared" si="19"/>
        <v>6.3</v>
      </c>
      <c r="AA50" s="23">
        <f t="shared" si="20"/>
        <v>6.2666666666666666</v>
      </c>
      <c r="AB50" s="23">
        <f t="shared" si="21"/>
        <v>6.2333333333333334</v>
      </c>
      <c r="AC50" s="23">
        <f t="shared" si="22"/>
        <v>6.2</v>
      </c>
      <c r="AD50" s="23">
        <f t="shared" si="23"/>
        <v>6.166666666666667</v>
      </c>
      <c r="AE50" s="23">
        <f t="shared" si="24"/>
        <v>6.1333333333333337</v>
      </c>
      <c r="AF50" s="23">
        <f t="shared" si="25"/>
        <v>6.1</v>
      </c>
      <c r="AG50" s="23">
        <f t="shared" si="26"/>
        <v>6.0666666666666664</v>
      </c>
      <c r="AH50" s="23">
        <f t="shared" si="27"/>
        <v>6.0333333333333332</v>
      </c>
      <c r="AI50" s="8"/>
      <c r="AJ50" s="24" t="str">
        <f t="shared" si="36"/>
        <v>1,2,3,5,6,7,10,14,15,21,30,35,42,70,105,210</v>
      </c>
      <c r="AK50" s="10"/>
      <c r="AL50" s="10"/>
      <c r="AM50" s="10"/>
      <c r="AN50" s="10"/>
      <c r="AO50" s="10"/>
      <c r="AP50" s="10"/>
      <c r="AQ50" s="10"/>
    </row>
    <row r="51" spans="1:43" x14ac:dyDescent="0.45">
      <c r="A51" s="11"/>
      <c r="B51" s="8"/>
      <c r="C51" s="8"/>
      <c r="D51" s="8">
        <v>43</v>
      </c>
      <c r="E51" s="9">
        <f t="shared" si="28"/>
        <v>215</v>
      </c>
      <c r="F51" s="23">
        <f t="shared" si="31"/>
        <v>7.1333333333333337</v>
      </c>
      <c r="G51" s="23">
        <f t="shared" si="32"/>
        <v>7.1</v>
      </c>
      <c r="H51" s="23">
        <f t="shared" si="33"/>
        <v>7.0666666666666664</v>
      </c>
      <c r="I51" s="23">
        <f t="shared" si="34"/>
        <v>7.0333333333333332</v>
      </c>
      <c r="J51" s="23">
        <f t="shared" si="35"/>
        <v>7</v>
      </c>
      <c r="K51" s="23">
        <f t="shared" si="1"/>
        <v>6.9666666666666668</v>
      </c>
      <c r="L51" s="23">
        <f t="shared" si="5"/>
        <v>6.9333333333333336</v>
      </c>
      <c r="M51" s="23">
        <f t="shared" si="6"/>
        <v>6.9</v>
      </c>
      <c r="N51" s="23">
        <f t="shared" si="7"/>
        <v>6.8666666666666663</v>
      </c>
      <c r="O51" s="23">
        <f t="shared" si="8"/>
        <v>6.833333333333333</v>
      </c>
      <c r="P51" s="23">
        <f t="shared" si="9"/>
        <v>6.8</v>
      </c>
      <c r="Q51" s="23">
        <f t="shared" si="10"/>
        <v>6.7666666666666666</v>
      </c>
      <c r="R51" s="23">
        <f t="shared" si="11"/>
        <v>6.7333333333333334</v>
      </c>
      <c r="S51" s="23">
        <f t="shared" si="12"/>
        <v>6.7</v>
      </c>
      <c r="T51" s="23">
        <f t="shared" si="13"/>
        <v>6.666666666666667</v>
      </c>
      <c r="U51" s="23">
        <f t="shared" si="14"/>
        <v>6.6333333333333337</v>
      </c>
      <c r="V51" s="23">
        <f t="shared" si="15"/>
        <v>6.6</v>
      </c>
      <c r="W51" s="23">
        <f t="shared" si="16"/>
        <v>6.5666666666666664</v>
      </c>
      <c r="X51" s="23">
        <f t="shared" si="17"/>
        <v>6.5333333333333332</v>
      </c>
      <c r="Y51" s="23">
        <f t="shared" si="18"/>
        <v>6.5</v>
      </c>
      <c r="Z51" s="23">
        <f t="shared" si="19"/>
        <v>6.4666666666666668</v>
      </c>
      <c r="AA51" s="23">
        <f t="shared" si="20"/>
        <v>6.4333333333333336</v>
      </c>
      <c r="AB51" s="23">
        <f t="shared" si="21"/>
        <v>6.4</v>
      </c>
      <c r="AC51" s="23">
        <f t="shared" si="22"/>
        <v>6.3666666666666663</v>
      </c>
      <c r="AD51" s="23">
        <f t="shared" si="23"/>
        <v>6.333333333333333</v>
      </c>
      <c r="AE51" s="23">
        <f t="shared" si="24"/>
        <v>6.3</v>
      </c>
      <c r="AF51" s="23">
        <f t="shared" si="25"/>
        <v>6.2666666666666666</v>
      </c>
      <c r="AG51" s="23">
        <f t="shared" si="26"/>
        <v>6.2333333333333334</v>
      </c>
      <c r="AH51" s="23">
        <f t="shared" si="27"/>
        <v>6.2</v>
      </c>
      <c r="AI51" s="8"/>
      <c r="AJ51" s="24" t="str">
        <f t="shared" si="36"/>
        <v>1,5,43,215</v>
      </c>
      <c r="AK51" s="10"/>
      <c r="AL51" s="10"/>
      <c r="AM51" s="10"/>
      <c r="AN51" s="10"/>
      <c r="AO51" s="10"/>
      <c r="AP51" s="10"/>
      <c r="AQ51" s="10"/>
    </row>
    <row r="52" spans="1:43" x14ac:dyDescent="0.45">
      <c r="A52" s="11"/>
      <c r="B52" s="8"/>
      <c r="C52" s="8"/>
      <c r="D52" s="8">
        <v>44</v>
      </c>
      <c r="E52" s="9">
        <f t="shared" si="28"/>
        <v>220</v>
      </c>
      <c r="F52" s="23">
        <f t="shared" si="31"/>
        <v>7.3</v>
      </c>
      <c r="G52" s="23">
        <f t="shared" si="32"/>
        <v>7.2666666666666666</v>
      </c>
      <c r="H52" s="23">
        <f t="shared" si="33"/>
        <v>7.2333333333333334</v>
      </c>
      <c r="I52" s="23">
        <f t="shared" si="34"/>
        <v>7.2</v>
      </c>
      <c r="J52" s="23">
        <f t="shared" si="35"/>
        <v>7.166666666666667</v>
      </c>
      <c r="K52" s="23">
        <f t="shared" si="1"/>
        <v>7.1333333333333337</v>
      </c>
      <c r="L52" s="23">
        <f t="shared" si="5"/>
        <v>7.1</v>
      </c>
      <c r="M52" s="23">
        <f t="shared" si="6"/>
        <v>7.0666666666666664</v>
      </c>
      <c r="N52" s="23">
        <f t="shared" si="7"/>
        <v>7.0333333333333332</v>
      </c>
      <c r="O52" s="23">
        <f t="shared" si="8"/>
        <v>7</v>
      </c>
      <c r="P52" s="23">
        <f t="shared" si="9"/>
        <v>6.9666666666666668</v>
      </c>
      <c r="Q52" s="23">
        <f t="shared" si="10"/>
        <v>6.9333333333333336</v>
      </c>
      <c r="R52" s="23">
        <f t="shared" si="11"/>
        <v>6.9</v>
      </c>
      <c r="S52" s="23">
        <f t="shared" si="12"/>
        <v>6.8666666666666663</v>
      </c>
      <c r="T52" s="23">
        <f t="shared" si="13"/>
        <v>6.833333333333333</v>
      </c>
      <c r="U52" s="23">
        <f t="shared" si="14"/>
        <v>6.8</v>
      </c>
      <c r="V52" s="23">
        <f t="shared" si="15"/>
        <v>6.7666666666666666</v>
      </c>
      <c r="W52" s="23">
        <f t="shared" si="16"/>
        <v>6.7333333333333334</v>
      </c>
      <c r="X52" s="23">
        <f t="shared" si="17"/>
        <v>6.7</v>
      </c>
      <c r="Y52" s="23">
        <f t="shared" si="18"/>
        <v>6.666666666666667</v>
      </c>
      <c r="Z52" s="23">
        <f t="shared" si="19"/>
        <v>6.6333333333333337</v>
      </c>
      <c r="AA52" s="23">
        <f t="shared" si="20"/>
        <v>6.6</v>
      </c>
      <c r="AB52" s="23">
        <f t="shared" si="21"/>
        <v>6.5666666666666664</v>
      </c>
      <c r="AC52" s="23">
        <f t="shared" si="22"/>
        <v>6.5333333333333332</v>
      </c>
      <c r="AD52" s="23">
        <f t="shared" si="23"/>
        <v>6.5</v>
      </c>
      <c r="AE52" s="23">
        <f t="shared" si="24"/>
        <v>6.4666666666666668</v>
      </c>
      <c r="AF52" s="23">
        <f t="shared" si="25"/>
        <v>6.4333333333333336</v>
      </c>
      <c r="AG52" s="23">
        <f t="shared" si="26"/>
        <v>6.4</v>
      </c>
      <c r="AH52" s="23">
        <f t="shared" si="27"/>
        <v>6.3666666666666663</v>
      </c>
      <c r="AI52" s="8"/>
      <c r="AJ52" s="24" t="str">
        <f t="shared" si="36"/>
        <v>1,2,4,5,10,11,20,22,44,55,110,220</v>
      </c>
      <c r="AK52" s="10"/>
      <c r="AL52" s="10"/>
      <c r="AM52" s="10"/>
      <c r="AN52" s="10"/>
      <c r="AO52" s="10"/>
      <c r="AP52" s="10"/>
      <c r="AQ52" s="10"/>
    </row>
    <row r="53" spans="1:43" x14ac:dyDescent="0.45">
      <c r="A53" s="11"/>
      <c r="B53" s="8"/>
      <c r="C53" s="8"/>
      <c r="D53" s="8">
        <v>45</v>
      </c>
      <c r="E53" s="9">
        <f t="shared" si="28"/>
        <v>225</v>
      </c>
      <c r="F53" s="23">
        <f t="shared" si="31"/>
        <v>7.4666666666666668</v>
      </c>
      <c r="G53" s="23">
        <f t="shared" si="32"/>
        <v>7.4333333333333336</v>
      </c>
      <c r="H53" s="23">
        <f t="shared" si="33"/>
        <v>7.4</v>
      </c>
      <c r="I53" s="23">
        <f t="shared" si="34"/>
        <v>7.3666666666666663</v>
      </c>
      <c r="J53" s="23">
        <f t="shared" si="35"/>
        <v>7.333333333333333</v>
      </c>
      <c r="K53" s="23">
        <f t="shared" si="1"/>
        <v>7.3</v>
      </c>
      <c r="L53" s="23">
        <f t="shared" si="5"/>
        <v>7.2666666666666666</v>
      </c>
      <c r="M53" s="23">
        <f t="shared" si="6"/>
        <v>7.2333333333333334</v>
      </c>
      <c r="N53" s="23">
        <f t="shared" si="7"/>
        <v>7.2</v>
      </c>
      <c r="O53" s="23">
        <f t="shared" si="8"/>
        <v>7.166666666666667</v>
      </c>
      <c r="P53" s="23">
        <f t="shared" si="9"/>
        <v>7.1333333333333337</v>
      </c>
      <c r="Q53" s="23">
        <f t="shared" si="10"/>
        <v>7.1</v>
      </c>
      <c r="R53" s="23">
        <f t="shared" si="11"/>
        <v>7.0666666666666664</v>
      </c>
      <c r="S53" s="23">
        <f t="shared" si="12"/>
        <v>7.0333333333333332</v>
      </c>
      <c r="T53" s="23">
        <f t="shared" si="13"/>
        <v>7</v>
      </c>
      <c r="U53" s="23">
        <f t="shared" si="14"/>
        <v>6.9666666666666668</v>
      </c>
      <c r="V53" s="23">
        <f t="shared" si="15"/>
        <v>6.9333333333333336</v>
      </c>
      <c r="W53" s="23">
        <f t="shared" si="16"/>
        <v>6.9</v>
      </c>
      <c r="X53" s="23">
        <f t="shared" si="17"/>
        <v>6.8666666666666663</v>
      </c>
      <c r="Y53" s="23">
        <f t="shared" si="18"/>
        <v>6.833333333333333</v>
      </c>
      <c r="Z53" s="23">
        <f t="shared" si="19"/>
        <v>6.8</v>
      </c>
      <c r="AA53" s="23">
        <f t="shared" si="20"/>
        <v>6.7666666666666666</v>
      </c>
      <c r="AB53" s="23">
        <f t="shared" si="21"/>
        <v>6.7333333333333334</v>
      </c>
      <c r="AC53" s="23">
        <f t="shared" si="22"/>
        <v>6.7</v>
      </c>
      <c r="AD53" s="23">
        <f t="shared" si="23"/>
        <v>6.666666666666667</v>
      </c>
      <c r="AE53" s="23">
        <f t="shared" si="24"/>
        <v>6.6333333333333337</v>
      </c>
      <c r="AF53" s="23">
        <f t="shared" si="25"/>
        <v>6.6</v>
      </c>
      <c r="AG53" s="23">
        <f t="shared" si="26"/>
        <v>6.5666666666666664</v>
      </c>
      <c r="AH53" s="23">
        <f t="shared" si="27"/>
        <v>6.5333333333333332</v>
      </c>
      <c r="AI53" s="8"/>
      <c r="AJ53" s="24" t="str">
        <f t="shared" si="36"/>
        <v>1,3,5,9,15,25,45,75,225</v>
      </c>
      <c r="AK53" s="10"/>
      <c r="AL53" s="10"/>
      <c r="AM53" s="10"/>
      <c r="AN53" s="10"/>
      <c r="AO53" s="10"/>
      <c r="AP53" s="10"/>
      <c r="AQ53" s="10"/>
    </row>
    <row r="54" spans="1:43" x14ac:dyDescent="0.45">
      <c r="A54" s="11"/>
      <c r="B54" s="8"/>
      <c r="C54" s="8"/>
      <c r="D54" s="8">
        <v>46</v>
      </c>
      <c r="E54" s="9">
        <f t="shared" si="28"/>
        <v>230</v>
      </c>
      <c r="F54" s="23">
        <f t="shared" si="31"/>
        <v>7.6333333333333337</v>
      </c>
      <c r="G54" s="23">
        <f t="shared" si="32"/>
        <v>7.6</v>
      </c>
      <c r="H54" s="23">
        <f t="shared" si="33"/>
        <v>7.5666666666666664</v>
      </c>
      <c r="I54" s="23">
        <f t="shared" si="34"/>
        <v>7.5333333333333332</v>
      </c>
      <c r="J54" s="23">
        <f t="shared" si="35"/>
        <v>7.5</v>
      </c>
      <c r="K54" s="23">
        <f t="shared" si="1"/>
        <v>7.4666666666666668</v>
      </c>
      <c r="L54" s="23">
        <f t="shared" si="5"/>
        <v>7.4333333333333336</v>
      </c>
      <c r="M54" s="23">
        <f t="shared" si="6"/>
        <v>7.4</v>
      </c>
      <c r="N54" s="23">
        <f t="shared" si="7"/>
        <v>7.3666666666666663</v>
      </c>
      <c r="O54" s="23">
        <f t="shared" si="8"/>
        <v>7.333333333333333</v>
      </c>
      <c r="P54" s="23">
        <f t="shared" si="9"/>
        <v>7.3</v>
      </c>
      <c r="Q54" s="23">
        <f t="shared" si="10"/>
        <v>7.2666666666666666</v>
      </c>
      <c r="R54" s="23">
        <f t="shared" si="11"/>
        <v>7.2333333333333334</v>
      </c>
      <c r="S54" s="23">
        <f t="shared" si="12"/>
        <v>7.2</v>
      </c>
      <c r="T54" s="23">
        <f t="shared" si="13"/>
        <v>7.166666666666667</v>
      </c>
      <c r="U54" s="23">
        <f t="shared" si="14"/>
        <v>7.1333333333333337</v>
      </c>
      <c r="V54" s="23">
        <f t="shared" si="15"/>
        <v>7.1</v>
      </c>
      <c r="W54" s="23">
        <f t="shared" si="16"/>
        <v>7.0666666666666664</v>
      </c>
      <c r="X54" s="23">
        <f t="shared" si="17"/>
        <v>7.0333333333333332</v>
      </c>
      <c r="Y54" s="23">
        <f t="shared" si="18"/>
        <v>7</v>
      </c>
      <c r="Z54" s="23">
        <f t="shared" si="19"/>
        <v>6.9666666666666668</v>
      </c>
      <c r="AA54" s="23">
        <f t="shared" si="20"/>
        <v>6.9333333333333336</v>
      </c>
      <c r="AB54" s="23">
        <f t="shared" si="21"/>
        <v>6.9</v>
      </c>
      <c r="AC54" s="23">
        <f t="shared" si="22"/>
        <v>6.8666666666666663</v>
      </c>
      <c r="AD54" s="23">
        <f t="shared" si="23"/>
        <v>6.833333333333333</v>
      </c>
      <c r="AE54" s="23">
        <f t="shared" si="24"/>
        <v>6.8</v>
      </c>
      <c r="AF54" s="23">
        <f t="shared" si="25"/>
        <v>6.7666666666666666</v>
      </c>
      <c r="AG54" s="23">
        <f t="shared" si="26"/>
        <v>6.7333333333333334</v>
      </c>
      <c r="AH54" s="23">
        <f t="shared" si="27"/>
        <v>6.7</v>
      </c>
      <c r="AI54" s="8"/>
      <c r="AJ54" s="24" t="str">
        <f t="shared" si="36"/>
        <v>1,2,5,10,23,46,115,230</v>
      </c>
      <c r="AK54" s="10"/>
      <c r="AL54" s="10"/>
      <c r="AM54" s="10"/>
      <c r="AN54" s="10"/>
      <c r="AO54" s="10"/>
      <c r="AP54" s="10"/>
      <c r="AQ54" s="10"/>
    </row>
    <row r="55" spans="1:43" x14ac:dyDescent="0.45">
      <c r="A55" s="11"/>
      <c r="B55" s="8"/>
      <c r="C55" s="8"/>
      <c r="D55" s="8">
        <v>47</v>
      </c>
      <c r="E55" s="9">
        <f t="shared" si="28"/>
        <v>235</v>
      </c>
      <c r="F55" s="23">
        <f t="shared" si="31"/>
        <v>7.8</v>
      </c>
      <c r="G55" s="23">
        <f t="shared" si="32"/>
        <v>7.7666666666666666</v>
      </c>
      <c r="H55" s="23">
        <f t="shared" si="33"/>
        <v>7.7333333333333334</v>
      </c>
      <c r="I55" s="23">
        <f t="shared" si="34"/>
        <v>7.7</v>
      </c>
      <c r="J55" s="23">
        <f t="shared" si="35"/>
        <v>7.666666666666667</v>
      </c>
      <c r="K55" s="23">
        <f t="shared" si="1"/>
        <v>7.6333333333333337</v>
      </c>
      <c r="L55" s="23">
        <f t="shared" si="5"/>
        <v>7.6</v>
      </c>
      <c r="M55" s="23">
        <f t="shared" si="6"/>
        <v>7.5666666666666664</v>
      </c>
      <c r="N55" s="23">
        <f t="shared" si="7"/>
        <v>7.5333333333333332</v>
      </c>
      <c r="O55" s="23">
        <f t="shared" si="8"/>
        <v>7.5</v>
      </c>
      <c r="P55" s="23">
        <f t="shared" si="9"/>
        <v>7.4666666666666668</v>
      </c>
      <c r="Q55" s="23">
        <f t="shared" si="10"/>
        <v>7.4333333333333336</v>
      </c>
      <c r="R55" s="23">
        <f t="shared" si="11"/>
        <v>7.4</v>
      </c>
      <c r="S55" s="23">
        <f t="shared" si="12"/>
        <v>7.3666666666666663</v>
      </c>
      <c r="T55" s="23">
        <f t="shared" si="13"/>
        <v>7.333333333333333</v>
      </c>
      <c r="U55" s="23">
        <f t="shared" si="14"/>
        <v>7.3</v>
      </c>
      <c r="V55" s="23">
        <f t="shared" si="15"/>
        <v>7.2666666666666666</v>
      </c>
      <c r="W55" s="23">
        <f t="shared" si="16"/>
        <v>7.2333333333333334</v>
      </c>
      <c r="X55" s="23">
        <f t="shared" si="17"/>
        <v>7.2</v>
      </c>
      <c r="Y55" s="23">
        <f t="shared" si="18"/>
        <v>7.166666666666667</v>
      </c>
      <c r="Z55" s="23">
        <f t="shared" si="19"/>
        <v>7.1333333333333337</v>
      </c>
      <c r="AA55" s="23">
        <f t="shared" si="20"/>
        <v>7.1</v>
      </c>
      <c r="AB55" s="23">
        <f t="shared" si="21"/>
        <v>7.0666666666666664</v>
      </c>
      <c r="AC55" s="23">
        <f t="shared" si="22"/>
        <v>7.0333333333333332</v>
      </c>
      <c r="AD55" s="23">
        <f t="shared" si="23"/>
        <v>7</v>
      </c>
      <c r="AE55" s="23">
        <f t="shared" si="24"/>
        <v>6.9666666666666668</v>
      </c>
      <c r="AF55" s="23">
        <f t="shared" si="25"/>
        <v>6.9333333333333336</v>
      </c>
      <c r="AG55" s="23">
        <f t="shared" si="26"/>
        <v>6.9</v>
      </c>
      <c r="AH55" s="23">
        <f t="shared" si="27"/>
        <v>6.8666666666666663</v>
      </c>
      <c r="AI55" s="8"/>
      <c r="AJ55" s="24" t="str">
        <f t="shared" si="36"/>
        <v>1,5,47,235</v>
      </c>
      <c r="AK55" s="10"/>
      <c r="AL55" s="10"/>
      <c r="AM55" s="10"/>
      <c r="AN55" s="10"/>
      <c r="AO55" s="10"/>
      <c r="AP55" s="10"/>
      <c r="AQ55" s="10"/>
    </row>
    <row r="56" spans="1:43" x14ac:dyDescent="0.45">
      <c r="A56" s="11"/>
      <c r="B56" s="8"/>
      <c r="C56" s="8"/>
      <c r="D56" s="8">
        <v>48</v>
      </c>
      <c r="E56" s="9">
        <f t="shared" si="28"/>
        <v>240</v>
      </c>
      <c r="F56" s="23">
        <f t="shared" si="31"/>
        <v>7.9666666666666668</v>
      </c>
      <c r="G56" s="23">
        <f t="shared" si="32"/>
        <v>7.9333333333333336</v>
      </c>
      <c r="H56" s="23">
        <f t="shared" si="33"/>
        <v>7.9</v>
      </c>
      <c r="I56" s="23">
        <f t="shared" si="34"/>
        <v>7.8666666666666663</v>
      </c>
      <c r="J56" s="23">
        <f t="shared" si="35"/>
        <v>7.833333333333333</v>
      </c>
      <c r="K56" s="23">
        <f t="shared" si="1"/>
        <v>7.8</v>
      </c>
      <c r="L56" s="23">
        <f t="shared" si="5"/>
        <v>7.7666666666666666</v>
      </c>
      <c r="M56" s="23">
        <f t="shared" si="6"/>
        <v>7.7333333333333334</v>
      </c>
      <c r="N56" s="23">
        <f t="shared" si="7"/>
        <v>7.7</v>
      </c>
      <c r="O56" s="23">
        <f t="shared" si="8"/>
        <v>7.666666666666667</v>
      </c>
      <c r="P56" s="23">
        <f t="shared" si="9"/>
        <v>7.6333333333333337</v>
      </c>
      <c r="Q56" s="23">
        <f t="shared" si="10"/>
        <v>7.6</v>
      </c>
      <c r="R56" s="23">
        <f t="shared" si="11"/>
        <v>7.5666666666666664</v>
      </c>
      <c r="S56" s="23">
        <f t="shared" si="12"/>
        <v>7.5333333333333332</v>
      </c>
      <c r="T56" s="23">
        <f t="shared" si="13"/>
        <v>7.5</v>
      </c>
      <c r="U56" s="23">
        <f t="shared" si="14"/>
        <v>7.4666666666666668</v>
      </c>
      <c r="V56" s="23">
        <f t="shared" si="15"/>
        <v>7.4333333333333336</v>
      </c>
      <c r="W56" s="23">
        <f t="shared" si="16"/>
        <v>7.4</v>
      </c>
      <c r="X56" s="23">
        <f t="shared" si="17"/>
        <v>7.3666666666666663</v>
      </c>
      <c r="Y56" s="23">
        <f t="shared" si="18"/>
        <v>7.333333333333333</v>
      </c>
      <c r="Z56" s="23">
        <f t="shared" si="19"/>
        <v>7.3</v>
      </c>
      <c r="AA56" s="23">
        <f t="shared" si="20"/>
        <v>7.2666666666666666</v>
      </c>
      <c r="AB56" s="23">
        <f t="shared" si="21"/>
        <v>7.2333333333333334</v>
      </c>
      <c r="AC56" s="23">
        <f t="shared" si="22"/>
        <v>7.2</v>
      </c>
      <c r="AD56" s="23">
        <f t="shared" si="23"/>
        <v>7.166666666666667</v>
      </c>
      <c r="AE56" s="23">
        <f t="shared" si="24"/>
        <v>7.1333333333333337</v>
      </c>
      <c r="AF56" s="23">
        <f t="shared" si="25"/>
        <v>7.1</v>
      </c>
      <c r="AG56" s="23">
        <f t="shared" si="26"/>
        <v>7.0666666666666664</v>
      </c>
      <c r="AH56" s="23">
        <f t="shared" si="27"/>
        <v>7.0333333333333332</v>
      </c>
      <c r="AI56" s="8"/>
      <c r="AJ56" s="24" t="str">
        <f t="shared" si="36"/>
        <v>1,2,3,4,5,6,8,10,12,15,16,20,24,30,40,48,60,80,120,240</v>
      </c>
      <c r="AK56" s="10"/>
      <c r="AL56" s="10"/>
      <c r="AM56" s="10"/>
      <c r="AN56" s="10"/>
      <c r="AO56" s="10"/>
      <c r="AP56" s="10"/>
      <c r="AQ56" s="10"/>
    </row>
    <row r="57" spans="1:43" x14ac:dyDescent="0.45">
      <c r="A57" s="11"/>
      <c r="B57" s="8"/>
      <c r="C57" s="8"/>
      <c r="D57" s="8">
        <v>49</v>
      </c>
      <c r="E57" s="9">
        <f t="shared" si="28"/>
        <v>245</v>
      </c>
      <c r="F57" s="23">
        <f t="shared" si="31"/>
        <v>8.1333333333333329</v>
      </c>
      <c r="G57" s="23">
        <f t="shared" si="32"/>
        <v>8.1</v>
      </c>
      <c r="H57" s="23">
        <f t="shared" si="33"/>
        <v>8.0666666666666664</v>
      </c>
      <c r="I57" s="23">
        <f t="shared" si="34"/>
        <v>8.0333333333333332</v>
      </c>
      <c r="J57" s="23">
        <f t="shared" si="35"/>
        <v>8</v>
      </c>
      <c r="K57" s="23">
        <f t="shared" si="1"/>
        <v>7.9666666666666668</v>
      </c>
      <c r="L57" s="23">
        <f t="shared" si="5"/>
        <v>7.9333333333333336</v>
      </c>
      <c r="M57" s="23">
        <f t="shared" si="6"/>
        <v>7.9</v>
      </c>
      <c r="N57" s="23">
        <f t="shared" si="7"/>
        <v>7.8666666666666663</v>
      </c>
      <c r="O57" s="23">
        <f t="shared" si="8"/>
        <v>7.833333333333333</v>
      </c>
      <c r="P57" s="23">
        <f t="shared" si="9"/>
        <v>7.8</v>
      </c>
      <c r="Q57" s="23">
        <f t="shared" si="10"/>
        <v>7.7666666666666666</v>
      </c>
      <c r="R57" s="23">
        <f t="shared" si="11"/>
        <v>7.7333333333333334</v>
      </c>
      <c r="S57" s="23">
        <f t="shared" si="12"/>
        <v>7.7</v>
      </c>
      <c r="T57" s="23">
        <f t="shared" si="13"/>
        <v>7.666666666666667</v>
      </c>
      <c r="U57" s="23">
        <f t="shared" si="14"/>
        <v>7.6333333333333337</v>
      </c>
      <c r="V57" s="23">
        <f t="shared" si="15"/>
        <v>7.6</v>
      </c>
      <c r="W57" s="23">
        <f t="shared" si="16"/>
        <v>7.5666666666666664</v>
      </c>
      <c r="X57" s="23">
        <f t="shared" si="17"/>
        <v>7.5333333333333332</v>
      </c>
      <c r="Y57" s="23">
        <f t="shared" si="18"/>
        <v>7.5</v>
      </c>
      <c r="Z57" s="23">
        <f t="shared" si="19"/>
        <v>7.4666666666666668</v>
      </c>
      <c r="AA57" s="23">
        <f t="shared" si="20"/>
        <v>7.4333333333333336</v>
      </c>
      <c r="AB57" s="23">
        <f t="shared" si="21"/>
        <v>7.4</v>
      </c>
      <c r="AC57" s="23">
        <f t="shared" si="22"/>
        <v>7.3666666666666663</v>
      </c>
      <c r="AD57" s="23">
        <f t="shared" si="23"/>
        <v>7.333333333333333</v>
      </c>
      <c r="AE57" s="23">
        <f t="shared" si="24"/>
        <v>7.3</v>
      </c>
      <c r="AF57" s="23">
        <f t="shared" si="25"/>
        <v>7.2666666666666666</v>
      </c>
      <c r="AG57" s="23">
        <f t="shared" si="26"/>
        <v>7.2333333333333334</v>
      </c>
      <c r="AH57" s="23">
        <f t="shared" si="27"/>
        <v>7.2</v>
      </c>
      <c r="AI57" s="8"/>
      <c r="AJ57" s="24" t="str">
        <f t="shared" si="36"/>
        <v>1,5,7,35,49,245</v>
      </c>
      <c r="AK57" s="10"/>
      <c r="AL57" s="10"/>
      <c r="AM57" s="10"/>
      <c r="AN57" s="10"/>
      <c r="AO57" s="10"/>
      <c r="AP57" s="10"/>
      <c r="AQ57" s="10"/>
    </row>
    <row r="58" spans="1:43" x14ac:dyDescent="0.45">
      <c r="A58" s="11"/>
      <c r="B58" s="8"/>
      <c r="C58" s="8"/>
      <c r="D58" s="8">
        <v>50</v>
      </c>
      <c r="E58" s="9">
        <f t="shared" si="28"/>
        <v>250</v>
      </c>
      <c r="F58" s="23">
        <f t="shared" si="31"/>
        <v>8.3000000000000007</v>
      </c>
      <c r="G58" s="23">
        <f t="shared" si="32"/>
        <v>8.2666666666666675</v>
      </c>
      <c r="H58" s="23">
        <f t="shared" si="33"/>
        <v>8.2333333333333325</v>
      </c>
      <c r="I58" s="23">
        <f t="shared" si="34"/>
        <v>8.1999999999999993</v>
      </c>
      <c r="J58" s="23">
        <f t="shared" si="35"/>
        <v>8.1666666666666661</v>
      </c>
      <c r="K58" s="23">
        <f t="shared" si="1"/>
        <v>8.1333333333333329</v>
      </c>
      <c r="L58" s="23">
        <f t="shared" si="5"/>
        <v>8.1</v>
      </c>
      <c r="M58" s="23">
        <f t="shared" si="6"/>
        <v>8.0666666666666664</v>
      </c>
      <c r="N58" s="23">
        <f t="shared" si="7"/>
        <v>8.0333333333333332</v>
      </c>
      <c r="O58" s="23">
        <f t="shared" si="8"/>
        <v>8</v>
      </c>
      <c r="P58" s="23">
        <f t="shared" si="9"/>
        <v>7.9666666666666668</v>
      </c>
      <c r="Q58" s="23">
        <f t="shared" si="10"/>
        <v>7.9333333333333336</v>
      </c>
      <c r="R58" s="23">
        <f t="shared" si="11"/>
        <v>7.9</v>
      </c>
      <c r="S58" s="23">
        <f t="shared" si="12"/>
        <v>7.8666666666666663</v>
      </c>
      <c r="T58" s="23">
        <f t="shared" si="13"/>
        <v>7.833333333333333</v>
      </c>
      <c r="U58" s="23">
        <f t="shared" si="14"/>
        <v>7.8</v>
      </c>
      <c r="V58" s="23">
        <f t="shared" si="15"/>
        <v>7.7666666666666666</v>
      </c>
      <c r="W58" s="23">
        <f t="shared" si="16"/>
        <v>7.7333333333333334</v>
      </c>
      <c r="X58" s="23">
        <f t="shared" si="17"/>
        <v>7.7</v>
      </c>
      <c r="Y58" s="23">
        <f t="shared" si="18"/>
        <v>7.666666666666667</v>
      </c>
      <c r="Z58" s="23">
        <f t="shared" si="19"/>
        <v>7.6333333333333337</v>
      </c>
      <c r="AA58" s="23">
        <f t="shared" si="20"/>
        <v>7.6</v>
      </c>
      <c r="AB58" s="23">
        <f t="shared" si="21"/>
        <v>7.5666666666666664</v>
      </c>
      <c r="AC58" s="23">
        <f t="shared" si="22"/>
        <v>7.5333333333333332</v>
      </c>
      <c r="AD58" s="23">
        <f t="shared" si="23"/>
        <v>7.5</v>
      </c>
      <c r="AE58" s="23">
        <f t="shared" si="24"/>
        <v>7.4666666666666668</v>
      </c>
      <c r="AF58" s="23">
        <f t="shared" si="25"/>
        <v>7.4333333333333336</v>
      </c>
      <c r="AG58" s="23">
        <f t="shared" si="26"/>
        <v>7.4</v>
      </c>
      <c r="AH58" s="23">
        <f t="shared" si="27"/>
        <v>7.3666666666666663</v>
      </c>
      <c r="AI58" s="8"/>
      <c r="AJ58" s="24" t="str">
        <f t="shared" si="36"/>
        <v>1,2,5,10,25,50,125,250</v>
      </c>
      <c r="AK58" s="10"/>
      <c r="AL58" s="10"/>
      <c r="AM58" s="10"/>
      <c r="AN58" s="10"/>
      <c r="AO58" s="10"/>
      <c r="AP58" s="10"/>
      <c r="AQ58" s="10"/>
    </row>
    <row r="59" spans="1:43" x14ac:dyDescent="0.45">
      <c r="A59" s="11"/>
      <c r="B59" s="8"/>
      <c r="C59" s="8"/>
      <c r="D59" s="8">
        <v>51</v>
      </c>
      <c r="E59" s="9">
        <f t="shared" si="28"/>
        <v>255</v>
      </c>
      <c r="F59" s="23">
        <f t="shared" si="31"/>
        <v>8.4666666666666668</v>
      </c>
      <c r="G59" s="23">
        <f t="shared" si="32"/>
        <v>8.4333333333333336</v>
      </c>
      <c r="H59" s="23">
        <f t="shared" si="33"/>
        <v>8.4</v>
      </c>
      <c r="I59" s="23">
        <f t="shared" si="34"/>
        <v>8.3666666666666671</v>
      </c>
      <c r="J59" s="23">
        <f t="shared" si="35"/>
        <v>8.3333333333333339</v>
      </c>
      <c r="K59" s="23">
        <f t="shared" si="1"/>
        <v>8.3000000000000007</v>
      </c>
      <c r="L59" s="23">
        <f t="shared" si="5"/>
        <v>8.2666666666666675</v>
      </c>
      <c r="M59" s="23">
        <f t="shared" si="6"/>
        <v>8.2333333333333325</v>
      </c>
      <c r="N59" s="23">
        <f t="shared" si="7"/>
        <v>8.1999999999999993</v>
      </c>
      <c r="O59" s="23">
        <f t="shared" si="8"/>
        <v>8.1666666666666661</v>
      </c>
      <c r="P59" s="23">
        <f t="shared" si="9"/>
        <v>8.1333333333333329</v>
      </c>
      <c r="Q59" s="23">
        <f t="shared" si="10"/>
        <v>8.1</v>
      </c>
      <c r="R59" s="23">
        <f t="shared" si="11"/>
        <v>8.0666666666666664</v>
      </c>
      <c r="S59" s="23">
        <f t="shared" si="12"/>
        <v>8.0333333333333332</v>
      </c>
      <c r="T59" s="23">
        <f t="shared" si="13"/>
        <v>8</v>
      </c>
      <c r="U59" s="23">
        <f t="shared" si="14"/>
        <v>7.9666666666666668</v>
      </c>
      <c r="V59" s="23">
        <f t="shared" si="15"/>
        <v>7.9333333333333336</v>
      </c>
      <c r="W59" s="23">
        <f t="shared" si="16"/>
        <v>7.9</v>
      </c>
      <c r="X59" s="23">
        <f t="shared" si="17"/>
        <v>7.8666666666666663</v>
      </c>
      <c r="Y59" s="23">
        <f t="shared" si="18"/>
        <v>7.833333333333333</v>
      </c>
      <c r="Z59" s="23">
        <f t="shared" si="19"/>
        <v>7.8</v>
      </c>
      <c r="AA59" s="23">
        <f t="shared" si="20"/>
        <v>7.7666666666666666</v>
      </c>
      <c r="AB59" s="23">
        <f t="shared" si="21"/>
        <v>7.7333333333333334</v>
      </c>
      <c r="AC59" s="23">
        <f t="shared" si="22"/>
        <v>7.7</v>
      </c>
      <c r="AD59" s="23">
        <f t="shared" si="23"/>
        <v>7.666666666666667</v>
      </c>
      <c r="AE59" s="23">
        <f t="shared" si="24"/>
        <v>7.6333333333333337</v>
      </c>
      <c r="AF59" s="23">
        <f t="shared" si="25"/>
        <v>7.6</v>
      </c>
      <c r="AG59" s="23">
        <f t="shared" si="26"/>
        <v>7.5666666666666664</v>
      </c>
      <c r="AH59" s="23">
        <f t="shared" si="27"/>
        <v>7.5333333333333332</v>
      </c>
      <c r="AI59" s="8"/>
      <c r="AJ59" s="24" t="str">
        <f t="shared" si="36"/>
        <v>1,3,5,15,17,51,85,255</v>
      </c>
      <c r="AK59" s="10"/>
      <c r="AL59" s="10"/>
      <c r="AM59" s="10"/>
      <c r="AN59" s="10"/>
      <c r="AO59" s="10"/>
      <c r="AP59" s="10"/>
      <c r="AQ59" s="10"/>
    </row>
    <row r="60" spans="1:43" x14ac:dyDescent="0.45">
      <c r="A60" s="11"/>
      <c r="B60" s="8"/>
      <c r="C60" s="8"/>
      <c r="D60" s="8">
        <v>52</v>
      </c>
      <c r="E60" s="9">
        <f t="shared" si="28"/>
        <v>260</v>
      </c>
      <c r="F60" s="23">
        <f t="shared" si="31"/>
        <v>8.6333333333333329</v>
      </c>
      <c r="G60" s="23">
        <f t="shared" si="32"/>
        <v>8.6</v>
      </c>
      <c r="H60" s="23">
        <f t="shared" si="33"/>
        <v>8.5666666666666664</v>
      </c>
      <c r="I60" s="23">
        <f t="shared" si="34"/>
        <v>8.5333333333333332</v>
      </c>
      <c r="J60" s="23">
        <f t="shared" si="35"/>
        <v>8.5</v>
      </c>
      <c r="K60" s="23">
        <f t="shared" si="1"/>
        <v>8.4666666666666668</v>
      </c>
      <c r="L60" s="23">
        <f t="shared" si="5"/>
        <v>8.4333333333333336</v>
      </c>
      <c r="M60" s="23">
        <f t="shared" si="6"/>
        <v>8.4</v>
      </c>
      <c r="N60" s="23">
        <f t="shared" si="7"/>
        <v>8.3666666666666671</v>
      </c>
      <c r="O60" s="23">
        <f t="shared" si="8"/>
        <v>8.3333333333333339</v>
      </c>
      <c r="P60" s="23">
        <f t="shared" si="9"/>
        <v>8.3000000000000007</v>
      </c>
      <c r="Q60" s="23">
        <f t="shared" si="10"/>
        <v>8.2666666666666675</v>
      </c>
      <c r="R60" s="23">
        <f t="shared" si="11"/>
        <v>8.2333333333333325</v>
      </c>
      <c r="S60" s="23">
        <f t="shared" si="12"/>
        <v>8.1999999999999993</v>
      </c>
      <c r="T60" s="23">
        <f t="shared" si="13"/>
        <v>8.1666666666666661</v>
      </c>
      <c r="U60" s="23">
        <f t="shared" si="14"/>
        <v>8.1333333333333329</v>
      </c>
      <c r="V60" s="23">
        <f t="shared" si="15"/>
        <v>8.1</v>
      </c>
      <c r="W60" s="23">
        <f t="shared" si="16"/>
        <v>8.0666666666666664</v>
      </c>
      <c r="X60" s="23">
        <f t="shared" si="17"/>
        <v>8.0333333333333332</v>
      </c>
      <c r="Y60" s="23">
        <f t="shared" si="18"/>
        <v>8</v>
      </c>
      <c r="Z60" s="23">
        <f t="shared" si="19"/>
        <v>7.9666666666666668</v>
      </c>
      <c r="AA60" s="23">
        <f t="shared" si="20"/>
        <v>7.9333333333333336</v>
      </c>
      <c r="AB60" s="23">
        <f t="shared" si="21"/>
        <v>7.9</v>
      </c>
      <c r="AC60" s="23">
        <f t="shared" si="22"/>
        <v>7.8666666666666663</v>
      </c>
      <c r="AD60" s="23">
        <f t="shared" si="23"/>
        <v>7.833333333333333</v>
      </c>
      <c r="AE60" s="23">
        <f t="shared" si="24"/>
        <v>7.8</v>
      </c>
      <c r="AF60" s="23">
        <f t="shared" si="25"/>
        <v>7.7666666666666666</v>
      </c>
      <c r="AG60" s="23">
        <f t="shared" si="26"/>
        <v>7.7333333333333334</v>
      </c>
      <c r="AH60" s="23">
        <f t="shared" si="27"/>
        <v>7.7</v>
      </c>
      <c r="AI60" s="8"/>
      <c r="AJ60" s="24" t="str">
        <f t="shared" si="36"/>
        <v>1,2,4,5,10,13,20,26,52,65,130,260</v>
      </c>
      <c r="AK60" s="10"/>
      <c r="AL60" s="10"/>
      <c r="AM60" s="10"/>
      <c r="AN60" s="10"/>
      <c r="AO60" s="10"/>
      <c r="AP60" s="10"/>
      <c r="AQ60" s="10"/>
    </row>
    <row r="61" spans="1:43" x14ac:dyDescent="0.45">
      <c r="A61" s="11"/>
      <c r="B61" s="8"/>
      <c r="C61" s="8"/>
      <c r="D61" s="8">
        <v>53</v>
      </c>
      <c r="E61" s="9">
        <f t="shared" si="28"/>
        <v>265</v>
      </c>
      <c r="F61" s="23">
        <f t="shared" si="31"/>
        <v>8.8000000000000007</v>
      </c>
      <c r="G61" s="23">
        <f t="shared" si="32"/>
        <v>8.7666666666666675</v>
      </c>
      <c r="H61" s="23">
        <f t="shared" si="33"/>
        <v>8.7333333333333325</v>
      </c>
      <c r="I61" s="23">
        <f t="shared" si="34"/>
        <v>8.6999999999999993</v>
      </c>
      <c r="J61" s="23">
        <f t="shared" si="35"/>
        <v>8.6666666666666661</v>
      </c>
      <c r="K61" s="23">
        <f t="shared" si="1"/>
        <v>8.6333333333333329</v>
      </c>
      <c r="L61" s="23">
        <f t="shared" si="5"/>
        <v>8.6</v>
      </c>
      <c r="M61" s="23">
        <f t="shared" si="6"/>
        <v>8.5666666666666664</v>
      </c>
      <c r="N61" s="23">
        <f t="shared" si="7"/>
        <v>8.5333333333333332</v>
      </c>
      <c r="O61" s="23">
        <f t="shared" si="8"/>
        <v>8.5</v>
      </c>
      <c r="P61" s="23">
        <f t="shared" si="9"/>
        <v>8.4666666666666668</v>
      </c>
      <c r="Q61" s="23">
        <f t="shared" si="10"/>
        <v>8.4333333333333336</v>
      </c>
      <c r="R61" s="23">
        <f t="shared" si="11"/>
        <v>8.4</v>
      </c>
      <c r="S61" s="23">
        <f t="shared" si="12"/>
        <v>8.3666666666666671</v>
      </c>
      <c r="T61" s="23">
        <f t="shared" si="13"/>
        <v>8.3333333333333339</v>
      </c>
      <c r="U61" s="23">
        <f t="shared" si="14"/>
        <v>8.3000000000000007</v>
      </c>
      <c r="V61" s="23">
        <f t="shared" si="15"/>
        <v>8.2666666666666675</v>
      </c>
      <c r="W61" s="23">
        <f t="shared" si="16"/>
        <v>8.2333333333333325</v>
      </c>
      <c r="X61" s="23">
        <f t="shared" si="17"/>
        <v>8.1999999999999993</v>
      </c>
      <c r="Y61" s="23">
        <f t="shared" si="18"/>
        <v>8.1666666666666661</v>
      </c>
      <c r="Z61" s="23">
        <f t="shared" si="19"/>
        <v>8.1333333333333329</v>
      </c>
      <c r="AA61" s="23">
        <f t="shared" si="20"/>
        <v>8.1</v>
      </c>
      <c r="AB61" s="23">
        <f t="shared" si="21"/>
        <v>8.0666666666666664</v>
      </c>
      <c r="AC61" s="23">
        <f t="shared" si="22"/>
        <v>8.0333333333333332</v>
      </c>
      <c r="AD61" s="23">
        <f t="shared" si="23"/>
        <v>8</v>
      </c>
      <c r="AE61" s="23">
        <f t="shared" si="24"/>
        <v>7.9666666666666668</v>
      </c>
      <c r="AF61" s="23">
        <f t="shared" si="25"/>
        <v>7.9333333333333336</v>
      </c>
      <c r="AG61" s="23">
        <f t="shared" si="26"/>
        <v>7.9</v>
      </c>
      <c r="AH61" s="23">
        <f t="shared" si="27"/>
        <v>7.8666666666666663</v>
      </c>
      <c r="AI61" s="8"/>
      <c r="AJ61" s="24" t="str">
        <f t="shared" si="36"/>
        <v>1,5,53,265</v>
      </c>
      <c r="AK61" s="10"/>
      <c r="AL61" s="10"/>
      <c r="AM61" s="10"/>
      <c r="AN61" s="10"/>
      <c r="AO61" s="10"/>
      <c r="AP61" s="10"/>
      <c r="AQ61" s="10"/>
    </row>
    <row r="62" spans="1:43" x14ac:dyDescent="0.45">
      <c r="A62" s="11"/>
      <c r="B62" s="8"/>
      <c r="C62" s="8"/>
      <c r="D62" s="8">
        <v>54</v>
      </c>
      <c r="E62" s="9">
        <f t="shared" si="28"/>
        <v>270</v>
      </c>
      <c r="F62" s="23">
        <f t="shared" si="31"/>
        <v>8.9666666666666668</v>
      </c>
      <c r="G62" s="23">
        <f t="shared" si="32"/>
        <v>8.9333333333333336</v>
      </c>
      <c r="H62" s="23">
        <f t="shared" si="33"/>
        <v>8.9</v>
      </c>
      <c r="I62" s="23">
        <f t="shared" si="34"/>
        <v>8.8666666666666671</v>
      </c>
      <c r="J62" s="23">
        <f t="shared" si="35"/>
        <v>8.8333333333333339</v>
      </c>
      <c r="K62" s="23">
        <f t="shared" si="1"/>
        <v>8.8000000000000007</v>
      </c>
      <c r="L62" s="23">
        <f t="shared" si="5"/>
        <v>8.7666666666666675</v>
      </c>
      <c r="M62" s="23">
        <f t="shared" si="6"/>
        <v>8.7333333333333325</v>
      </c>
      <c r="N62" s="23">
        <f t="shared" si="7"/>
        <v>8.6999999999999993</v>
      </c>
      <c r="O62" s="23">
        <f t="shared" si="8"/>
        <v>8.6666666666666661</v>
      </c>
      <c r="P62" s="23">
        <f t="shared" si="9"/>
        <v>8.6333333333333329</v>
      </c>
      <c r="Q62" s="23">
        <f t="shared" si="10"/>
        <v>8.6</v>
      </c>
      <c r="R62" s="23">
        <f t="shared" si="11"/>
        <v>8.5666666666666664</v>
      </c>
      <c r="S62" s="23">
        <f t="shared" si="12"/>
        <v>8.5333333333333332</v>
      </c>
      <c r="T62" s="23">
        <f t="shared" si="13"/>
        <v>8.5</v>
      </c>
      <c r="U62" s="23">
        <f t="shared" si="14"/>
        <v>8.4666666666666668</v>
      </c>
      <c r="V62" s="23">
        <f t="shared" si="15"/>
        <v>8.4333333333333336</v>
      </c>
      <c r="W62" s="23">
        <f t="shared" si="16"/>
        <v>8.4</v>
      </c>
      <c r="X62" s="23">
        <f t="shared" si="17"/>
        <v>8.3666666666666671</v>
      </c>
      <c r="Y62" s="23">
        <f t="shared" si="18"/>
        <v>8.3333333333333339</v>
      </c>
      <c r="Z62" s="23">
        <f t="shared" si="19"/>
        <v>8.3000000000000007</v>
      </c>
      <c r="AA62" s="23">
        <f t="shared" si="20"/>
        <v>8.2666666666666675</v>
      </c>
      <c r="AB62" s="23">
        <f t="shared" si="21"/>
        <v>8.2333333333333325</v>
      </c>
      <c r="AC62" s="23">
        <f t="shared" si="22"/>
        <v>8.1999999999999993</v>
      </c>
      <c r="AD62" s="23">
        <f t="shared" si="23"/>
        <v>8.1666666666666661</v>
      </c>
      <c r="AE62" s="23">
        <f t="shared" si="24"/>
        <v>8.1333333333333329</v>
      </c>
      <c r="AF62" s="23">
        <f t="shared" si="25"/>
        <v>8.1</v>
      </c>
      <c r="AG62" s="23">
        <f t="shared" si="26"/>
        <v>8.0666666666666664</v>
      </c>
      <c r="AH62" s="23">
        <f t="shared" si="27"/>
        <v>8.0333333333333332</v>
      </c>
      <c r="AI62" s="8"/>
      <c r="AJ62" s="24" t="str">
        <f t="shared" si="36"/>
        <v>1,2,3,5,6,9,10,15,18,27,30,45,54,90,135,270</v>
      </c>
      <c r="AK62" s="10"/>
      <c r="AL62" s="10"/>
      <c r="AM62" s="10"/>
      <c r="AN62" s="10"/>
      <c r="AO62" s="10"/>
      <c r="AP62" s="10"/>
      <c r="AQ62" s="10"/>
    </row>
    <row r="63" spans="1:43" x14ac:dyDescent="0.45">
      <c r="A63" s="11"/>
      <c r="B63" s="8"/>
      <c r="C63" s="8"/>
      <c r="D63" s="8">
        <v>55</v>
      </c>
      <c r="E63" s="9">
        <f t="shared" si="28"/>
        <v>275</v>
      </c>
      <c r="F63" s="23">
        <f t="shared" si="31"/>
        <v>9.1333333333333329</v>
      </c>
      <c r="G63" s="23">
        <f t="shared" si="32"/>
        <v>9.1</v>
      </c>
      <c r="H63" s="23">
        <f t="shared" si="33"/>
        <v>9.0666666666666664</v>
      </c>
      <c r="I63" s="23">
        <f t="shared" si="34"/>
        <v>9.0333333333333332</v>
      </c>
      <c r="J63" s="23">
        <f t="shared" si="35"/>
        <v>9</v>
      </c>
      <c r="K63" s="23">
        <f t="shared" si="1"/>
        <v>8.9666666666666668</v>
      </c>
      <c r="L63" s="23">
        <f t="shared" si="5"/>
        <v>8.9333333333333336</v>
      </c>
      <c r="M63" s="23">
        <f t="shared" si="6"/>
        <v>8.9</v>
      </c>
      <c r="N63" s="23">
        <f t="shared" si="7"/>
        <v>8.8666666666666671</v>
      </c>
      <c r="O63" s="23">
        <f t="shared" si="8"/>
        <v>8.8333333333333339</v>
      </c>
      <c r="P63" s="23">
        <f t="shared" si="9"/>
        <v>8.8000000000000007</v>
      </c>
      <c r="Q63" s="23">
        <f t="shared" si="10"/>
        <v>8.7666666666666675</v>
      </c>
      <c r="R63" s="23">
        <f t="shared" si="11"/>
        <v>8.7333333333333325</v>
      </c>
      <c r="S63" s="23">
        <f t="shared" si="12"/>
        <v>8.6999999999999993</v>
      </c>
      <c r="T63" s="23">
        <f t="shared" si="13"/>
        <v>8.6666666666666661</v>
      </c>
      <c r="U63" s="23">
        <f t="shared" si="14"/>
        <v>8.6333333333333329</v>
      </c>
      <c r="V63" s="23">
        <f t="shared" si="15"/>
        <v>8.6</v>
      </c>
      <c r="W63" s="23">
        <f t="shared" si="16"/>
        <v>8.5666666666666664</v>
      </c>
      <c r="X63" s="23">
        <f t="shared" si="17"/>
        <v>8.5333333333333332</v>
      </c>
      <c r="Y63" s="23">
        <f t="shared" si="18"/>
        <v>8.5</v>
      </c>
      <c r="Z63" s="23">
        <f t="shared" si="19"/>
        <v>8.4666666666666668</v>
      </c>
      <c r="AA63" s="23">
        <f t="shared" si="20"/>
        <v>8.4333333333333336</v>
      </c>
      <c r="AB63" s="23">
        <f t="shared" si="21"/>
        <v>8.4</v>
      </c>
      <c r="AC63" s="23">
        <f t="shared" si="22"/>
        <v>8.3666666666666671</v>
      </c>
      <c r="AD63" s="23">
        <f t="shared" si="23"/>
        <v>8.3333333333333339</v>
      </c>
      <c r="AE63" s="23">
        <f t="shared" si="24"/>
        <v>8.3000000000000007</v>
      </c>
      <c r="AF63" s="23">
        <f t="shared" si="25"/>
        <v>8.2666666666666675</v>
      </c>
      <c r="AG63" s="23">
        <f t="shared" si="26"/>
        <v>8.2333333333333325</v>
      </c>
      <c r="AH63" s="23">
        <f t="shared" si="27"/>
        <v>8.1999999999999993</v>
      </c>
      <c r="AI63" s="8"/>
      <c r="AJ63" s="24" t="str">
        <f t="shared" si="36"/>
        <v>1,5,11,25,55,275</v>
      </c>
      <c r="AK63" s="10"/>
      <c r="AL63" s="10"/>
      <c r="AM63" s="10"/>
      <c r="AN63" s="10"/>
      <c r="AO63" s="10"/>
      <c r="AP63" s="10"/>
      <c r="AQ63" s="10"/>
    </row>
    <row r="64" spans="1:43" x14ac:dyDescent="0.45">
      <c r="A64" s="11"/>
      <c r="B64" s="8"/>
      <c r="C64" s="8"/>
      <c r="D64" s="8">
        <v>56</v>
      </c>
      <c r="E64" s="9">
        <f t="shared" si="28"/>
        <v>280</v>
      </c>
      <c r="F64" s="23">
        <f t="shared" si="31"/>
        <v>9.3000000000000007</v>
      </c>
      <c r="G64" s="23">
        <f t="shared" si="32"/>
        <v>9.2666666666666675</v>
      </c>
      <c r="H64" s="23">
        <f t="shared" si="33"/>
        <v>9.2333333333333325</v>
      </c>
      <c r="I64" s="23">
        <f t="shared" si="34"/>
        <v>9.1999999999999993</v>
      </c>
      <c r="J64" s="23">
        <f t="shared" si="35"/>
        <v>9.1666666666666661</v>
      </c>
      <c r="K64" s="23">
        <f t="shared" si="1"/>
        <v>9.1333333333333329</v>
      </c>
      <c r="L64" s="23">
        <f t="shared" si="5"/>
        <v>9.1</v>
      </c>
      <c r="M64" s="23">
        <f t="shared" si="6"/>
        <v>9.0666666666666664</v>
      </c>
      <c r="N64" s="23">
        <f t="shared" si="7"/>
        <v>9.0333333333333332</v>
      </c>
      <c r="O64" s="23">
        <f t="shared" si="8"/>
        <v>9</v>
      </c>
      <c r="P64" s="23">
        <f t="shared" si="9"/>
        <v>8.9666666666666668</v>
      </c>
      <c r="Q64" s="23">
        <f t="shared" si="10"/>
        <v>8.9333333333333336</v>
      </c>
      <c r="R64" s="23">
        <f t="shared" si="11"/>
        <v>8.9</v>
      </c>
      <c r="S64" s="23">
        <f t="shared" si="12"/>
        <v>8.8666666666666671</v>
      </c>
      <c r="T64" s="23">
        <f t="shared" si="13"/>
        <v>8.8333333333333339</v>
      </c>
      <c r="U64" s="23">
        <f t="shared" si="14"/>
        <v>8.8000000000000007</v>
      </c>
      <c r="V64" s="23">
        <f t="shared" si="15"/>
        <v>8.7666666666666675</v>
      </c>
      <c r="W64" s="23">
        <f t="shared" si="16"/>
        <v>8.7333333333333325</v>
      </c>
      <c r="X64" s="23">
        <f t="shared" si="17"/>
        <v>8.6999999999999993</v>
      </c>
      <c r="Y64" s="23">
        <f t="shared" si="18"/>
        <v>8.6666666666666661</v>
      </c>
      <c r="Z64" s="23">
        <f t="shared" si="19"/>
        <v>8.6333333333333329</v>
      </c>
      <c r="AA64" s="23">
        <f t="shared" si="20"/>
        <v>8.6</v>
      </c>
      <c r="AB64" s="23">
        <f t="shared" si="21"/>
        <v>8.5666666666666664</v>
      </c>
      <c r="AC64" s="23">
        <f t="shared" si="22"/>
        <v>8.5333333333333332</v>
      </c>
      <c r="AD64" s="23">
        <f t="shared" si="23"/>
        <v>8.5</v>
      </c>
      <c r="AE64" s="23">
        <f t="shared" si="24"/>
        <v>8.4666666666666668</v>
      </c>
      <c r="AF64" s="23">
        <f t="shared" si="25"/>
        <v>8.4333333333333336</v>
      </c>
      <c r="AG64" s="23">
        <f t="shared" si="26"/>
        <v>8.4</v>
      </c>
      <c r="AH64" s="23">
        <f t="shared" si="27"/>
        <v>8.3666666666666671</v>
      </c>
      <c r="AI64" s="8"/>
      <c r="AJ64" s="24" t="str">
        <f t="shared" si="36"/>
        <v>1,2,4,5,7,8,10,14,20,28,35,40,56,70,140,280</v>
      </c>
      <c r="AK64" s="10"/>
      <c r="AL64" s="10"/>
      <c r="AM64" s="10"/>
      <c r="AN64" s="10"/>
      <c r="AO64" s="10"/>
      <c r="AP64" s="10"/>
      <c r="AQ64" s="10"/>
    </row>
    <row r="65" spans="1:43" x14ac:dyDescent="0.45">
      <c r="A65" s="11"/>
      <c r="B65" s="8"/>
      <c r="C65" s="8"/>
      <c r="D65" s="8">
        <v>57</v>
      </c>
      <c r="E65" s="9">
        <f t="shared" si="28"/>
        <v>285</v>
      </c>
      <c r="F65" s="23">
        <f t="shared" si="31"/>
        <v>9.4666666666666668</v>
      </c>
      <c r="G65" s="23">
        <f t="shared" si="32"/>
        <v>9.4333333333333336</v>
      </c>
      <c r="H65" s="23">
        <f t="shared" si="33"/>
        <v>9.4</v>
      </c>
      <c r="I65" s="23">
        <f t="shared" si="34"/>
        <v>9.3666666666666671</v>
      </c>
      <c r="J65" s="23">
        <f t="shared" si="35"/>
        <v>9.3333333333333339</v>
      </c>
      <c r="K65" s="23">
        <f t="shared" si="1"/>
        <v>9.3000000000000007</v>
      </c>
      <c r="L65" s="23">
        <f t="shared" si="5"/>
        <v>9.2666666666666675</v>
      </c>
      <c r="M65" s="23">
        <f t="shared" si="6"/>
        <v>9.2333333333333325</v>
      </c>
      <c r="N65" s="23">
        <f t="shared" si="7"/>
        <v>9.1999999999999993</v>
      </c>
      <c r="O65" s="23">
        <f t="shared" si="8"/>
        <v>9.1666666666666661</v>
      </c>
      <c r="P65" s="23">
        <f t="shared" si="9"/>
        <v>9.1333333333333329</v>
      </c>
      <c r="Q65" s="23">
        <f t="shared" si="10"/>
        <v>9.1</v>
      </c>
      <c r="R65" s="23">
        <f t="shared" si="11"/>
        <v>9.0666666666666664</v>
      </c>
      <c r="S65" s="23">
        <f t="shared" si="12"/>
        <v>9.0333333333333332</v>
      </c>
      <c r="T65" s="23">
        <f t="shared" si="13"/>
        <v>9</v>
      </c>
      <c r="U65" s="23">
        <f t="shared" si="14"/>
        <v>8.9666666666666668</v>
      </c>
      <c r="V65" s="23">
        <f t="shared" si="15"/>
        <v>8.9333333333333336</v>
      </c>
      <c r="W65" s="23">
        <f t="shared" si="16"/>
        <v>8.9</v>
      </c>
      <c r="X65" s="23">
        <f t="shared" si="17"/>
        <v>8.8666666666666671</v>
      </c>
      <c r="Y65" s="23">
        <f t="shared" si="18"/>
        <v>8.8333333333333339</v>
      </c>
      <c r="Z65" s="23">
        <f t="shared" si="19"/>
        <v>8.8000000000000007</v>
      </c>
      <c r="AA65" s="23">
        <f t="shared" si="20"/>
        <v>8.7666666666666675</v>
      </c>
      <c r="AB65" s="23">
        <f t="shared" si="21"/>
        <v>8.7333333333333325</v>
      </c>
      <c r="AC65" s="23">
        <f t="shared" si="22"/>
        <v>8.6999999999999993</v>
      </c>
      <c r="AD65" s="23">
        <f t="shared" si="23"/>
        <v>8.6666666666666661</v>
      </c>
      <c r="AE65" s="23">
        <f t="shared" si="24"/>
        <v>8.6333333333333329</v>
      </c>
      <c r="AF65" s="23">
        <f t="shared" si="25"/>
        <v>8.6</v>
      </c>
      <c r="AG65" s="23">
        <f t="shared" si="26"/>
        <v>8.5666666666666664</v>
      </c>
      <c r="AH65" s="23">
        <f t="shared" si="27"/>
        <v>8.5333333333333332</v>
      </c>
      <c r="AI65" s="8"/>
      <c r="AJ65" s="24" t="str">
        <f t="shared" si="36"/>
        <v>1,3,5,15,19,57,95,285</v>
      </c>
      <c r="AK65" s="10"/>
      <c r="AL65" s="10"/>
      <c r="AM65" s="10"/>
      <c r="AN65" s="10"/>
      <c r="AO65" s="10"/>
      <c r="AP65" s="10"/>
      <c r="AQ65" s="10"/>
    </row>
    <row r="66" spans="1:43" x14ac:dyDescent="0.45">
      <c r="A66" s="11"/>
      <c r="B66" s="8"/>
      <c r="C66" s="8"/>
      <c r="D66" s="8">
        <v>58</v>
      </c>
      <c r="E66" s="9">
        <f t="shared" si="28"/>
        <v>290</v>
      </c>
      <c r="F66" s="23">
        <f t="shared" si="31"/>
        <v>9.6333333333333329</v>
      </c>
      <c r="G66" s="23">
        <f t="shared" si="32"/>
        <v>9.6</v>
      </c>
      <c r="H66" s="23">
        <f t="shared" si="33"/>
        <v>9.5666666666666664</v>
      </c>
      <c r="I66" s="23">
        <f t="shared" si="34"/>
        <v>9.5333333333333332</v>
      </c>
      <c r="J66" s="23">
        <f t="shared" si="35"/>
        <v>9.5</v>
      </c>
      <c r="K66" s="23">
        <f t="shared" si="1"/>
        <v>9.4666666666666668</v>
      </c>
      <c r="L66" s="23">
        <f t="shared" si="5"/>
        <v>9.4333333333333336</v>
      </c>
      <c r="M66" s="23">
        <f t="shared" si="6"/>
        <v>9.4</v>
      </c>
      <c r="N66" s="23">
        <f t="shared" si="7"/>
        <v>9.3666666666666671</v>
      </c>
      <c r="O66" s="23">
        <f t="shared" si="8"/>
        <v>9.3333333333333339</v>
      </c>
      <c r="P66" s="23">
        <f t="shared" si="9"/>
        <v>9.3000000000000007</v>
      </c>
      <c r="Q66" s="23">
        <f t="shared" si="10"/>
        <v>9.2666666666666675</v>
      </c>
      <c r="R66" s="23">
        <f t="shared" si="11"/>
        <v>9.2333333333333325</v>
      </c>
      <c r="S66" s="23">
        <f t="shared" si="12"/>
        <v>9.1999999999999993</v>
      </c>
      <c r="T66" s="23">
        <f t="shared" si="13"/>
        <v>9.1666666666666661</v>
      </c>
      <c r="U66" s="23">
        <f t="shared" si="14"/>
        <v>9.1333333333333329</v>
      </c>
      <c r="V66" s="23">
        <f t="shared" si="15"/>
        <v>9.1</v>
      </c>
      <c r="W66" s="23">
        <f t="shared" si="16"/>
        <v>9.0666666666666664</v>
      </c>
      <c r="X66" s="23">
        <f t="shared" si="17"/>
        <v>9.0333333333333332</v>
      </c>
      <c r="Y66" s="23">
        <f t="shared" si="18"/>
        <v>9</v>
      </c>
      <c r="Z66" s="23">
        <f t="shared" si="19"/>
        <v>8.9666666666666668</v>
      </c>
      <c r="AA66" s="23">
        <f t="shared" si="20"/>
        <v>8.9333333333333336</v>
      </c>
      <c r="AB66" s="23">
        <f t="shared" si="21"/>
        <v>8.9</v>
      </c>
      <c r="AC66" s="23">
        <f t="shared" si="22"/>
        <v>8.8666666666666671</v>
      </c>
      <c r="AD66" s="23">
        <f t="shared" si="23"/>
        <v>8.8333333333333339</v>
      </c>
      <c r="AE66" s="23">
        <f t="shared" si="24"/>
        <v>8.8000000000000007</v>
      </c>
      <c r="AF66" s="23">
        <f t="shared" si="25"/>
        <v>8.7666666666666675</v>
      </c>
      <c r="AG66" s="23">
        <f t="shared" si="26"/>
        <v>8.7333333333333325</v>
      </c>
      <c r="AH66" s="23">
        <f t="shared" si="27"/>
        <v>8.6999999999999993</v>
      </c>
      <c r="AI66" s="8"/>
      <c r="AJ66" s="24" t="str">
        <f t="shared" si="36"/>
        <v>1,2,5,10,29,58,145,290</v>
      </c>
      <c r="AK66" s="10"/>
      <c r="AL66" s="10"/>
      <c r="AM66" s="10"/>
      <c r="AN66" s="10"/>
      <c r="AO66" s="10"/>
      <c r="AP66" s="10"/>
      <c r="AQ66" s="10"/>
    </row>
    <row r="67" spans="1:43" x14ac:dyDescent="0.45">
      <c r="A67" s="11"/>
      <c r="B67" s="8"/>
      <c r="C67" s="8"/>
      <c r="D67" s="8">
        <v>59</v>
      </c>
      <c r="E67" s="9">
        <f t="shared" si="28"/>
        <v>295</v>
      </c>
      <c r="F67" s="23">
        <f t="shared" si="31"/>
        <v>9.8000000000000007</v>
      </c>
      <c r="G67" s="23">
        <f t="shared" si="32"/>
        <v>9.7666666666666675</v>
      </c>
      <c r="H67" s="23">
        <f t="shared" si="33"/>
        <v>9.7333333333333325</v>
      </c>
      <c r="I67" s="23">
        <f t="shared" si="34"/>
        <v>9.6999999999999993</v>
      </c>
      <c r="J67" s="23">
        <f t="shared" si="35"/>
        <v>9.6666666666666661</v>
      </c>
      <c r="K67" s="23">
        <f t="shared" si="1"/>
        <v>9.6333333333333329</v>
      </c>
      <c r="L67" s="23">
        <f t="shared" si="5"/>
        <v>9.6</v>
      </c>
      <c r="M67" s="23">
        <f t="shared" si="6"/>
        <v>9.5666666666666664</v>
      </c>
      <c r="N67" s="23">
        <f t="shared" si="7"/>
        <v>9.5333333333333332</v>
      </c>
      <c r="O67" s="23">
        <f t="shared" si="8"/>
        <v>9.5</v>
      </c>
      <c r="P67" s="23">
        <f t="shared" si="9"/>
        <v>9.4666666666666668</v>
      </c>
      <c r="Q67" s="23">
        <f t="shared" si="10"/>
        <v>9.4333333333333336</v>
      </c>
      <c r="R67" s="23">
        <f t="shared" si="11"/>
        <v>9.4</v>
      </c>
      <c r="S67" s="23">
        <f t="shared" si="12"/>
        <v>9.3666666666666671</v>
      </c>
      <c r="T67" s="23">
        <f t="shared" si="13"/>
        <v>9.3333333333333339</v>
      </c>
      <c r="U67" s="23">
        <f t="shared" si="14"/>
        <v>9.3000000000000007</v>
      </c>
      <c r="V67" s="23">
        <f t="shared" si="15"/>
        <v>9.2666666666666675</v>
      </c>
      <c r="W67" s="23">
        <f t="shared" si="16"/>
        <v>9.2333333333333325</v>
      </c>
      <c r="X67" s="23">
        <f t="shared" si="17"/>
        <v>9.1999999999999993</v>
      </c>
      <c r="Y67" s="23">
        <f t="shared" si="18"/>
        <v>9.1666666666666661</v>
      </c>
      <c r="Z67" s="23">
        <f t="shared" si="19"/>
        <v>9.1333333333333329</v>
      </c>
      <c r="AA67" s="23">
        <f t="shared" si="20"/>
        <v>9.1</v>
      </c>
      <c r="AB67" s="23">
        <f t="shared" si="21"/>
        <v>9.0666666666666664</v>
      </c>
      <c r="AC67" s="23">
        <f t="shared" si="22"/>
        <v>9.0333333333333332</v>
      </c>
      <c r="AD67" s="23">
        <f t="shared" si="23"/>
        <v>9</v>
      </c>
      <c r="AE67" s="23">
        <f t="shared" si="24"/>
        <v>8.9666666666666668</v>
      </c>
      <c r="AF67" s="23">
        <f t="shared" si="25"/>
        <v>8.9333333333333336</v>
      </c>
      <c r="AG67" s="23">
        <f t="shared" si="26"/>
        <v>8.9</v>
      </c>
      <c r="AH67" s="23">
        <f t="shared" si="27"/>
        <v>8.8666666666666671</v>
      </c>
      <c r="AI67" s="8"/>
      <c r="AJ67" s="24" t="str">
        <f t="shared" si="36"/>
        <v>1,5,59,295</v>
      </c>
      <c r="AK67" s="10"/>
      <c r="AL67" s="10"/>
      <c r="AM67" s="10"/>
      <c r="AN67" s="10"/>
      <c r="AO67" s="10"/>
      <c r="AP67" s="10"/>
      <c r="AQ67" s="10"/>
    </row>
    <row r="68" spans="1:43" x14ac:dyDescent="0.45">
      <c r="A68" s="11"/>
      <c r="B68" s="8"/>
      <c r="C68" s="8"/>
      <c r="D68" s="8"/>
      <c r="E68" s="9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0"/>
      <c r="AL68" s="10"/>
      <c r="AM68" s="10"/>
      <c r="AN68" s="10"/>
      <c r="AO68" s="10"/>
      <c r="AP68" s="10"/>
      <c r="AQ68" s="10"/>
    </row>
    <row r="69" spans="1:43" x14ac:dyDescent="0.45">
      <c r="A69" s="11"/>
      <c r="B69" s="8"/>
      <c r="C69" s="8"/>
      <c r="D69" s="8">
        <v>60</v>
      </c>
      <c r="E69" s="9">
        <f t="shared" si="28"/>
        <v>300</v>
      </c>
      <c r="F69" s="23">
        <f t="shared" si="31"/>
        <v>9.9666666666666668</v>
      </c>
      <c r="G69" s="23">
        <f t="shared" si="32"/>
        <v>9.9333333333333336</v>
      </c>
      <c r="H69" s="23">
        <f t="shared" si="33"/>
        <v>9.9</v>
      </c>
      <c r="I69" s="23">
        <f t="shared" si="34"/>
        <v>9.8666666666666671</v>
      </c>
      <c r="J69" s="23">
        <f t="shared" si="35"/>
        <v>9.8333333333333339</v>
      </c>
      <c r="K69" s="23">
        <f t="shared" si="1"/>
        <v>9.8000000000000007</v>
      </c>
      <c r="L69" s="23">
        <f t="shared" si="5"/>
        <v>9.7666666666666675</v>
      </c>
      <c r="M69" s="23">
        <f t="shared" si="6"/>
        <v>9.7333333333333325</v>
      </c>
      <c r="N69" s="23">
        <f t="shared" si="7"/>
        <v>9.6999999999999993</v>
      </c>
      <c r="O69" s="23">
        <f t="shared" si="8"/>
        <v>9.6666666666666661</v>
      </c>
      <c r="P69" s="23">
        <f t="shared" si="9"/>
        <v>9.6333333333333329</v>
      </c>
      <c r="Q69" s="23">
        <f t="shared" si="10"/>
        <v>9.6</v>
      </c>
      <c r="R69" s="23">
        <f t="shared" si="11"/>
        <v>9.5666666666666664</v>
      </c>
      <c r="S69" s="23">
        <f t="shared" si="12"/>
        <v>9.5333333333333332</v>
      </c>
      <c r="T69" s="23">
        <f t="shared" si="13"/>
        <v>9.5</v>
      </c>
      <c r="U69" s="23">
        <f t="shared" si="14"/>
        <v>9.4666666666666668</v>
      </c>
      <c r="V69" s="23">
        <f t="shared" si="15"/>
        <v>9.4333333333333336</v>
      </c>
      <c r="W69" s="23">
        <f t="shared" si="16"/>
        <v>9.4</v>
      </c>
      <c r="X69" s="23">
        <f t="shared" si="17"/>
        <v>9.3666666666666671</v>
      </c>
      <c r="Y69" s="23">
        <f t="shared" si="18"/>
        <v>9.3333333333333339</v>
      </c>
      <c r="Z69" s="23">
        <f t="shared" si="19"/>
        <v>9.3000000000000007</v>
      </c>
      <c r="AA69" s="23">
        <f t="shared" si="20"/>
        <v>9.2666666666666675</v>
      </c>
      <c r="AB69" s="23">
        <f t="shared" si="21"/>
        <v>9.2333333333333325</v>
      </c>
      <c r="AC69" s="23">
        <f t="shared" si="22"/>
        <v>9.1999999999999993</v>
      </c>
      <c r="AD69" s="23">
        <f t="shared" si="23"/>
        <v>9.1666666666666661</v>
      </c>
      <c r="AE69" s="23">
        <f t="shared" si="24"/>
        <v>9.1333333333333329</v>
      </c>
      <c r="AF69" s="23">
        <f t="shared" si="25"/>
        <v>9.1</v>
      </c>
      <c r="AG69" s="23">
        <f t="shared" si="26"/>
        <v>9.0666666666666664</v>
      </c>
      <c r="AH69" s="23">
        <f t="shared" si="27"/>
        <v>9.0333333333333332</v>
      </c>
      <c r="AI69" s="8"/>
      <c r="AJ69" s="24" t="str">
        <f t="shared" si="36"/>
        <v>1,2,3,4,5,6,10,12,15,20,25,30,50,60,75,100,150,300</v>
      </c>
      <c r="AK69" s="10"/>
      <c r="AL69" s="10"/>
      <c r="AM69" s="10"/>
      <c r="AN69" s="10"/>
      <c r="AO69" s="10"/>
      <c r="AP69" s="10"/>
      <c r="AQ69" s="10"/>
    </row>
    <row r="70" spans="1:43" x14ac:dyDescent="0.45">
      <c r="A70" s="11"/>
      <c r="B70" s="8"/>
      <c r="C70" s="8"/>
      <c r="D70" s="8">
        <v>61</v>
      </c>
      <c r="E70" s="9">
        <f t="shared" si="28"/>
        <v>305</v>
      </c>
      <c r="F70" s="23">
        <f t="shared" si="31"/>
        <v>10.133333333333333</v>
      </c>
      <c r="G70" s="23">
        <f t="shared" si="32"/>
        <v>10.1</v>
      </c>
      <c r="H70" s="23">
        <f t="shared" si="33"/>
        <v>10.066666666666666</v>
      </c>
      <c r="I70" s="23">
        <f t="shared" si="34"/>
        <v>10.033333333333333</v>
      </c>
      <c r="J70" s="23">
        <f t="shared" si="35"/>
        <v>10</v>
      </c>
      <c r="K70" s="23">
        <f t="shared" si="1"/>
        <v>9.9666666666666668</v>
      </c>
      <c r="L70" s="23">
        <f t="shared" si="5"/>
        <v>9.9333333333333336</v>
      </c>
      <c r="M70" s="23">
        <f t="shared" si="6"/>
        <v>9.9</v>
      </c>
      <c r="N70" s="23">
        <f t="shared" si="7"/>
        <v>9.8666666666666671</v>
      </c>
      <c r="O70" s="23">
        <f t="shared" si="8"/>
        <v>9.8333333333333339</v>
      </c>
      <c r="P70" s="23">
        <f t="shared" si="9"/>
        <v>9.8000000000000007</v>
      </c>
      <c r="Q70" s="23">
        <f t="shared" si="10"/>
        <v>9.7666666666666675</v>
      </c>
      <c r="R70" s="23">
        <f t="shared" si="11"/>
        <v>9.7333333333333325</v>
      </c>
      <c r="S70" s="23">
        <f t="shared" si="12"/>
        <v>9.6999999999999993</v>
      </c>
      <c r="T70" s="23">
        <f t="shared" si="13"/>
        <v>9.6666666666666661</v>
      </c>
      <c r="U70" s="23">
        <f t="shared" si="14"/>
        <v>9.6333333333333329</v>
      </c>
      <c r="V70" s="23">
        <f t="shared" si="15"/>
        <v>9.6</v>
      </c>
      <c r="W70" s="23">
        <f t="shared" si="16"/>
        <v>9.5666666666666664</v>
      </c>
      <c r="X70" s="23">
        <f t="shared" si="17"/>
        <v>9.5333333333333332</v>
      </c>
      <c r="Y70" s="23">
        <f t="shared" si="18"/>
        <v>9.5</v>
      </c>
      <c r="Z70" s="23">
        <f t="shared" si="19"/>
        <v>9.4666666666666668</v>
      </c>
      <c r="AA70" s="23">
        <f t="shared" si="20"/>
        <v>9.4333333333333336</v>
      </c>
      <c r="AB70" s="23">
        <f t="shared" si="21"/>
        <v>9.4</v>
      </c>
      <c r="AC70" s="23">
        <f t="shared" si="22"/>
        <v>9.3666666666666671</v>
      </c>
      <c r="AD70" s="23">
        <f t="shared" si="23"/>
        <v>9.3333333333333339</v>
      </c>
      <c r="AE70" s="23">
        <f t="shared" si="24"/>
        <v>9.3000000000000007</v>
      </c>
      <c r="AF70" s="23">
        <f t="shared" si="25"/>
        <v>9.2666666666666675</v>
      </c>
      <c r="AG70" s="23">
        <f t="shared" si="26"/>
        <v>9.2333333333333325</v>
      </c>
      <c r="AH70" s="23">
        <f t="shared" si="27"/>
        <v>9.1999999999999993</v>
      </c>
      <c r="AI70" s="8"/>
      <c r="AJ70" s="24" t="str">
        <f t="shared" si="36"/>
        <v>1,5,61,305</v>
      </c>
      <c r="AK70" s="10"/>
      <c r="AL70" s="10"/>
      <c r="AM70" s="10"/>
      <c r="AN70" s="10"/>
      <c r="AO70" s="10"/>
      <c r="AP70" s="10"/>
      <c r="AQ70" s="10"/>
    </row>
    <row r="71" spans="1:43" x14ac:dyDescent="0.45">
      <c r="A71" s="11"/>
      <c r="B71" s="8"/>
      <c r="C71" s="8"/>
      <c r="D71" s="8">
        <v>62</v>
      </c>
      <c r="E71" s="9">
        <f t="shared" si="28"/>
        <v>310</v>
      </c>
      <c r="F71" s="23">
        <f t="shared" si="31"/>
        <v>10.3</v>
      </c>
      <c r="G71" s="23">
        <f t="shared" si="32"/>
        <v>10.266666666666667</v>
      </c>
      <c r="H71" s="23">
        <f t="shared" si="33"/>
        <v>10.233333333333333</v>
      </c>
      <c r="I71" s="23">
        <f t="shared" si="34"/>
        <v>10.199999999999999</v>
      </c>
      <c r="J71" s="23">
        <f t="shared" si="35"/>
        <v>10.166666666666666</v>
      </c>
      <c r="K71" s="23">
        <f t="shared" si="1"/>
        <v>10.133333333333333</v>
      </c>
      <c r="L71" s="23">
        <f t="shared" si="5"/>
        <v>10.1</v>
      </c>
      <c r="M71" s="23">
        <f t="shared" si="6"/>
        <v>10.066666666666666</v>
      </c>
      <c r="N71" s="23">
        <f t="shared" si="7"/>
        <v>10.033333333333333</v>
      </c>
      <c r="O71" s="23">
        <f t="shared" si="8"/>
        <v>10</v>
      </c>
      <c r="P71" s="23">
        <f t="shared" si="9"/>
        <v>9.9666666666666668</v>
      </c>
      <c r="Q71" s="23">
        <f t="shared" si="10"/>
        <v>9.9333333333333336</v>
      </c>
      <c r="R71" s="23">
        <f t="shared" si="11"/>
        <v>9.9</v>
      </c>
      <c r="S71" s="23">
        <f t="shared" si="12"/>
        <v>9.8666666666666671</v>
      </c>
      <c r="T71" s="23">
        <f t="shared" si="13"/>
        <v>9.8333333333333339</v>
      </c>
      <c r="U71" s="23">
        <f t="shared" si="14"/>
        <v>9.8000000000000007</v>
      </c>
      <c r="V71" s="23">
        <f t="shared" si="15"/>
        <v>9.7666666666666675</v>
      </c>
      <c r="W71" s="23">
        <f t="shared" si="16"/>
        <v>9.7333333333333325</v>
      </c>
      <c r="X71" s="23">
        <f t="shared" si="17"/>
        <v>9.6999999999999993</v>
      </c>
      <c r="Y71" s="23">
        <f t="shared" si="18"/>
        <v>9.6666666666666661</v>
      </c>
      <c r="Z71" s="23">
        <f t="shared" si="19"/>
        <v>9.6333333333333329</v>
      </c>
      <c r="AA71" s="23">
        <f t="shared" si="20"/>
        <v>9.6</v>
      </c>
      <c r="AB71" s="23">
        <f t="shared" si="21"/>
        <v>9.5666666666666664</v>
      </c>
      <c r="AC71" s="23">
        <f t="shared" si="22"/>
        <v>9.5333333333333332</v>
      </c>
      <c r="AD71" s="23">
        <f t="shared" si="23"/>
        <v>9.5</v>
      </c>
      <c r="AE71" s="23">
        <f t="shared" si="24"/>
        <v>9.4666666666666668</v>
      </c>
      <c r="AF71" s="23">
        <f t="shared" si="25"/>
        <v>9.4333333333333336</v>
      </c>
      <c r="AG71" s="23">
        <f t="shared" si="26"/>
        <v>9.4</v>
      </c>
      <c r="AH71" s="23">
        <f t="shared" si="27"/>
        <v>9.3666666666666671</v>
      </c>
      <c r="AI71" s="8"/>
      <c r="AJ71" s="24" t="str">
        <f t="shared" si="36"/>
        <v>1,2,5,10,31,62,155,310</v>
      </c>
      <c r="AK71" s="10"/>
      <c r="AL71" s="10"/>
      <c r="AM71" s="10"/>
      <c r="AN71" s="10"/>
      <c r="AO71" s="10"/>
      <c r="AP71" s="10"/>
      <c r="AQ71" s="10"/>
    </row>
    <row r="72" spans="1:43" x14ac:dyDescent="0.45">
      <c r="A72" s="11"/>
      <c r="B72" s="8"/>
      <c r="C72" s="8"/>
      <c r="D72" s="8">
        <v>63</v>
      </c>
      <c r="E72" s="9">
        <f t="shared" si="28"/>
        <v>315</v>
      </c>
      <c r="F72" s="23">
        <f t="shared" si="31"/>
        <v>10.466666666666667</v>
      </c>
      <c r="G72" s="23">
        <f t="shared" si="32"/>
        <v>10.433333333333334</v>
      </c>
      <c r="H72" s="23">
        <f t="shared" si="33"/>
        <v>10.4</v>
      </c>
      <c r="I72" s="23">
        <f t="shared" si="34"/>
        <v>10.366666666666667</v>
      </c>
      <c r="J72" s="23">
        <f t="shared" si="35"/>
        <v>10.333333333333334</v>
      </c>
      <c r="K72" s="23">
        <f t="shared" si="1"/>
        <v>10.3</v>
      </c>
      <c r="L72" s="23">
        <f t="shared" si="5"/>
        <v>10.266666666666667</v>
      </c>
      <c r="M72" s="23">
        <f t="shared" si="6"/>
        <v>10.233333333333333</v>
      </c>
      <c r="N72" s="23">
        <f t="shared" si="7"/>
        <v>10.199999999999999</v>
      </c>
      <c r="O72" s="23">
        <f t="shared" si="8"/>
        <v>10.166666666666666</v>
      </c>
      <c r="P72" s="23">
        <f t="shared" si="9"/>
        <v>10.133333333333333</v>
      </c>
      <c r="Q72" s="23">
        <f t="shared" si="10"/>
        <v>10.1</v>
      </c>
      <c r="R72" s="23">
        <f t="shared" si="11"/>
        <v>10.066666666666666</v>
      </c>
      <c r="S72" s="23">
        <f t="shared" si="12"/>
        <v>10.033333333333333</v>
      </c>
      <c r="T72" s="23">
        <f t="shared" si="13"/>
        <v>10</v>
      </c>
      <c r="U72" s="23">
        <f t="shared" si="14"/>
        <v>9.9666666666666668</v>
      </c>
      <c r="V72" s="23">
        <f t="shared" si="15"/>
        <v>9.9333333333333336</v>
      </c>
      <c r="W72" s="23">
        <f t="shared" si="16"/>
        <v>9.9</v>
      </c>
      <c r="X72" s="23">
        <f t="shared" si="17"/>
        <v>9.8666666666666671</v>
      </c>
      <c r="Y72" s="23">
        <f t="shared" si="18"/>
        <v>9.8333333333333339</v>
      </c>
      <c r="Z72" s="23">
        <f t="shared" si="19"/>
        <v>9.8000000000000007</v>
      </c>
      <c r="AA72" s="23">
        <f t="shared" si="20"/>
        <v>9.7666666666666675</v>
      </c>
      <c r="AB72" s="23">
        <f t="shared" si="21"/>
        <v>9.7333333333333325</v>
      </c>
      <c r="AC72" s="23">
        <f t="shared" si="22"/>
        <v>9.6999999999999993</v>
      </c>
      <c r="AD72" s="23">
        <f t="shared" si="23"/>
        <v>9.6666666666666661</v>
      </c>
      <c r="AE72" s="23">
        <f t="shared" si="24"/>
        <v>9.6333333333333329</v>
      </c>
      <c r="AF72" s="23">
        <f t="shared" si="25"/>
        <v>9.6</v>
      </c>
      <c r="AG72" s="23">
        <f t="shared" si="26"/>
        <v>9.5666666666666664</v>
      </c>
      <c r="AH72" s="23">
        <f t="shared" si="27"/>
        <v>9.5333333333333332</v>
      </c>
      <c r="AI72" s="8"/>
      <c r="AJ72" s="24" t="str">
        <f t="shared" si="36"/>
        <v>1,3,5,7,9,15,21,35,45,63,105,315</v>
      </c>
      <c r="AK72" s="10"/>
      <c r="AL72" s="10"/>
      <c r="AM72" s="10"/>
      <c r="AN72" s="10"/>
      <c r="AO72" s="10"/>
      <c r="AP72" s="10"/>
      <c r="AQ72" s="10"/>
    </row>
    <row r="73" spans="1:43" x14ac:dyDescent="0.45">
      <c r="A73" s="11"/>
      <c r="B73" s="8"/>
      <c r="C73" s="8"/>
      <c r="D73" s="8">
        <v>64</v>
      </c>
      <c r="E73" s="9">
        <f t="shared" si="28"/>
        <v>320</v>
      </c>
      <c r="F73" s="23">
        <f t="shared" si="31"/>
        <v>10.633333333333333</v>
      </c>
      <c r="G73" s="23">
        <f t="shared" si="32"/>
        <v>10.6</v>
      </c>
      <c r="H73" s="23">
        <f t="shared" si="33"/>
        <v>10.566666666666666</v>
      </c>
      <c r="I73" s="23">
        <f t="shared" si="34"/>
        <v>10.533333333333333</v>
      </c>
      <c r="J73" s="23">
        <f t="shared" si="35"/>
        <v>10.5</v>
      </c>
      <c r="K73" s="23">
        <f t="shared" ref="K73:K133" si="37">($E73-6)/30</f>
        <v>10.466666666666667</v>
      </c>
      <c r="L73" s="23">
        <f t="shared" si="5"/>
        <v>10.433333333333334</v>
      </c>
      <c r="M73" s="23">
        <f t="shared" si="6"/>
        <v>10.4</v>
      </c>
      <c r="N73" s="23">
        <f t="shared" si="7"/>
        <v>10.366666666666667</v>
      </c>
      <c r="O73" s="23">
        <f t="shared" si="8"/>
        <v>10.333333333333334</v>
      </c>
      <c r="P73" s="23">
        <f t="shared" si="9"/>
        <v>10.3</v>
      </c>
      <c r="Q73" s="23">
        <f t="shared" si="10"/>
        <v>10.266666666666667</v>
      </c>
      <c r="R73" s="23">
        <f t="shared" si="11"/>
        <v>10.233333333333333</v>
      </c>
      <c r="S73" s="23">
        <f t="shared" si="12"/>
        <v>10.199999999999999</v>
      </c>
      <c r="T73" s="23">
        <f t="shared" si="13"/>
        <v>10.166666666666666</v>
      </c>
      <c r="U73" s="23">
        <f t="shared" si="14"/>
        <v>10.133333333333333</v>
      </c>
      <c r="V73" s="23">
        <f t="shared" si="15"/>
        <v>10.1</v>
      </c>
      <c r="W73" s="23">
        <f t="shared" si="16"/>
        <v>10.066666666666666</v>
      </c>
      <c r="X73" s="23">
        <f t="shared" si="17"/>
        <v>10.033333333333333</v>
      </c>
      <c r="Y73" s="23">
        <f t="shared" si="18"/>
        <v>10</v>
      </c>
      <c r="Z73" s="23">
        <f t="shared" si="19"/>
        <v>9.9666666666666668</v>
      </c>
      <c r="AA73" s="23">
        <f t="shared" si="20"/>
        <v>9.9333333333333336</v>
      </c>
      <c r="AB73" s="23">
        <f t="shared" si="21"/>
        <v>9.9</v>
      </c>
      <c r="AC73" s="23">
        <f t="shared" si="22"/>
        <v>9.8666666666666671</v>
      </c>
      <c r="AD73" s="23">
        <f t="shared" si="23"/>
        <v>9.8333333333333339</v>
      </c>
      <c r="AE73" s="23">
        <f t="shared" si="24"/>
        <v>9.8000000000000007</v>
      </c>
      <c r="AF73" s="23">
        <f t="shared" si="25"/>
        <v>9.7666666666666675</v>
      </c>
      <c r="AG73" s="23">
        <f t="shared" si="26"/>
        <v>9.7333333333333325</v>
      </c>
      <c r="AH73" s="23">
        <f t="shared" si="27"/>
        <v>9.6999999999999993</v>
      </c>
      <c r="AI73" s="8"/>
      <c r="AJ73" s="24" t="str">
        <f t="shared" si="36"/>
        <v>1,2,4,5,8,10,16,20,32,40,64,80,160,320</v>
      </c>
      <c r="AK73" s="10"/>
      <c r="AL73" s="10"/>
      <c r="AM73" s="10"/>
      <c r="AN73" s="10"/>
      <c r="AO73" s="10"/>
      <c r="AP73" s="10"/>
      <c r="AQ73" s="10"/>
    </row>
    <row r="74" spans="1:43" x14ac:dyDescent="0.45">
      <c r="A74" s="11"/>
      <c r="B74" s="8"/>
      <c r="C74" s="8"/>
      <c r="D74" s="8">
        <v>65</v>
      </c>
      <c r="E74" s="9">
        <f t="shared" si="28"/>
        <v>325</v>
      </c>
      <c r="F74" s="23">
        <f t="shared" si="31"/>
        <v>10.8</v>
      </c>
      <c r="G74" s="23">
        <f t="shared" si="32"/>
        <v>10.766666666666667</v>
      </c>
      <c r="H74" s="23">
        <f t="shared" si="33"/>
        <v>10.733333333333333</v>
      </c>
      <c r="I74" s="23">
        <f t="shared" si="34"/>
        <v>10.7</v>
      </c>
      <c r="J74" s="23">
        <f t="shared" si="35"/>
        <v>10.666666666666666</v>
      </c>
      <c r="K74" s="23">
        <f t="shared" si="37"/>
        <v>10.633333333333333</v>
      </c>
      <c r="L74" s="23">
        <f t="shared" si="5"/>
        <v>10.6</v>
      </c>
      <c r="M74" s="23">
        <f t="shared" si="6"/>
        <v>10.566666666666666</v>
      </c>
      <c r="N74" s="23">
        <f t="shared" si="7"/>
        <v>10.533333333333333</v>
      </c>
      <c r="O74" s="23">
        <f t="shared" si="8"/>
        <v>10.5</v>
      </c>
      <c r="P74" s="23">
        <f t="shared" si="9"/>
        <v>10.466666666666667</v>
      </c>
      <c r="Q74" s="23">
        <f t="shared" si="10"/>
        <v>10.433333333333334</v>
      </c>
      <c r="R74" s="23">
        <f t="shared" si="11"/>
        <v>10.4</v>
      </c>
      <c r="S74" s="23">
        <f t="shared" si="12"/>
        <v>10.366666666666667</v>
      </c>
      <c r="T74" s="23">
        <f t="shared" si="13"/>
        <v>10.333333333333334</v>
      </c>
      <c r="U74" s="23">
        <f t="shared" si="14"/>
        <v>10.3</v>
      </c>
      <c r="V74" s="23">
        <f t="shared" si="15"/>
        <v>10.266666666666667</v>
      </c>
      <c r="W74" s="23">
        <f t="shared" si="16"/>
        <v>10.233333333333333</v>
      </c>
      <c r="X74" s="23">
        <f t="shared" si="17"/>
        <v>10.199999999999999</v>
      </c>
      <c r="Y74" s="23">
        <f t="shared" si="18"/>
        <v>10.166666666666666</v>
      </c>
      <c r="Z74" s="23">
        <f t="shared" si="19"/>
        <v>10.133333333333333</v>
      </c>
      <c r="AA74" s="23">
        <f t="shared" si="20"/>
        <v>10.1</v>
      </c>
      <c r="AB74" s="23">
        <f t="shared" si="21"/>
        <v>10.066666666666666</v>
      </c>
      <c r="AC74" s="23">
        <f t="shared" si="22"/>
        <v>10.033333333333333</v>
      </c>
      <c r="AD74" s="23">
        <f t="shared" si="23"/>
        <v>10</v>
      </c>
      <c r="AE74" s="23">
        <f t="shared" si="24"/>
        <v>9.9666666666666668</v>
      </c>
      <c r="AF74" s="23">
        <f t="shared" si="25"/>
        <v>9.9333333333333336</v>
      </c>
      <c r="AG74" s="23">
        <f t="shared" si="26"/>
        <v>9.9</v>
      </c>
      <c r="AH74" s="23">
        <f t="shared" si="27"/>
        <v>9.8666666666666671</v>
      </c>
      <c r="AI74" s="8"/>
      <c r="AJ74" s="24" t="str">
        <f t="shared" si="36"/>
        <v>1,5,13,25,65,325</v>
      </c>
      <c r="AK74" s="10"/>
      <c r="AL74" s="10"/>
      <c r="AM74" s="10"/>
      <c r="AN74" s="10"/>
      <c r="AO74" s="10"/>
      <c r="AP74" s="10"/>
      <c r="AQ74" s="10"/>
    </row>
    <row r="75" spans="1:43" x14ac:dyDescent="0.45">
      <c r="A75" s="11"/>
      <c r="B75" s="8"/>
      <c r="C75" s="8"/>
      <c r="D75" s="8">
        <v>66</v>
      </c>
      <c r="E75" s="9">
        <f t="shared" ref="E75:E133" si="38">D75*$E$6</f>
        <v>330</v>
      </c>
      <c r="F75" s="23">
        <f t="shared" si="31"/>
        <v>10.966666666666667</v>
      </c>
      <c r="G75" s="23">
        <f t="shared" si="32"/>
        <v>10.933333333333334</v>
      </c>
      <c r="H75" s="23">
        <f t="shared" si="33"/>
        <v>10.9</v>
      </c>
      <c r="I75" s="23">
        <f t="shared" si="34"/>
        <v>10.866666666666667</v>
      </c>
      <c r="J75" s="23">
        <f t="shared" si="35"/>
        <v>10.833333333333334</v>
      </c>
      <c r="K75" s="23">
        <f t="shared" si="37"/>
        <v>10.8</v>
      </c>
      <c r="L75" s="23">
        <f t="shared" ref="L75:L133" si="39">($E75-7)/30</f>
        <v>10.766666666666667</v>
      </c>
      <c r="M75" s="23">
        <f t="shared" ref="M75:M133" si="40">($E75-8)/30</f>
        <v>10.733333333333333</v>
      </c>
      <c r="N75" s="23">
        <f t="shared" ref="N75:N133" si="41">($E75-9)/30</f>
        <v>10.7</v>
      </c>
      <c r="O75" s="23">
        <f t="shared" ref="O75:O133" si="42">($E75-10)/30</f>
        <v>10.666666666666666</v>
      </c>
      <c r="P75" s="23">
        <f t="shared" ref="P75:P133" si="43">($E75-11)/30</f>
        <v>10.633333333333333</v>
      </c>
      <c r="Q75" s="23">
        <f t="shared" ref="Q75:Q133" si="44">($E75-12)/30</f>
        <v>10.6</v>
      </c>
      <c r="R75" s="23">
        <f t="shared" ref="R75:R133" si="45">($E75-13)/30</f>
        <v>10.566666666666666</v>
      </c>
      <c r="S75" s="23">
        <f t="shared" ref="S75:S133" si="46">($E75-14)/30</f>
        <v>10.533333333333333</v>
      </c>
      <c r="T75" s="23">
        <f t="shared" ref="T75:T133" si="47">($E75-15)/30</f>
        <v>10.5</v>
      </c>
      <c r="U75" s="23">
        <f t="shared" ref="U75:U133" si="48">($E75-16)/30</f>
        <v>10.466666666666667</v>
      </c>
      <c r="V75" s="23">
        <f t="shared" ref="V75:V133" si="49">($E75-17)/30</f>
        <v>10.433333333333334</v>
      </c>
      <c r="W75" s="23">
        <f t="shared" ref="W75:W133" si="50">($E75-18)/30</f>
        <v>10.4</v>
      </c>
      <c r="X75" s="23">
        <f t="shared" ref="X75:X133" si="51">($E75-19)/30</f>
        <v>10.366666666666667</v>
      </c>
      <c r="Y75" s="23">
        <f t="shared" ref="Y75:Y133" si="52">($E75-20)/30</f>
        <v>10.333333333333334</v>
      </c>
      <c r="Z75" s="23">
        <f t="shared" ref="Z75:Z133" si="53">($E75-21)/30</f>
        <v>10.3</v>
      </c>
      <c r="AA75" s="23">
        <f t="shared" ref="AA75:AA133" si="54">($E75-22)/30</f>
        <v>10.266666666666667</v>
      </c>
      <c r="AB75" s="23">
        <f t="shared" ref="AB75:AB133" si="55">($E75-23)/30</f>
        <v>10.233333333333333</v>
      </c>
      <c r="AC75" s="23">
        <f t="shared" ref="AC75:AC133" si="56">($E75-24)/30</f>
        <v>10.199999999999999</v>
      </c>
      <c r="AD75" s="23">
        <f t="shared" ref="AD75:AD133" si="57">($E75-25)/30</f>
        <v>10.166666666666666</v>
      </c>
      <c r="AE75" s="23">
        <f t="shared" ref="AE75:AE133" si="58">($E75-26)/30</f>
        <v>10.133333333333333</v>
      </c>
      <c r="AF75" s="23">
        <f t="shared" ref="AF75:AF133" si="59">($E75-27)/30</f>
        <v>10.1</v>
      </c>
      <c r="AG75" s="23">
        <f t="shared" ref="AG75:AG133" si="60">($E75-28)/30</f>
        <v>10.066666666666666</v>
      </c>
      <c r="AH75" s="23">
        <f t="shared" ref="AH75:AH133" si="61">($E75-29)/30</f>
        <v>10.033333333333333</v>
      </c>
      <c r="AI75" s="8"/>
      <c r="AJ75" s="24" t="str">
        <f t="shared" si="36"/>
        <v>1,2,3,5,6,10,11,15,22,30,33,55,66,110,165,330</v>
      </c>
      <c r="AK75" s="10"/>
      <c r="AL75" s="10"/>
      <c r="AM75" s="10"/>
      <c r="AN75" s="10"/>
      <c r="AO75" s="10"/>
      <c r="AP75" s="10"/>
      <c r="AQ75" s="10"/>
    </row>
    <row r="76" spans="1:43" x14ac:dyDescent="0.45">
      <c r="A76" s="11"/>
      <c r="B76" s="8"/>
      <c r="C76" s="8"/>
      <c r="D76" s="8">
        <v>67</v>
      </c>
      <c r="E76" s="9">
        <f t="shared" si="38"/>
        <v>335</v>
      </c>
      <c r="F76" s="23">
        <f t="shared" si="31"/>
        <v>11.133333333333333</v>
      </c>
      <c r="G76" s="23">
        <f t="shared" si="32"/>
        <v>11.1</v>
      </c>
      <c r="H76" s="23">
        <f t="shared" si="33"/>
        <v>11.066666666666666</v>
      </c>
      <c r="I76" s="23">
        <f t="shared" si="34"/>
        <v>11.033333333333333</v>
      </c>
      <c r="J76" s="23">
        <f t="shared" si="35"/>
        <v>11</v>
      </c>
      <c r="K76" s="23">
        <f t="shared" si="37"/>
        <v>10.966666666666667</v>
      </c>
      <c r="L76" s="23">
        <f t="shared" si="39"/>
        <v>10.933333333333334</v>
      </c>
      <c r="M76" s="23">
        <f t="shared" si="40"/>
        <v>10.9</v>
      </c>
      <c r="N76" s="23">
        <f t="shared" si="41"/>
        <v>10.866666666666667</v>
      </c>
      <c r="O76" s="23">
        <f t="shared" si="42"/>
        <v>10.833333333333334</v>
      </c>
      <c r="P76" s="23">
        <f t="shared" si="43"/>
        <v>10.8</v>
      </c>
      <c r="Q76" s="23">
        <f t="shared" si="44"/>
        <v>10.766666666666667</v>
      </c>
      <c r="R76" s="23">
        <f t="shared" si="45"/>
        <v>10.733333333333333</v>
      </c>
      <c r="S76" s="23">
        <f t="shared" si="46"/>
        <v>10.7</v>
      </c>
      <c r="T76" s="23">
        <f t="shared" si="47"/>
        <v>10.666666666666666</v>
      </c>
      <c r="U76" s="23">
        <f t="shared" si="48"/>
        <v>10.633333333333333</v>
      </c>
      <c r="V76" s="23">
        <f t="shared" si="49"/>
        <v>10.6</v>
      </c>
      <c r="W76" s="23">
        <f t="shared" si="50"/>
        <v>10.566666666666666</v>
      </c>
      <c r="X76" s="23">
        <f t="shared" si="51"/>
        <v>10.533333333333333</v>
      </c>
      <c r="Y76" s="23">
        <f t="shared" si="52"/>
        <v>10.5</v>
      </c>
      <c r="Z76" s="23">
        <f t="shared" si="53"/>
        <v>10.466666666666667</v>
      </c>
      <c r="AA76" s="23">
        <f t="shared" si="54"/>
        <v>10.433333333333334</v>
      </c>
      <c r="AB76" s="23">
        <f t="shared" si="55"/>
        <v>10.4</v>
      </c>
      <c r="AC76" s="23">
        <f t="shared" si="56"/>
        <v>10.366666666666667</v>
      </c>
      <c r="AD76" s="23">
        <f t="shared" si="57"/>
        <v>10.333333333333334</v>
      </c>
      <c r="AE76" s="23">
        <f t="shared" si="58"/>
        <v>10.3</v>
      </c>
      <c r="AF76" s="23">
        <f t="shared" si="59"/>
        <v>10.266666666666667</v>
      </c>
      <c r="AG76" s="23">
        <f t="shared" si="60"/>
        <v>10.233333333333333</v>
      </c>
      <c r="AH76" s="23">
        <f t="shared" si="61"/>
        <v>10.199999999999999</v>
      </c>
      <c r="AI76" s="8"/>
      <c r="AJ76" s="24" t="str">
        <f t="shared" si="36"/>
        <v>1,5,67,335</v>
      </c>
      <c r="AK76" s="10"/>
      <c r="AL76" s="10"/>
      <c r="AM76" s="10"/>
      <c r="AN76" s="10"/>
      <c r="AO76" s="10"/>
      <c r="AP76" s="10"/>
      <c r="AQ76" s="10"/>
    </row>
    <row r="77" spans="1:43" x14ac:dyDescent="0.45">
      <c r="A77" s="11"/>
      <c r="B77" s="8"/>
      <c r="C77" s="8"/>
      <c r="D77" s="8">
        <v>68</v>
      </c>
      <c r="E77" s="9">
        <f t="shared" si="38"/>
        <v>340</v>
      </c>
      <c r="F77" s="23">
        <f t="shared" si="31"/>
        <v>11.3</v>
      </c>
      <c r="G77" s="23">
        <f t="shared" si="32"/>
        <v>11.266666666666667</v>
      </c>
      <c r="H77" s="23">
        <f t="shared" si="33"/>
        <v>11.233333333333333</v>
      </c>
      <c r="I77" s="23">
        <f t="shared" si="34"/>
        <v>11.2</v>
      </c>
      <c r="J77" s="23">
        <f t="shared" si="35"/>
        <v>11.166666666666666</v>
      </c>
      <c r="K77" s="23">
        <f t="shared" si="37"/>
        <v>11.133333333333333</v>
      </c>
      <c r="L77" s="23">
        <f t="shared" si="39"/>
        <v>11.1</v>
      </c>
      <c r="M77" s="23">
        <f t="shared" si="40"/>
        <v>11.066666666666666</v>
      </c>
      <c r="N77" s="23">
        <f t="shared" si="41"/>
        <v>11.033333333333333</v>
      </c>
      <c r="O77" s="23">
        <f t="shared" si="42"/>
        <v>11</v>
      </c>
      <c r="P77" s="23">
        <f t="shared" si="43"/>
        <v>10.966666666666667</v>
      </c>
      <c r="Q77" s="23">
        <f t="shared" si="44"/>
        <v>10.933333333333334</v>
      </c>
      <c r="R77" s="23">
        <f t="shared" si="45"/>
        <v>10.9</v>
      </c>
      <c r="S77" s="23">
        <f t="shared" si="46"/>
        <v>10.866666666666667</v>
      </c>
      <c r="T77" s="23">
        <f t="shared" si="47"/>
        <v>10.833333333333334</v>
      </c>
      <c r="U77" s="23">
        <f t="shared" si="48"/>
        <v>10.8</v>
      </c>
      <c r="V77" s="23">
        <f t="shared" si="49"/>
        <v>10.766666666666667</v>
      </c>
      <c r="W77" s="23">
        <f t="shared" si="50"/>
        <v>10.733333333333333</v>
      </c>
      <c r="X77" s="23">
        <f t="shared" si="51"/>
        <v>10.7</v>
      </c>
      <c r="Y77" s="23">
        <f t="shared" si="52"/>
        <v>10.666666666666666</v>
      </c>
      <c r="Z77" s="23">
        <f t="shared" si="53"/>
        <v>10.633333333333333</v>
      </c>
      <c r="AA77" s="23">
        <f t="shared" si="54"/>
        <v>10.6</v>
      </c>
      <c r="AB77" s="23">
        <f t="shared" si="55"/>
        <v>10.566666666666666</v>
      </c>
      <c r="AC77" s="23">
        <f t="shared" si="56"/>
        <v>10.533333333333333</v>
      </c>
      <c r="AD77" s="23">
        <f t="shared" si="57"/>
        <v>10.5</v>
      </c>
      <c r="AE77" s="23">
        <f t="shared" si="58"/>
        <v>10.466666666666667</v>
      </c>
      <c r="AF77" s="23">
        <f t="shared" si="59"/>
        <v>10.433333333333334</v>
      </c>
      <c r="AG77" s="23">
        <f t="shared" si="60"/>
        <v>10.4</v>
      </c>
      <c r="AH77" s="23">
        <f t="shared" si="61"/>
        <v>10.366666666666667</v>
      </c>
      <c r="AI77" s="8"/>
      <c r="AJ77" s="24" t="str">
        <f t="shared" si="36"/>
        <v>1,2,4,5,10,17,20,34,68,85,170,340</v>
      </c>
      <c r="AK77" s="10"/>
      <c r="AL77" s="10"/>
      <c r="AM77" s="10"/>
      <c r="AN77" s="10"/>
      <c r="AO77" s="10"/>
      <c r="AP77" s="10"/>
      <c r="AQ77" s="10"/>
    </row>
    <row r="78" spans="1:43" x14ac:dyDescent="0.45">
      <c r="A78" s="11"/>
      <c r="B78" s="8"/>
      <c r="C78" s="8"/>
      <c r="D78" s="8">
        <v>69</v>
      </c>
      <c r="E78" s="9">
        <f t="shared" si="38"/>
        <v>345</v>
      </c>
      <c r="F78" s="23">
        <f t="shared" si="31"/>
        <v>11.466666666666667</v>
      </c>
      <c r="G78" s="23">
        <f t="shared" si="32"/>
        <v>11.433333333333334</v>
      </c>
      <c r="H78" s="23">
        <f t="shared" si="33"/>
        <v>11.4</v>
      </c>
      <c r="I78" s="23">
        <f t="shared" si="34"/>
        <v>11.366666666666667</v>
      </c>
      <c r="J78" s="23">
        <f t="shared" si="35"/>
        <v>11.333333333333334</v>
      </c>
      <c r="K78" s="23">
        <f t="shared" si="37"/>
        <v>11.3</v>
      </c>
      <c r="L78" s="23">
        <f t="shared" si="39"/>
        <v>11.266666666666667</v>
      </c>
      <c r="M78" s="23">
        <f t="shared" si="40"/>
        <v>11.233333333333333</v>
      </c>
      <c r="N78" s="23">
        <f t="shared" si="41"/>
        <v>11.2</v>
      </c>
      <c r="O78" s="23">
        <f t="shared" si="42"/>
        <v>11.166666666666666</v>
      </c>
      <c r="P78" s="23">
        <f t="shared" si="43"/>
        <v>11.133333333333333</v>
      </c>
      <c r="Q78" s="23">
        <f t="shared" si="44"/>
        <v>11.1</v>
      </c>
      <c r="R78" s="23">
        <f t="shared" si="45"/>
        <v>11.066666666666666</v>
      </c>
      <c r="S78" s="23">
        <f t="shared" si="46"/>
        <v>11.033333333333333</v>
      </c>
      <c r="T78" s="23">
        <f t="shared" si="47"/>
        <v>11</v>
      </c>
      <c r="U78" s="23">
        <f t="shared" si="48"/>
        <v>10.966666666666667</v>
      </c>
      <c r="V78" s="23">
        <f t="shared" si="49"/>
        <v>10.933333333333334</v>
      </c>
      <c r="W78" s="23">
        <f t="shared" si="50"/>
        <v>10.9</v>
      </c>
      <c r="X78" s="23">
        <f t="shared" si="51"/>
        <v>10.866666666666667</v>
      </c>
      <c r="Y78" s="23">
        <f t="shared" si="52"/>
        <v>10.833333333333334</v>
      </c>
      <c r="Z78" s="23">
        <f t="shared" si="53"/>
        <v>10.8</v>
      </c>
      <c r="AA78" s="23">
        <f t="shared" si="54"/>
        <v>10.766666666666667</v>
      </c>
      <c r="AB78" s="23">
        <f t="shared" si="55"/>
        <v>10.733333333333333</v>
      </c>
      <c r="AC78" s="23">
        <f t="shared" si="56"/>
        <v>10.7</v>
      </c>
      <c r="AD78" s="23">
        <f t="shared" si="57"/>
        <v>10.666666666666666</v>
      </c>
      <c r="AE78" s="23">
        <f t="shared" si="58"/>
        <v>10.633333333333333</v>
      </c>
      <c r="AF78" s="23">
        <f t="shared" si="59"/>
        <v>10.6</v>
      </c>
      <c r="AG78" s="23">
        <f t="shared" si="60"/>
        <v>10.566666666666666</v>
      </c>
      <c r="AH78" s="23">
        <f t="shared" si="61"/>
        <v>10.533333333333333</v>
      </c>
      <c r="AI78" s="8"/>
      <c r="AJ78" s="24" t="str">
        <f t="shared" si="36"/>
        <v>1,3,5,15,23,69,115,345</v>
      </c>
      <c r="AK78" s="10"/>
      <c r="AL78" s="10"/>
      <c r="AM78" s="10"/>
      <c r="AN78" s="10"/>
      <c r="AO78" s="10"/>
      <c r="AP78" s="10"/>
      <c r="AQ78" s="10"/>
    </row>
    <row r="79" spans="1:43" x14ac:dyDescent="0.45">
      <c r="A79" s="11"/>
      <c r="B79" s="8"/>
      <c r="C79" s="8"/>
      <c r="D79" s="8">
        <v>70</v>
      </c>
      <c r="E79" s="9">
        <f t="shared" si="38"/>
        <v>350</v>
      </c>
      <c r="F79" s="23">
        <f t="shared" si="31"/>
        <v>11.633333333333333</v>
      </c>
      <c r="G79" s="23">
        <f t="shared" si="32"/>
        <v>11.6</v>
      </c>
      <c r="H79" s="23">
        <f t="shared" si="33"/>
        <v>11.566666666666666</v>
      </c>
      <c r="I79" s="23">
        <f t="shared" si="34"/>
        <v>11.533333333333333</v>
      </c>
      <c r="J79" s="23">
        <f t="shared" si="35"/>
        <v>11.5</v>
      </c>
      <c r="K79" s="23">
        <f t="shared" si="37"/>
        <v>11.466666666666667</v>
      </c>
      <c r="L79" s="23">
        <f t="shared" si="39"/>
        <v>11.433333333333334</v>
      </c>
      <c r="M79" s="23">
        <f t="shared" si="40"/>
        <v>11.4</v>
      </c>
      <c r="N79" s="23">
        <f t="shared" si="41"/>
        <v>11.366666666666667</v>
      </c>
      <c r="O79" s="23">
        <f t="shared" si="42"/>
        <v>11.333333333333334</v>
      </c>
      <c r="P79" s="23">
        <f t="shared" si="43"/>
        <v>11.3</v>
      </c>
      <c r="Q79" s="23">
        <f t="shared" si="44"/>
        <v>11.266666666666667</v>
      </c>
      <c r="R79" s="23">
        <f t="shared" si="45"/>
        <v>11.233333333333333</v>
      </c>
      <c r="S79" s="23">
        <f t="shared" si="46"/>
        <v>11.2</v>
      </c>
      <c r="T79" s="23">
        <f t="shared" si="47"/>
        <v>11.166666666666666</v>
      </c>
      <c r="U79" s="23">
        <f t="shared" si="48"/>
        <v>11.133333333333333</v>
      </c>
      <c r="V79" s="23">
        <f t="shared" si="49"/>
        <v>11.1</v>
      </c>
      <c r="W79" s="23">
        <f t="shared" si="50"/>
        <v>11.066666666666666</v>
      </c>
      <c r="X79" s="23">
        <f t="shared" si="51"/>
        <v>11.033333333333333</v>
      </c>
      <c r="Y79" s="23">
        <f t="shared" si="52"/>
        <v>11</v>
      </c>
      <c r="Z79" s="23">
        <f t="shared" si="53"/>
        <v>10.966666666666667</v>
      </c>
      <c r="AA79" s="23">
        <f t="shared" si="54"/>
        <v>10.933333333333334</v>
      </c>
      <c r="AB79" s="23">
        <f t="shared" si="55"/>
        <v>10.9</v>
      </c>
      <c r="AC79" s="23">
        <f t="shared" si="56"/>
        <v>10.866666666666667</v>
      </c>
      <c r="AD79" s="23">
        <f t="shared" si="57"/>
        <v>10.833333333333334</v>
      </c>
      <c r="AE79" s="23">
        <f t="shared" si="58"/>
        <v>10.8</v>
      </c>
      <c r="AF79" s="23">
        <f t="shared" si="59"/>
        <v>10.766666666666667</v>
      </c>
      <c r="AG79" s="23">
        <f t="shared" si="60"/>
        <v>10.733333333333333</v>
      </c>
      <c r="AH79" s="23">
        <f t="shared" si="61"/>
        <v>10.7</v>
      </c>
      <c r="AI79" s="8"/>
      <c r="AJ79" s="24" t="str">
        <f t="shared" si="36"/>
        <v>1,2,5,7,10,14,25,35,50,70,175,350</v>
      </c>
      <c r="AK79" s="10"/>
      <c r="AL79" s="10"/>
      <c r="AM79" s="10"/>
      <c r="AN79" s="10"/>
      <c r="AO79" s="10"/>
      <c r="AP79" s="10"/>
      <c r="AQ79" s="10"/>
    </row>
    <row r="80" spans="1:43" x14ac:dyDescent="0.45">
      <c r="A80" s="11"/>
      <c r="B80" s="8"/>
      <c r="C80" s="8"/>
      <c r="D80" s="8">
        <v>71</v>
      </c>
      <c r="E80" s="9">
        <f t="shared" si="38"/>
        <v>355</v>
      </c>
      <c r="F80" s="23">
        <f t="shared" si="31"/>
        <v>11.8</v>
      </c>
      <c r="G80" s="23">
        <f t="shared" si="32"/>
        <v>11.766666666666667</v>
      </c>
      <c r="H80" s="23">
        <f t="shared" si="33"/>
        <v>11.733333333333333</v>
      </c>
      <c r="I80" s="23">
        <f t="shared" si="34"/>
        <v>11.7</v>
      </c>
      <c r="J80" s="23">
        <f t="shared" si="35"/>
        <v>11.666666666666666</v>
      </c>
      <c r="K80" s="23">
        <f t="shared" si="37"/>
        <v>11.633333333333333</v>
      </c>
      <c r="L80" s="23">
        <f t="shared" si="39"/>
        <v>11.6</v>
      </c>
      <c r="M80" s="23">
        <f t="shared" si="40"/>
        <v>11.566666666666666</v>
      </c>
      <c r="N80" s="23">
        <f t="shared" si="41"/>
        <v>11.533333333333333</v>
      </c>
      <c r="O80" s="23">
        <f t="shared" si="42"/>
        <v>11.5</v>
      </c>
      <c r="P80" s="23">
        <f t="shared" si="43"/>
        <v>11.466666666666667</v>
      </c>
      <c r="Q80" s="23">
        <f t="shared" si="44"/>
        <v>11.433333333333334</v>
      </c>
      <c r="R80" s="23">
        <f t="shared" si="45"/>
        <v>11.4</v>
      </c>
      <c r="S80" s="23">
        <f t="shared" si="46"/>
        <v>11.366666666666667</v>
      </c>
      <c r="T80" s="23">
        <f t="shared" si="47"/>
        <v>11.333333333333334</v>
      </c>
      <c r="U80" s="23">
        <f t="shared" si="48"/>
        <v>11.3</v>
      </c>
      <c r="V80" s="23">
        <f t="shared" si="49"/>
        <v>11.266666666666667</v>
      </c>
      <c r="W80" s="23">
        <f t="shared" si="50"/>
        <v>11.233333333333333</v>
      </c>
      <c r="X80" s="23">
        <f t="shared" si="51"/>
        <v>11.2</v>
      </c>
      <c r="Y80" s="23">
        <f t="shared" si="52"/>
        <v>11.166666666666666</v>
      </c>
      <c r="Z80" s="23">
        <f t="shared" si="53"/>
        <v>11.133333333333333</v>
      </c>
      <c r="AA80" s="23">
        <f t="shared" si="54"/>
        <v>11.1</v>
      </c>
      <c r="AB80" s="23">
        <f t="shared" si="55"/>
        <v>11.066666666666666</v>
      </c>
      <c r="AC80" s="23">
        <f t="shared" si="56"/>
        <v>11.033333333333333</v>
      </c>
      <c r="AD80" s="23">
        <f t="shared" si="57"/>
        <v>11</v>
      </c>
      <c r="AE80" s="23">
        <f t="shared" si="58"/>
        <v>10.966666666666667</v>
      </c>
      <c r="AF80" s="23">
        <f t="shared" si="59"/>
        <v>10.933333333333334</v>
      </c>
      <c r="AG80" s="23">
        <f t="shared" si="60"/>
        <v>10.9</v>
      </c>
      <c r="AH80" s="23">
        <f t="shared" si="61"/>
        <v>10.866666666666667</v>
      </c>
      <c r="AI80" s="8"/>
      <c r="AJ80" s="24" t="str">
        <f t="shared" si="36"/>
        <v>1,5,71,355</v>
      </c>
      <c r="AK80" s="10"/>
      <c r="AL80" s="10"/>
      <c r="AM80" s="10"/>
      <c r="AN80" s="10"/>
      <c r="AO80" s="10"/>
      <c r="AP80" s="10"/>
      <c r="AQ80" s="10"/>
    </row>
    <row r="81" spans="1:43" x14ac:dyDescent="0.45">
      <c r="A81" s="11"/>
      <c r="B81" s="8"/>
      <c r="C81" s="8"/>
      <c r="D81" s="8">
        <v>72</v>
      </c>
      <c r="E81" s="9">
        <f t="shared" si="38"/>
        <v>360</v>
      </c>
      <c r="F81" s="23">
        <f t="shared" si="31"/>
        <v>11.966666666666667</v>
      </c>
      <c r="G81" s="23">
        <f t="shared" si="32"/>
        <v>11.933333333333334</v>
      </c>
      <c r="H81" s="23">
        <f t="shared" si="33"/>
        <v>11.9</v>
      </c>
      <c r="I81" s="23">
        <f t="shared" si="34"/>
        <v>11.866666666666667</v>
      </c>
      <c r="J81" s="23">
        <f t="shared" si="35"/>
        <v>11.833333333333334</v>
      </c>
      <c r="K81" s="23">
        <f t="shared" si="37"/>
        <v>11.8</v>
      </c>
      <c r="L81" s="23">
        <f t="shared" si="39"/>
        <v>11.766666666666667</v>
      </c>
      <c r="M81" s="23">
        <f t="shared" si="40"/>
        <v>11.733333333333333</v>
      </c>
      <c r="N81" s="23">
        <f t="shared" si="41"/>
        <v>11.7</v>
      </c>
      <c r="O81" s="23">
        <f t="shared" si="42"/>
        <v>11.666666666666666</v>
      </c>
      <c r="P81" s="23">
        <f t="shared" si="43"/>
        <v>11.633333333333333</v>
      </c>
      <c r="Q81" s="23">
        <f t="shared" si="44"/>
        <v>11.6</v>
      </c>
      <c r="R81" s="23">
        <f t="shared" si="45"/>
        <v>11.566666666666666</v>
      </c>
      <c r="S81" s="23">
        <f t="shared" si="46"/>
        <v>11.533333333333333</v>
      </c>
      <c r="T81" s="23">
        <f t="shared" si="47"/>
        <v>11.5</v>
      </c>
      <c r="U81" s="23">
        <f t="shared" si="48"/>
        <v>11.466666666666667</v>
      </c>
      <c r="V81" s="23">
        <f t="shared" si="49"/>
        <v>11.433333333333334</v>
      </c>
      <c r="W81" s="23">
        <f t="shared" si="50"/>
        <v>11.4</v>
      </c>
      <c r="X81" s="23">
        <f t="shared" si="51"/>
        <v>11.366666666666667</v>
      </c>
      <c r="Y81" s="23">
        <f t="shared" si="52"/>
        <v>11.333333333333334</v>
      </c>
      <c r="Z81" s="23">
        <f t="shared" si="53"/>
        <v>11.3</v>
      </c>
      <c r="AA81" s="23">
        <f t="shared" si="54"/>
        <v>11.266666666666667</v>
      </c>
      <c r="AB81" s="23">
        <f t="shared" si="55"/>
        <v>11.233333333333333</v>
      </c>
      <c r="AC81" s="23">
        <f t="shared" si="56"/>
        <v>11.2</v>
      </c>
      <c r="AD81" s="23">
        <f t="shared" si="57"/>
        <v>11.166666666666666</v>
      </c>
      <c r="AE81" s="23">
        <f t="shared" si="58"/>
        <v>11.133333333333333</v>
      </c>
      <c r="AF81" s="23">
        <f t="shared" si="59"/>
        <v>11.1</v>
      </c>
      <c r="AG81" s="23">
        <f t="shared" si="60"/>
        <v>11.066666666666666</v>
      </c>
      <c r="AH81" s="23">
        <f t="shared" si="61"/>
        <v>11.033333333333333</v>
      </c>
      <c r="AI81" s="8"/>
      <c r="AJ81" s="24" t="str">
        <f t="shared" si="36"/>
        <v>1,2,3,4,5,6,8,9,10,12,15,18,20,24,30,36,40,45,60,72,90,120,180,360</v>
      </c>
      <c r="AK81" s="10"/>
      <c r="AL81" s="10"/>
      <c r="AM81" s="10"/>
      <c r="AN81" s="10"/>
      <c r="AO81" s="10"/>
      <c r="AP81" s="10"/>
      <c r="AQ81" s="10"/>
    </row>
    <row r="82" spans="1:43" x14ac:dyDescent="0.45">
      <c r="A82" s="11"/>
      <c r="B82" s="8"/>
      <c r="C82" s="8"/>
      <c r="D82" s="8">
        <v>73</v>
      </c>
      <c r="E82" s="9">
        <f t="shared" si="38"/>
        <v>365</v>
      </c>
      <c r="F82" s="23">
        <f t="shared" si="31"/>
        <v>12.133333333333333</v>
      </c>
      <c r="G82" s="23">
        <f t="shared" si="32"/>
        <v>12.1</v>
      </c>
      <c r="H82" s="23">
        <f t="shared" si="33"/>
        <v>12.066666666666666</v>
      </c>
      <c r="I82" s="23">
        <f t="shared" si="34"/>
        <v>12.033333333333333</v>
      </c>
      <c r="J82" s="23">
        <f t="shared" si="35"/>
        <v>12</v>
      </c>
      <c r="K82" s="23">
        <f t="shared" si="37"/>
        <v>11.966666666666667</v>
      </c>
      <c r="L82" s="23">
        <f t="shared" si="39"/>
        <v>11.933333333333334</v>
      </c>
      <c r="M82" s="23">
        <f t="shared" si="40"/>
        <v>11.9</v>
      </c>
      <c r="N82" s="23">
        <f t="shared" si="41"/>
        <v>11.866666666666667</v>
      </c>
      <c r="O82" s="23">
        <f t="shared" si="42"/>
        <v>11.833333333333334</v>
      </c>
      <c r="P82" s="23">
        <f t="shared" si="43"/>
        <v>11.8</v>
      </c>
      <c r="Q82" s="23">
        <f t="shared" si="44"/>
        <v>11.766666666666667</v>
      </c>
      <c r="R82" s="23">
        <f t="shared" si="45"/>
        <v>11.733333333333333</v>
      </c>
      <c r="S82" s="23">
        <f t="shared" si="46"/>
        <v>11.7</v>
      </c>
      <c r="T82" s="23">
        <f t="shared" si="47"/>
        <v>11.666666666666666</v>
      </c>
      <c r="U82" s="23">
        <f t="shared" si="48"/>
        <v>11.633333333333333</v>
      </c>
      <c r="V82" s="23">
        <f t="shared" si="49"/>
        <v>11.6</v>
      </c>
      <c r="W82" s="23">
        <f t="shared" si="50"/>
        <v>11.566666666666666</v>
      </c>
      <c r="X82" s="23">
        <f t="shared" si="51"/>
        <v>11.533333333333333</v>
      </c>
      <c r="Y82" s="23">
        <f t="shared" si="52"/>
        <v>11.5</v>
      </c>
      <c r="Z82" s="23">
        <f t="shared" si="53"/>
        <v>11.466666666666667</v>
      </c>
      <c r="AA82" s="23">
        <f t="shared" si="54"/>
        <v>11.433333333333334</v>
      </c>
      <c r="AB82" s="23">
        <f t="shared" si="55"/>
        <v>11.4</v>
      </c>
      <c r="AC82" s="23">
        <f t="shared" si="56"/>
        <v>11.366666666666667</v>
      </c>
      <c r="AD82" s="23">
        <f t="shared" si="57"/>
        <v>11.333333333333334</v>
      </c>
      <c r="AE82" s="23">
        <f t="shared" si="58"/>
        <v>11.3</v>
      </c>
      <c r="AF82" s="23">
        <f t="shared" si="59"/>
        <v>11.266666666666667</v>
      </c>
      <c r="AG82" s="23">
        <f t="shared" si="60"/>
        <v>11.233333333333333</v>
      </c>
      <c r="AH82" s="23">
        <f t="shared" si="61"/>
        <v>11.2</v>
      </c>
      <c r="AI82" s="8"/>
      <c r="AJ82" s="24" t="str">
        <f t="shared" si="36"/>
        <v>1,5,73,365</v>
      </c>
      <c r="AK82" s="10"/>
      <c r="AL82" s="10"/>
      <c r="AM82" s="10"/>
      <c r="AN82" s="10"/>
      <c r="AO82" s="10"/>
      <c r="AP82" s="10"/>
      <c r="AQ82" s="10"/>
    </row>
    <row r="83" spans="1:43" x14ac:dyDescent="0.45">
      <c r="A83" s="11"/>
      <c r="B83" s="8"/>
      <c r="C83" s="8"/>
      <c r="D83" s="8">
        <v>74</v>
      </c>
      <c r="E83" s="9">
        <f t="shared" si="38"/>
        <v>370</v>
      </c>
      <c r="F83" s="23">
        <f t="shared" si="31"/>
        <v>12.3</v>
      </c>
      <c r="G83" s="23">
        <f t="shared" si="32"/>
        <v>12.266666666666667</v>
      </c>
      <c r="H83" s="23">
        <f t="shared" si="33"/>
        <v>12.233333333333333</v>
      </c>
      <c r="I83" s="23">
        <f t="shared" si="34"/>
        <v>12.2</v>
      </c>
      <c r="J83" s="23">
        <f t="shared" si="35"/>
        <v>12.166666666666666</v>
      </c>
      <c r="K83" s="23">
        <f t="shared" si="37"/>
        <v>12.133333333333333</v>
      </c>
      <c r="L83" s="23">
        <f t="shared" si="39"/>
        <v>12.1</v>
      </c>
      <c r="M83" s="23">
        <f t="shared" si="40"/>
        <v>12.066666666666666</v>
      </c>
      <c r="N83" s="23">
        <f t="shared" si="41"/>
        <v>12.033333333333333</v>
      </c>
      <c r="O83" s="23">
        <f t="shared" si="42"/>
        <v>12</v>
      </c>
      <c r="P83" s="23">
        <f t="shared" si="43"/>
        <v>11.966666666666667</v>
      </c>
      <c r="Q83" s="23">
        <f t="shared" si="44"/>
        <v>11.933333333333334</v>
      </c>
      <c r="R83" s="23">
        <f t="shared" si="45"/>
        <v>11.9</v>
      </c>
      <c r="S83" s="23">
        <f t="shared" si="46"/>
        <v>11.866666666666667</v>
      </c>
      <c r="T83" s="23">
        <f t="shared" si="47"/>
        <v>11.833333333333334</v>
      </c>
      <c r="U83" s="23">
        <f t="shared" si="48"/>
        <v>11.8</v>
      </c>
      <c r="V83" s="23">
        <f t="shared" si="49"/>
        <v>11.766666666666667</v>
      </c>
      <c r="W83" s="23">
        <f t="shared" si="50"/>
        <v>11.733333333333333</v>
      </c>
      <c r="X83" s="23">
        <f t="shared" si="51"/>
        <v>11.7</v>
      </c>
      <c r="Y83" s="23">
        <f t="shared" si="52"/>
        <v>11.666666666666666</v>
      </c>
      <c r="Z83" s="23">
        <f t="shared" si="53"/>
        <v>11.633333333333333</v>
      </c>
      <c r="AA83" s="23">
        <f t="shared" si="54"/>
        <v>11.6</v>
      </c>
      <c r="AB83" s="23">
        <f t="shared" si="55"/>
        <v>11.566666666666666</v>
      </c>
      <c r="AC83" s="23">
        <f t="shared" si="56"/>
        <v>11.533333333333333</v>
      </c>
      <c r="AD83" s="23">
        <f t="shared" si="57"/>
        <v>11.5</v>
      </c>
      <c r="AE83" s="23">
        <f t="shared" si="58"/>
        <v>11.466666666666667</v>
      </c>
      <c r="AF83" s="23">
        <f t="shared" si="59"/>
        <v>11.433333333333334</v>
      </c>
      <c r="AG83" s="23">
        <f t="shared" si="60"/>
        <v>11.4</v>
      </c>
      <c r="AH83" s="23">
        <f t="shared" si="61"/>
        <v>11.366666666666667</v>
      </c>
      <c r="AI83" s="8"/>
      <c r="AJ83" s="24" t="str">
        <f t="shared" si="36"/>
        <v>1,2,5,10,37,74,185,370</v>
      </c>
      <c r="AK83" s="10"/>
      <c r="AL83" s="10"/>
      <c r="AM83" s="10"/>
      <c r="AN83" s="10"/>
      <c r="AO83" s="10"/>
      <c r="AP83" s="10"/>
      <c r="AQ83" s="10"/>
    </row>
    <row r="84" spans="1:43" x14ac:dyDescent="0.45">
      <c r="A84" s="11"/>
      <c r="B84" s="8"/>
      <c r="C84" s="8"/>
      <c r="D84" s="8">
        <v>75</v>
      </c>
      <c r="E84" s="9">
        <f t="shared" si="38"/>
        <v>375</v>
      </c>
      <c r="F84" s="23">
        <f t="shared" si="31"/>
        <v>12.466666666666667</v>
      </c>
      <c r="G84" s="23">
        <f t="shared" si="32"/>
        <v>12.433333333333334</v>
      </c>
      <c r="H84" s="23">
        <f t="shared" si="33"/>
        <v>12.4</v>
      </c>
      <c r="I84" s="23">
        <f t="shared" si="34"/>
        <v>12.366666666666667</v>
      </c>
      <c r="J84" s="23">
        <f t="shared" si="35"/>
        <v>12.333333333333334</v>
      </c>
      <c r="K84" s="23">
        <f t="shared" si="37"/>
        <v>12.3</v>
      </c>
      <c r="L84" s="23">
        <f t="shared" si="39"/>
        <v>12.266666666666667</v>
      </c>
      <c r="M84" s="23">
        <f t="shared" si="40"/>
        <v>12.233333333333333</v>
      </c>
      <c r="N84" s="23">
        <f t="shared" si="41"/>
        <v>12.2</v>
      </c>
      <c r="O84" s="23">
        <f t="shared" si="42"/>
        <v>12.166666666666666</v>
      </c>
      <c r="P84" s="23">
        <f t="shared" si="43"/>
        <v>12.133333333333333</v>
      </c>
      <c r="Q84" s="23">
        <f t="shared" si="44"/>
        <v>12.1</v>
      </c>
      <c r="R84" s="23">
        <f t="shared" si="45"/>
        <v>12.066666666666666</v>
      </c>
      <c r="S84" s="23">
        <f t="shared" si="46"/>
        <v>12.033333333333333</v>
      </c>
      <c r="T84" s="23">
        <f t="shared" si="47"/>
        <v>12</v>
      </c>
      <c r="U84" s="23">
        <f t="shared" si="48"/>
        <v>11.966666666666667</v>
      </c>
      <c r="V84" s="23">
        <f t="shared" si="49"/>
        <v>11.933333333333334</v>
      </c>
      <c r="W84" s="23">
        <f t="shared" si="50"/>
        <v>11.9</v>
      </c>
      <c r="X84" s="23">
        <f t="shared" si="51"/>
        <v>11.866666666666667</v>
      </c>
      <c r="Y84" s="23">
        <f t="shared" si="52"/>
        <v>11.833333333333334</v>
      </c>
      <c r="Z84" s="23">
        <f t="shared" si="53"/>
        <v>11.8</v>
      </c>
      <c r="AA84" s="23">
        <f t="shared" si="54"/>
        <v>11.766666666666667</v>
      </c>
      <c r="AB84" s="23">
        <f t="shared" si="55"/>
        <v>11.733333333333333</v>
      </c>
      <c r="AC84" s="23">
        <f t="shared" si="56"/>
        <v>11.7</v>
      </c>
      <c r="AD84" s="23">
        <f t="shared" si="57"/>
        <v>11.666666666666666</v>
      </c>
      <c r="AE84" s="23">
        <f t="shared" si="58"/>
        <v>11.633333333333333</v>
      </c>
      <c r="AF84" s="23">
        <f t="shared" si="59"/>
        <v>11.6</v>
      </c>
      <c r="AG84" s="23">
        <f t="shared" si="60"/>
        <v>11.566666666666666</v>
      </c>
      <c r="AH84" s="23">
        <f t="shared" si="61"/>
        <v>11.533333333333333</v>
      </c>
      <c r="AI84" s="8"/>
      <c r="AJ84" s="24" t="str">
        <f t="shared" si="36"/>
        <v>1,3,5,15,25,75,125,375</v>
      </c>
      <c r="AK84" s="10"/>
      <c r="AL84" s="10"/>
      <c r="AM84" s="10"/>
      <c r="AN84" s="10"/>
      <c r="AO84" s="10"/>
      <c r="AP84" s="10"/>
      <c r="AQ84" s="10"/>
    </row>
    <row r="85" spans="1:43" x14ac:dyDescent="0.45">
      <c r="A85" s="11"/>
      <c r="B85" s="8"/>
      <c r="C85" s="8"/>
      <c r="D85" s="8">
        <v>76</v>
      </c>
      <c r="E85" s="9">
        <f t="shared" si="38"/>
        <v>380</v>
      </c>
      <c r="F85" s="23">
        <f t="shared" si="31"/>
        <v>12.633333333333333</v>
      </c>
      <c r="G85" s="23">
        <f t="shared" si="32"/>
        <v>12.6</v>
      </c>
      <c r="H85" s="23">
        <f t="shared" si="33"/>
        <v>12.566666666666666</v>
      </c>
      <c r="I85" s="23">
        <f t="shared" si="34"/>
        <v>12.533333333333333</v>
      </c>
      <c r="J85" s="23">
        <f t="shared" si="35"/>
        <v>12.5</v>
      </c>
      <c r="K85" s="23">
        <f t="shared" si="37"/>
        <v>12.466666666666667</v>
      </c>
      <c r="L85" s="23">
        <f t="shared" si="39"/>
        <v>12.433333333333334</v>
      </c>
      <c r="M85" s="23">
        <f t="shared" si="40"/>
        <v>12.4</v>
      </c>
      <c r="N85" s="23">
        <f t="shared" si="41"/>
        <v>12.366666666666667</v>
      </c>
      <c r="O85" s="23">
        <f t="shared" si="42"/>
        <v>12.333333333333334</v>
      </c>
      <c r="P85" s="23">
        <f t="shared" si="43"/>
        <v>12.3</v>
      </c>
      <c r="Q85" s="23">
        <f t="shared" si="44"/>
        <v>12.266666666666667</v>
      </c>
      <c r="R85" s="23">
        <f t="shared" si="45"/>
        <v>12.233333333333333</v>
      </c>
      <c r="S85" s="23">
        <f t="shared" si="46"/>
        <v>12.2</v>
      </c>
      <c r="T85" s="23">
        <f t="shared" si="47"/>
        <v>12.166666666666666</v>
      </c>
      <c r="U85" s="23">
        <f t="shared" si="48"/>
        <v>12.133333333333333</v>
      </c>
      <c r="V85" s="23">
        <f t="shared" si="49"/>
        <v>12.1</v>
      </c>
      <c r="W85" s="23">
        <f t="shared" si="50"/>
        <v>12.066666666666666</v>
      </c>
      <c r="X85" s="23">
        <f t="shared" si="51"/>
        <v>12.033333333333333</v>
      </c>
      <c r="Y85" s="23">
        <f t="shared" si="52"/>
        <v>12</v>
      </c>
      <c r="Z85" s="23">
        <f t="shared" si="53"/>
        <v>11.966666666666667</v>
      </c>
      <c r="AA85" s="23">
        <f t="shared" si="54"/>
        <v>11.933333333333334</v>
      </c>
      <c r="AB85" s="23">
        <f t="shared" si="55"/>
        <v>11.9</v>
      </c>
      <c r="AC85" s="23">
        <f t="shared" si="56"/>
        <v>11.866666666666667</v>
      </c>
      <c r="AD85" s="23">
        <f t="shared" si="57"/>
        <v>11.833333333333334</v>
      </c>
      <c r="AE85" s="23">
        <f t="shared" si="58"/>
        <v>11.8</v>
      </c>
      <c r="AF85" s="23">
        <f t="shared" si="59"/>
        <v>11.766666666666667</v>
      </c>
      <c r="AG85" s="23">
        <f t="shared" si="60"/>
        <v>11.733333333333333</v>
      </c>
      <c r="AH85" s="23">
        <f t="shared" si="61"/>
        <v>11.7</v>
      </c>
      <c r="AI85" s="8"/>
      <c r="AJ85" s="24" t="str">
        <f t="shared" si="36"/>
        <v>1,2,4,5,10,19,20,38,76,95,190,380</v>
      </c>
      <c r="AK85" s="10"/>
      <c r="AL85" s="10"/>
      <c r="AM85" s="10"/>
      <c r="AN85" s="10"/>
      <c r="AO85" s="10"/>
      <c r="AP85" s="10"/>
      <c r="AQ85" s="10"/>
    </row>
    <row r="86" spans="1:43" x14ac:dyDescent="0.45">
      <c r="A86" s="11"/>
      <c r="B86" s="8"/>
      <c r="C86" s="8"/>
      <c r="D86" s="8">
        <v>77</v>
      </c>
      <c r="E86" s="9">
        <f t="shared" si="38"/>
        <v>385</v>
      </c>
      <c r="F86" s="23">
        <f t="shared" si="31"/>
        <v>12.8</v>
      </c>
      <c r="G86" s="23">
        <f t="shared" si="32"/>
        <v>12.766666666666667</v>
      </c>
      <c r="H86" s="23">
        <f t="shared" si="33"/>
        <v>12.733333333333333</v>
      </c>
      <c r="I86" s="23">
        <f t="shared" si="34"/>
        <v>12.7</v>
      </c>
      <c r="J86" s="23">
        <f t="shared" si="35"/>
        <v>12.666666666666666</v>
      </c>
      <c r="K86" s="23">
        <f t="shared" si="37"/>
        <v>12.633333333333333</v>
      </c>
      <c r="L86" s="23">
        <f t="shared" si="39"/>
        <v>12.6</v>
      </c>
      <c r="M86" s="23">
        <f t="shared" si="40"/>
        <v>12.566666666666666</v>
      </c>
      <c r="N86" s="23">
        <f t="shared" si="41"/>
        <v>12.533333333333333</v>
      </c>
      <c r="O86" s="23">
        <f t="shared" si="42"/>
        <v>12.5</v>
      </c>
      <c r="P86" s="23">
        <f t="shared" si="43"/>
        <v>12.466666666666667</v>
      </c>
      <c r="Q86" s="23">
        <f t="shared" si="44"/>
        <v>12.433333333333334</v>
      </c>
      <c r="R86" s="23">
        <f t="shared" si="45"/>
        <v>12.4</v>
      </c>
      <c r="S86" s="23">
        <f t="shared" si="46"/>
        <v>12.366666666666667</v>
      </c>
      <c r="T86" s="23">
        <f t="shared" si="47"/>
        <v>12.333333333333334</v>
      </c>
      <c r="U86" s="23">
        <f t="shared" si="48"/>
        <v>12.3</v>
      </c>
      <c r="V86" s="23">
        <f t="shared" si="49"/>
        <v>12.266666666666667</v>
      </c>
      <c r="W86" s="23">
        <f t="shared" si="50"/>
        <v>12.233333333333333</v>
      </c>
      <c r="X86" s="23">
        <f t="shared" si="51"/>
        <v>12.2</v>
      </c>
      <c r="Y86" s="23">
        <f t="shared" si="52"/>
        <v>12.166666666666666</v>
      </c>
      <c r="Z86" s="23">
        <f t="shared" si="53"/>
        <v>12.133333333333333</v>
      </c>
      <c r="AA86" s="23">
        <f t="shared" si="54"/>
        <v>12.1</v>
      </c>
      <c r="AB86" s="23">
        <f t="shared" si="55"/>
        <v>12.066666666666666</v>
      </c>
      <c r="AC86" s="23">
        <f t="shared" si="56"/>
        <v>12.033333333333333</v>
      </c>
      <c r="AD86" s="23">
        <f t="shared" si="57"/>
        <v>12</v>
      </c>
      <c r="AE86" s="23">
        <f t="shared" si="58"/>
        <v>11.966666666666667</v>
      </c>
      <c r="AF86" s="23">
        <f t="shared" si="59"/>
        <v>11.933333333333334</v>
      </c>
      <c r="AG86" s="23">
        <f t="shared" si="60"/>
        <v>11.9</v>
      </c>
      <c r="AH86" s="23">
        <f t="shared" si="61"/>
        <v>11.866666666666667</v>
      </c>
      <c r="AI86" s="8"/>
      <c r="AJ86" s="24" t="str">
        <f t="shared" si="36"/>
        <v>1,5,7,11,35,55,77,385</v>
      </c>
      <c r="AK86" s="10"/>
      <c r="AL86" s="10"/>
      <c r="AM86" s="10"/>
      <c r="AN86" s="10"/>
      <c r="AO86" s="10"/>
      <c r="AP86" s="10"/>
      <c r="AQ86" s="10"/>
    </row>
    <row r="87" spans="1:43" x14ac:dyDescent="0.45">
      <c r="A87" s="11"/>
      <c r="B87" s="8"/>
      <c r="C87" s="8"/>
      <c r="D87" s="8">
        <v>78</v>
      </c>
      <c r="E87" s="9">
        <f t="shared" si="38"/>
        <v>390</v>
      </c>
      <c r="F87" s="23">
        <f t="shared" si="31"/>
        <v>12.966666666666667</v>
      </c>
      <c r="G87" s="23">
        <f t="shared" si="32"/>
        <v>12.933333333333334</v>
      </c>
      <c r="H87" s="23">
        <f t="shared" si="33"/>
        <v>12.9</v>
      </c>
      <c r="I87" s="23">
        <f t="shared" si="34"/>
        <v>12.866666666666667</v>
      </c>
      <c r="J87" s="23">
        <f t="shared" si="35"/>
        <v>12.833333333333334</v>
      </c>
      <c r="K87" s="23">
        <f t="shared" si="37"/>
        <v>12.8</v>
      </c>
      <c r="L87" s="23">
        <f t="shared" si="39"/>
        <v>12.766666666666667</v>
      </c>
      <c r="M87" s="23">
        <f t="shared" si="40"/>
        <v>12.733333333333333</v>
      </c>
      <c r="N87" s="23">
        <f t="shared" si="41"/>
        <v>12.7</v>
      </c>
      <c r="O87" s="23">
        <f t="shared" si="42"/>
        <v>12.666666666666666</v>
      </c>
      <c r="P87" s="23">
        <f t="shared" si="43"/>
        <v>12.633333333333333</v>
      </c>
      <c r="Q87" s="23">
        <f t="shared" si="44"/>
        <v>12.6</v>
      </c>
      <c r="R87" s="23">
        <f t="shared" si="45"/>
        <v>12.566666666666666</v>
      </c>
      <c r="S87" s="23">
        <f t="shared" si="46"/>
        <v>12.533333333333333</v>
      </c>
      <c r="T87" s="23">
        <f t="shared" si="47"/>
        <v>12.5</v>
      </c>
      <c r="U87" s="23">
        <f t="shared" si="48"/>
        <v>12.466666666666667</v>
      </c>
      <c r="V87" s="23">
        <f t="shared" si="49"/>
        <v>12.433333333333334</v>
      </c>
      <c r="W87" s="23">
        <f t="shared" si="50"/>
        <v>12.4</v>
      </c>
      <c r="X87" s="23">
        <f t="shared" si="51"/>
        <v>12.366666666666667</v>
      </c>
      <c r="Y87" s="23">
        <f t="shared" si="52"/>
        <v>12.333333333333334</v>
      </c>
      <c r="Z87" s="23">
        <f t="shared" si="53"/>
        <v>12.3</v>
      </c>
      <c r="AA87" s="23">
        <f t="shared" si="54"/>
        <v>12.266666666666667</v>
      </c>
      <c r="AB87" s="23">
        <f t="shared" si="55"/>
        <v>12.233333333333333</v>
      </c>
      <c r="AC87" s="23">
        <f t="shared" si="56"/>
        <v>12.2</v>
      </c>
      <c r="AD87" s="23">
        <f t="shared" si="57"/>
        <v>12.166666666666666</v>
      </c>
      <c r="AE87" s="23">
        <f t="shared" si="58"/>
        <v>12.133333333333333</v>
      </c>
      <c r="AF87" s="23">
        <f t="shared" si="59"/>
        <v>12.1</v>
      </c>
      <c r="AG87" s="23">
        <f t="shared" si="60"/>
        <v>12.066666666666666</v>
      </c>
      <c r="AH87" s="23">
        <f t="shared" si="61"/>
        <v>12.033333333333333</v>
      </c>
      <c r="AI87" s="8"/>
      <c r="AJ87" s="24" t="str">
        <f t="shared" si="36"/>
        <v>1,2,3,5,6,10,13,15,26,30,39,65,78,130,195,390</v>
      </c>
      <c r="AK87" s="10"/>
      <c r="AL87" s="10"/>
      <c r="AM87" s="10"/>
      <c r="AN87" s="10"/>
      <c r="AO87" s="10"/>
      <c r="AP87" s="10"/>
      <c r="AQ87" s="10"/>
    </row>
    <row r="88" spans="1:43" x14ac:dyDescent="0.45">
      <c r="A88" s="11"/>
      <c r="B88" s="8"/>
      <c r="C88" s="8"/>
      <c r="D88" s="8">
        <v>79</v>
      </c>
      <c r="E88" s="9">
        <f t="shared" si="38"/>
        <v>395</v>
      </c>
      <c r="F88" s="23">
        <f t="shared" si="31"/>
        <v>13.133333333333333</v>
      </c>
      <c r="G88" s="23">
        <f t="shared" si="32"/>
        <v>13.1</v>
      </c>
      <c r="H88" s="23">
        <f t="shared" si="33"/>
        <v>13.066666666666666</v>
      </c>
      <c r="I88" s="23">
        <f t="shared" si="34"/>
        <v>13.033333333333333</v>
      </c>
      <c r="J88" s="23">
        <f t="shared" si="35"/>
        <v>13</v>
      </c>
      <c r="K88" s="23">
        <f t="shared" si="37"/>
        <v>12.966666666666667</v>
      </c>
      <c r="L88" s="23">
        <f t="shared" si="39"/>
        <v>12.933333333333334</v>
      </c>
      <c r="M88" s="23">
        <f t="shared" si="40"/>
        <v>12.9</v>
      </c>
      <c r="N88" s="23">
        <f t="shared" si="41"/>
        <v>12.866666666666667</v>
      </c>
      <c r="O88" s="23">
        <f t="shared" si="42"/>
        <v>12.833333333333334</v>
      </c>
      <c r="P88" s="23">
        <f t="shared" si="43"/>
        <v>12.8</v>
      </c>
      <c r="Q88" s="23">
        <f t="shared" si="44"/>
        <v>12.766666666666667</v>
      </c>
      <c r="R88" s="23">
        <f t="shared" si="45"/>
        <v>12.733333333333333</v>
      </c>
      <c r="S88" s="23">
        <f t="shared" si="46"/>
        <v>12.7</v>
      </c>
      <c r="T88" s="23">
        <f t="shared" si="47"/>
        <v>12.666666666666666</v>
      </c>
      <c r="U88" s="23">
        <f t="shared" si="48"/>
        <v>12.633333333333333</v>
      </c>
      <c r="V88" s="23">
        <f t="shared" si="49"/>
        <v>12.6</v>
      </c>
      <c r="W88" s="23">
        <f t="shared" si="50"/>
        <v>12.566666666666666</v>
      </c>
      <c r="X88" s="23">
        <f t="shared" si="51"/>
        <v>12.533333333333333</v>
      </c>
      <c r="Y88" s="23">
        <f t="shared" si="52"/>
        <v>12.5</v>
      </c>
      <c r="Z88" s="23">
        <f t="shared" si="53"/>
        <v>12.466666666666667</v>
      </c>
      <c r="AA88" s="23">
        <f t="shared" si="54"/>
        <v>12.433333333333334</v>
      </c>
      <c r="AB88" s="23">
        <f t="shared" si="55"/>
        <v>12.4</v>
      </c>
      <c r="AC88" s="23">
        <f t="shared" si="56"/>
        <v>12.366666666666667</v>
      </c>
      <c r="AD88" s="23">
        <f t="shared" si="57"/>
        <v>12.333333333333334</v>
      </c>
      <c r="AE88" s="23">
        <f t="shared" si="58"/>
        <v>12.3</v>
      </c>
      <c r="AF88" s="23">
        <f t="shared" si="59"/>
        <v>12.266666666666667</v>
      </c>
      <c r="AG88" s="23">
        <f t="shared" si="60"/>
        <v>12.233333333333333</v>
      </c>
      <c r="AH88" s="23">
        <f t="shared" si="61"/>
        <v>12.2</v>
      </c>
      <c r="AI88" s="8"/>
      <c r="AJ88" s="24" t="str">
        <f t="shared" si="36"/>
        <v>1,5,79,395</v>
      </c>
      <c r="AK88" s="10"/>
      <c r="AL88" s="10"/>
      <c r="AM88" s="10"/>
      <c r="AN88" s="10"/>
      <c r="AO88" s="10"/>
      <c r="AP88" s="10"/>
      <c r="AQ88" s="10"/>
    </row>
    <row r="89" spans="1:43" x14ac:dyDescent="0.45">
      <c r="A89" s="11"/>
      <c r="B89" s="8"/>
      <c r="C89" s="8"/>
      <c r="D89" s="8">
        <v>80</v>
      </c>
      <c r="E89" s="9">
        <f t="shared" si="38"/>
        <v>400</v>
      </c>
      <c r="F89" s="23">
        <f t="shared" si="31"/>
        <v>13.3</v>
      </c>
      <c r="G89" s="23">
        <f t="shared" si="32"/>
        <v>13.266666666666667</v>
      </c>
      <c r="H89" s="23">
        <f t="shared" si="33"/>
        <v>13.233333333333333</v>
      </c>
      <c r="I89" s="23">
        <f t="shared" si="34"/>
        <v>13.2</v>
      </c>
      <c r="J89" s="23">
        <f t="shared" si="35"/>
        <v>13.166666666666666</v>
      </c>
      <c r="K89" s="23">
        <f t="shared" si="37"/>
        <v>13.133333333333333</v>
      </c>
      <c r="L89" s="23">
        <f t="shared" si="39"/>
        <v>13.1</v>
      </c>
      <c r="M89" s="23">
        <f t="shared" si="40"/>
        <v>13.066666666666666</v>
      </c>
      <c r="N89" s="23">
        <f t="shared" si="41"/>
        <v>13.033333333333333</v>
      </c>
      <c r="O89" s="23">
        <f t="shared" si="42"/>
        <v>13</v>
      </c>
      <c r="P89" s="23">
        <f t="shared" si="43"/>
        <v>12.966666666666667</v>
      </c>
      <c r="Q89" s="23">
        <f t="shared" si="44"/>
        <v>12.933333333333334</v>
      </c>
      <c r="R89" s="23">
        <f t="shared" si="45"/>
        <v>12.9</v>
      </c>
      <c r="S89" s="23">
        <f t="shared" si="46"/>
        <v>12.866666666666667</v>
      </c>
      <c r="T89" s="23">
        <f t="shared" si="47"/>
        <v>12.833333333333334</v>
      </c>
      <c r="U89" s="23">
        <f t="shared" si="48"/>
        <v>12.8</v>
      </c>
      <c r="V89" s="23">
        <f t="shared" si="49"/>
        <v>12.766666666666667</v>
      </c>
      <c r="W89" s="23">
        <f t="shared" si="50"/>
        <v>12.733333333333333</v>
      </c>
      <c r="X89" s="23">
        <f t="shared" si="51"/>
        <v>12.7</v>
      </c>
      <c r="Y89" s="23">
        <f t="shared" si="52"/>
        <v>12.666666666666666</v>
      </c>
      <c r="Z89" s="23">
        <f t="shared" si="53"/>
        <v>12.633333333333333</v>
      </c>
      <c r="AA89" s="23">
        <f t="shared" si="54"/>
        <v>12.6</v>
      </c>
      <c r="AB89" s="23">
        <f t="shared" si="55"/>
        <v>12.566666666666666</v>
      </c>
      <c r="AC89" s="23">
        <f t="shared" si="56"/>
        <v>12.533333333333333</v>
      </c>
      <c r="AD89" s="23">
        <f t="shared" si="57"/>
        <v>12.5</v>
      </c>
      <c r="AE89" s="23">
        <f t="shared" si="58"/>
        <v>12.466666666666667</v>
      </c>
      <c r="AF89" s="23">
        <f t="shared" si="59"/>
        <v>12.433333333333334</v>
      </c>
      <c r="AG89" s="23">
        <f t="shared" si="60"/>
        <v>12.4</v>
      </c>
      <c r="AH89" s="23">
        <f t="shared" si="61"/>
        <v>12.366666666666667</v>
      </c>
      <c r="AI89" s="8"/>
      <c r="AJ89" s="24" t="str">
        <f t="shared" si="36"/>
        <v>1,2,4,5,8,10,16,20,25,40,50,80,100,200,400</v>
      </c>
      <c r="AK89" s="10"/>
      <c r="AL89" s="10"/>
      <c r="AM89" s="10"/>
      <c r="AN89" s="10"/>
      <c r="AO89" s="10"/>
      <c r="AP89" s="10"/>
      <c r="AQ89" s="10"/>
    </row>
    <row r="90" spans="1:43" x14ac:dyDescent="0.45">
      <c r="A90" s="11"/>
      <c r="B90" s="8"/>
      <c r="C90" s="8"/>
      <c r="D90" s="8">
        <v>81</v>
      </c>
      <c r="E90" s="9">
        <f t="shared" si="38"/>
        <v>405</v>
      </c>
      <c r="F90" s="23">
        <f t="shared" si="31"/>
        <v>13.466666666666667</v>
      </c>
      <c r="G90" s="23">
        <f t="shared" si="32"/>
        <v>13.433333333333334</v>
      </c>
      <c r="H90" s="23">
        <f t="shared" si="33"/>
        <v>13.4</v>
      </c>
      <c r="I90" s="23">
        <f t="shared" si="34"/>
        <v>13.366666666666667</v>
      </c>
      <c r="J90" s="23">
        <f t="shared" si="35"/>
        <v>13.333333333333334</v>
      </c>
      <c r="K90" s="23">
        <f t="shared" si="37"/>
        <v>13.3</v>
      </c>
      <c r="L90" s="23">
        <f t="shared" si="39"/>
        <v>13.266666666666667</v>
      </c>
      <c r="M90" s="23">
        <f t="shared" si="40"/>
        <v>13.233333333333333</v>
      </c>
      <c r="N90" s="23">
        <f t="shared" si="41"/>
        <v>13.2</v>
      </c>
      <c r="O90" s="23">
        <f t="shared" si="42"/>
        <v>13.166666666666666</v>
      </c>
      <c r="P90" s="23">
        <f t="shared" si="43"/>
        <v>13.133333333333333</v>
      </c>
      <c r="Q90" s="23">
        <f t="shared" si="44"/>
        <v>13.1</v>
      </c>
      <c r="R90" s="23">
        <f t="shared" si="45"/>
        <v>13.066666666666666</v>
      </c>
      <c r="S90" s="23">
        <f t="shared" si="46"/>
        <v>13.033333333333333</v>
      </c>
      <c r="T90" s="23">
        <f t="shared" si="47"/>
        <v>13</v>
      </c>
      <c r="U90" s="23">
        <f t="shared" si="48"/>
        <v>12.966666666666667</v>
      </c>
      <c r="V90" s="23">
        <f t="shared" si="49"/>
        <v>12.933333333333334</v>
      </c>
      <c r="W90" s="23">
        <f t="shared" si="50"/>
        <v>12.9</v>
      </c>
      <c r="X90" s="23">
        <f t="shared" si="51"/>
        <v>12.866666666666667</v>
      </c>
      <c r="Y90" s="23">
        <f t="shared" si="52"/>
        <v>12.833333333333334</v>
      </c>
      <c r="Z90" s="23">
        <f t="shared" si="53"/>
        <v>12.8</v>
      </c>
      <c r="AA90" s="23">
        <f t="shared" si="54"/>
        <v>12.766666666666667</v>
      </c>
      <c r="AB90" s="23">
        <f t="shared" si="55"/>
        <v>12.733333333333333</v>
      </c>
      <c r="AC90" s="23">
        <f t="shared" si="56"/>
        <v>12.7</v>
      </c>
      <c r="AD90" s="23">
        <f t="shared" si="57"/>
        <v>12.666666666666666</v>
      </c>
      <c r="AE90" s="23">
        <f t="shared" si="58"/>
        <v>12.633333333333333</v>
      </c>
      <c r="AF90" s="23">
        <f t="shared" si="59"/>
        <v>12.6</v>
      </c>
      <c r="AG90" s="23">
        <f t="shared" si="60"/>
        <v>12.566666666666666</v>
      </c>
      <c r="AH90" s="23">
        <f t="shared" si="61"/>
        <v>12.533333333333333</v>
      </c>
      <c r="AI90" s="8"/>
      <c r="AJ90" s="24" t="str">
        <f t="shared" si="36"/>
        <v>1,3,5,9,15,27,45,81,135,405</v>
      </c>
      <c r="AK90" s="10"/>
      <c r="AL90" s="10"/>
      <c r="AM90" s="10"/>
      <c r="AN90" s="10"/>
      <c r="AO90" s="10"/>
      <c r="AP90" s="10"/>
      <c r="AQ90" s="10"/>
    </row>
    <row r="91" spans="1:43" x14ac:dyDescent="0.45">
      <c r="A91" s="11"/>
      <c r="B91" s="8"/>
      <c r="C91" s="8"/>
      <c r="D91" s="8">
        <v>82</v>
      </c>
      <c r="E91" s="9">
        <f t="shared" si="38"/>
        <v>410</v>
      </c>
      <c r="F91" s="23">
        <f t="shared" si="31"/>
        <v>13.633333333333333</v>
      </c>
      <c r="G91" s="23">
        <f t="shared" si="32"/>
        <v>13.6</v>
      </c>
      <c r="H91" s="23">
        <f t="shared" si="33"/>
        <v>13.566666666666666</v>
      </c>
      <c r="I91" s="23">
        <f t="shared" si="34"/>
        <v>13.533333333333333</v>
      </c>
      <c r="J91" s="23">
        <f t="shared" si="35"/>
        <v>13.5</v>
      </c>
      <c r="K91" s="23">
        <f t="shared" si="37"/>
        <v>13.466666666666667</v>
      </c>
      <c r="L91" s="23">
        <f t="shared" si="39"/>
        <v>13.433333333333334</v>
      </c>
      <c r="M91" s="23">
        <f t="shared" si="40"/>
        <v>13.4</v>
      </c>
      <c r="N91" s="23">
        <f t="shared" si="41"/>
        <v>13.366666666666667</v>
      </c>
      <c r="O91" s="23">
        <f t="shared" si="42"/>
        <v>13.333333333333334</v>
      </c>
      <c r="P91" s="23">
        <f t="shared" si="43"/>
        <v>13.3</v>
      </c>
      <c r="Q91" s="23">
        <f t="shared" si="44"/>
        <v>13.266666666666667</v>
      </c>
      <c r="R91" s="23">
        <f t="shared" si="45"/>
        <v>13.233333333333333</v>
      </c>
      <c r="S91" s="23">
        <f t="shared" si="46"/>
        <v>13.2</v>
      </c>
      <c r="T91" s="23">
        <f t="shared" si="47"/>
        <v>13.166666666666666</v>
      </c>
      <c r="U91" s="23">
        <f t="shared" si="48"/>
        <v>13.133333333333333</v>
      </c>
      <c r="V91" s="23">
        <f t="shared" si="49"/>
        <v>13.1</v>
      </c>
      <c r="W91" s="23">
        <f t="shared" si="50"/>
        <v>13.066666666666666</v>
      </c>
      <c r="X91" s="23">
        <f t="shared" si="51"/>
        <v>13.033333333333333</v>
      </c>
      <c r="Y91" s="23">
        <f t="shared" si="52"/>
        <v>13</v>
      </c>
      <c r="Z91" s="23">
        <f t="shared" si="53"/>
        <v>12.966666666666667</v>
      </c>
      <c r="AA91" s="23">
        <f t="shared" si="54"/>
        <v>12.933333333333334</v>
      </c>
      <c r="AB91" s="23">
        <f t="shared" si="55"/>
        <v>12.9</v>
      </c>
      <c r="AC91" s="23">
        <f t="shared" si="56"/>
        <v>12.866666666666667</v>
      </c>
      <c r="AD91" s="23">
        <f t="shared" si="57"/>
        <v>12.833333333333334</v>
      </c>
      <c r="AE91" s="23">
        <f t="shared" si="58"/>
        <v>12.8</v>
      </c>
      <c r="AF91" s="23">
        <f t="shared" si="59"/>
        <v>12.766666666666667</v>
      </c>
      <c r="AG91" s="23">
        <f t="shared" si="60"/>
        <v>12.733333333333333</v>
      </c>
      <c r="AH91" s="23">
        <f t="shared" si="61"/>
        <v>12.7</v>
      </c>
      <c r="AI91" s="8"/>
      <c r="AJ91" s="24" t="str">
        <f t="shared" si="36"/>
        <v>1,2,5,10,41,82,205,410</v>
      </c>
      <c r="AK91" s="10"/>
      <c r="AL91" s="10"/>
      <c r="AM91" s="10"/>
      <c r="AN91" s="10"/>
      <c r="AO91" s="10"/>
      <c r="AP91" s="10"/>
      <c r="AQ91" s="10"/>
    </row>
    <row r="92" spans="1:43" x14ac:dyDescent="0.45">
      <c r="A92" s="11"/>
      <c r="B92" s="8"/>
      <c r="C92" s="8"/>
      <c r="D92" s="8">
        <v>83</v>
      </c>
      <c r="E92" s="9">
        <f t="shared" si="38"/>
        <v>415</v>
      </c>
      <c r="F92" s="23">
        <f t="shared" si="31"/>
        <v>13.8</v>
      </c>
      <c r="G92" s="23">
        <f t="shared" si="32"/>
        <v>13.766666666666667</v>
      </c>
      <c r="H92" s="23">
        <f t="shared" si="33"/>
        <v>13.733333333333333</v>
      </c>
      <c r="I92" s="23">
        <f t="shared" si="34"/>
        <v>13.7</v>
      </c>
      <c r="J92" s="23">
        <f t="shared" si="35"/>
        <v>13.666666666666666</v>
      </c>
      <c r="K92" s="23">
        <f t="shared" si="37"/>
        <v>13.633333333333333</v>
      </c>
      <c r="L92" s="23">
        <f t="shared" si="39"/>
        <v>13.6</v>
      </c>
      <c r="M92" s="23">
        <f t="shared" si="40"/>
        <v>13.566666666666666</v>
      </c>
      <c r="N92" s="23">
        <f t="shared" si="41"/>
        <v>13.533333333333333</v>
      </c>
      <c r="O92" s="23">
        <f t="shared" si="42"/>
        <v>13.5</v>
      </c>
      <c r="P92" s="23">
        <f t="shared" si="43"/>
        <v>13.466666666666667</v>
      </c>
      <c r="Q92" s="23">
        <f t="shared" si="44"/>
        <v>13.433333333333334</v>
      </c>
      <c r="R92" s="23">
        <f t="shared" si="45"/>
        <v>13.4</v>
      </c>
      <c r="S92" s="23">
        <f t="shared" si="46"/>
        <v>13.366666666666667</v>
      </c>
      <c r="T92" s="23">
        <f t="shared" si="47"/>
        <v>13.333333333333334</v>
      </c>
      <c r="U92" s="23">
        <f t="shared" si="48"/>
        <v>13.3</v>
      </c>
      <c r="V92" s="23">
        <f t="shared" si="49"/>
        <v>13.266666666666667</v>
      </c>
      <c r="W92" s="23">
        <f t="shared" si="50"/>
        <v>13.233333333333333</v>
      </c>
      <c r="X92" s="23">
        <f t="shared" si="51"/>
        <v>13.2</v>
      </c>
      <c r="Y92" s="23">
        <f t="shared" si="52"/>
        <v>13.166666666666666</v>
      </c>
      <c r="Z92" s="23">
        <f t="shared" si="53"/>
        <v>13.133333333333333</v>
      </c>
      <c r="AA92" s="23">
        <f t="shared" si="54"/>
        <v>13.1</v>
      </c>
      <c r="AB92" s="23">
        <f t="shared" si="55"/>
        <v>13.066666666666666</v>
      </c>
      <c r="AC92" s="23">
        <f t="shared" si="56"/>
        <v>13.033333333333333</v>
      </c>
      <c r="AD92" s="23">
        <f t="shared" si="57"/>
        <v>13</v>
      </c>
      <c r="AE92" s="23">
        <f t="shared" si="58"/>
        <v>12.966666666666667</v>
      </c>
      <c r="AF92" s="23">
        <f t="shared" si="59"/>
        <v>12.933333333333334</v>
      </c>
      <c r="AG92" s="23">
        <f t="shared" si="60"/>
        <v>12.9</v>
      </c>
      <c r="AH92" s="23">
        <f t="shared" si="61"/>
        <v>12.866666666666667</v>
      </c>
      <c r="AI92" s="8"/>
      <c r="AJ92" s="24" t="str">
        <f t="shared" si="36"/>
        <v>1,5,83,415</v>
      </c>
      <c r="AK92" s="10"/>
      <c r="AL92" s="10"/>
      <c r="AM92" s="10"/>
      <c r="AN92" s="10"/>
      <c r="AO92" s="10"/>
      <c r="AP92" s="10"/>
      <c r="AQ92" s="10"/>
    </row>
    <row r="93" spans="1:43" x14ac:dyDescent="0.45">
      <c r="A93" s="11"/>
      <c r="B93" s="8"/>
      <c r="C93" s="8"/>
      <c r="D93" s="8">
        <v>84</v>
      </c>
      <c r="E93" s="9">
        <f t="shared" si="38"/>
        <v>420</v>
      </c>
      <c r="F93" s="23">
        <f t="shared" si="31"/>
        <v>13.966666666666667</v>
      </c>
      <c r="G93" s="23">
        <f t="shared" si="32"/>
        <v>13.933333333333334</v>
      </c>
      <c r="H93" s="23">
        <f t="shared" si="33"/>
        <v>13.9</v>
      </c>
      <c r="I93" s="23">
        <f t="shared" si="34"/>
        <v>13.866666666666667</v>
      </c>
      <c r="J93" s="23">
        <f t="shared" si="35"/>
        <v>13.833333333333334</v>
      </c>
      <c r="K93" s="23">
        <f t="shared" si="37"/>
        <v>13.8</v>
      </c>
      <c r="L93" s="23">
        <f t="shared" si="39"/>
        <v>13.766666666666667</v>
      </c>
      <c r="M93" s="23">
        <f t="shared" si="40"/>
        <v>13.733333333333333</v>
      </c>
      <c r="N93" s="23">
        <f t="shared" si="41"/>
        <v>13.7</v>
      </c>
      <c r="O93" s="23">
        <f t="shared" si="42"/>
        <v>13.666666666666666</v>
      </c>
      <c r="P93" s="23">
        <f t="shared" si="43"/>
        <v>13.633333333333333</v>
      </c>
      <c r="Q93" s="23">
        <f t="shared" si="44"/>
        <v>13.6</v>
      </c>
      <c r="R93" s="23">
        <f t="shared" si="45"/>
        <v>13.566666666666666</v>
      </c>
      <c r="S93" s="23">
        <f t="shared" si="46"/>
        <v>13.533333333333333</v>
      </c>
      <c r="T93" s="23">
        <f t="shared" si="47"/>
        <v>13.5</v>
      </c>
      <c r="U93" s="23">
        <f t="shared" si="48"/>
        <v>13.466666666666667</v>
      </c>
      <c r="V93" s="23">
        <f t="shared" si="49"/>
        <v>13.433333333333334</v>
      </c>
      <c r="W93" s="23">
        <f t="shared" si="50"/>
        <v>13.4</v>
      </c>
      <c r="X93" s="23">
        <f t="shared" si="51"/>
        <v>13.366666666666667</v>
      </c>
      <c r="Y93" s="23">
        <f t="shared" si="52"/>
        <v>13.333333333333334</v>
      </c>
      <c r="Z93" s="23">
        <f t="shared" si="53"/>
        <v>13.3</v>
      </c>
      <c r="AA93" s="23">
        <f t="shared" si="54"/>
        <v>13.266666666666667</v>
      </c>
      <c r="AB93" s="23">
        <f t="shared" si="55"/>
        <v>13.233333333333333</v>
      </c>
      <c r="AC93" s="23">
        <f t="shared" si="56"/>
        <v>13.2</v>
      </c>
      <c r="AD93" s="23">
        <f t="shared" si="57"/>
        <v>13.166666666666666</v>
      </c>
      <c r="AE93" s="23">
        <f t="shared" si="58"/>
        <v>13.133333333333333</v>
      </c>
      <c r="AF93" s="23">
        <f t="shared" si="59"/>
        <v>13.1</v>
      </c>
      <c r="AG93" s="23">
        <f t="shared" si="60"/>
        <v>13.066666666666666</v>
      </c>
      <c r="AH93" s="23">
        <f t="shared" si="61"/>
        <v>13.033333333333333</v>
      </c>
      <c r="AI93" s="8"/>
      <c r="AJ93" s="24" t="str">
        <f t="shared" si="36"/>
        <v>1,2,3,4,5,6,7,10,12,14,15,20,21,28,30,35,42,60,70,84,105,140,210,420</v>
      </c>
      <c r="AK93" s="10"/>
      <c r="AL93" s="10"/>
      <c r="AM93" s="10"/>
      <c r="AN93" s="10"/>
      <c r="AO93" s="10"/>
      <c r="AP93" s="10"/>
      <c r="AQ93" s="10"/>
    </row>
    <row r="94" spans="1:43" x14ac:dyDescent="0.45">
      <c r="A94" s="11"/>
      <c r="B94" s="8"/>
      <c r="C94" s="8"/>
      <c r="D94" s="8">
        <v>85</v>
      </c>
      <c r="E94" s="9">
        <f t="shared" si="38"/>
        <v>425</v>
      </c>
      <c r="F94" s="23">
        <f t="shared" si="31"/>
        <v>14.133333333333333</v>
      </c>
      <c r="G94" s="23">
        <f t="shared" si="32"/>
        <v>14.1</v>
      </c>
      <c r="H94" s="23">
        <f t="shared" si="33"/>
        <v>14.066666666666666</v>
      </c>
      <c r="I94" s="23">
        <f t="shared" si="34"/>
        <v>14.033333333333333</v>
      </c>
      <c r="J94" s="23">
        <f t="shared" si="35"/>
        <v>14</v>
      </c>
      <c r="K94" s="23">
        <f t="shared" si="37"/>
        <v>13.966666666666667</v>
      </c>
      <c r="L94" s="23">
        <f t="shared" si="39"/>
        <v>13.933333333333334</v>
      </c>
      <c r="M94" s="23">
        <f t="shared" si="40"/>
        <v>13.9</v>
      </c>
      <c r="N94" s="23">
        <f t="shared" si="41"/>
        <v>13.866666666666667</v>
      </c>
      <c r="O94" s="23">
        <f t="shared" si="42"/>
        <v>13.833333333333334</v>
      </c>
      <c r="P94" s="23">
        <f t="shared" si="43"/>
        <v>13.8</v>
      </c>
      <c r="Q94" s="23">
        <f t="shared" si="44"/>
        <v>13.766666666666667</v>
      </c>
      <c r="R94" s="23">
        <f t="shared" si="45"/>
        <v>13.733333333333333</v>
      </c>
      <c r="S94" s="23">
        <f t="shared" si="46"/>
        <v>13.7</v>
      </c>
      <c r="T94" s="23">
        <f t="shared" si="47"/>
        <v>13.666666666666666</v>
      </c>
      <c r="U94" s="23">
        <f t="shared" si="48"/>
        <v>13.633333333333333</v>
      </c>
      <c r="V94" s="23">
        <f t="shared" si="49"/>
        <v>13.6</v>
      </c>
      <c r="W94" s="23">
        <f t="shared" si="50"/>
        <v>13.566666666666666</v>
      </c>
      <c r="X94" s="23">
        <f t="shared" si="51"/>
        <v>13.533333333333333</v>
      </c>
      <c r="Y94" s="23">
        <f t="shared" si="52"/>
        <v>13.5</v>
      </c>
      <c r="Z94" s="23">
        <f t="shared" si="53"/>
        <v>13.466666666666667</v>
      </c>
      <c r="AA94" s="23">
        <f t="shared" si="54"/>
        <v>13.433333333333334</v>
      </c>
      <c r="AB94" s="23">
        <f t="shared" si="55"/>
        <v>13.4</v>
      </c>
      <c r="AC94" s="23">
        <f t="shared" si="56"/>
        <v>13.366666666666667</v>
      </c>
      <c r="AD94" s="23">
        <f t="shared" si="57"/>
        <v>13.333333333333334</v>
      </c>
      <c r="AE94" s="23">
        <f t="shared" si="58"/>
        <v>13.3</v>
      </c>
      <c r="AF94" s="23">
        <f t="shared" si="59"/>
        <v>13.266666666666667</v>
      </c>
      <c r="AG94" s="23">
        <f t="shared" si="60"/>
        <v>13.233333333333333</v>
      </c>
      <c r="AH94" s="23">
        <f t="shared" si="61"/>
        <v>13.2</v>
      </c>
      <c r="AI94" s="8"/>
      <c r="AJ94" s="24" t="str">
        <f t="shared" si="36"/>
        <v>1,5,17,25,85,425</v>
      </c>
      <c r="AK94" s="10"/>
      <c r="AL94" s="10"/>
      <c r="AM94" s="10"/>
      <c r="AN94" s="10"/>
      <c r="AO94" s="10"/>
      <c r="AP94" s="10"/>
      <c r="AQ94" s="10"/>
    </row>
    <row r="95" spans="1:43" x14ac:dyDescent="0.45">
      <c r="A95" s="11"/>
      <c r="B95" s="8"/>
      <c r="C95" s="8"/>
      <c r="D95" s="8">
        <v>86</v>
      </c>
      <c r="E95" s="9">
        <f t="shared" si="38"/>
        <v>430</v>
      </c>
      <c r="F95" s="23">
        <f t="shared" si="31"/>
        <v>14.3</v>
      </c>
      <c r="G95" s="23">
        <f t="shared" si="32"/>
        <v>14.266666666666667</v>
      </c>
      <c r="H95" s="23">
        <f t="shared" si="33"/>
        <v>14.233333333333333</v>
      </c>
      <c r="I95" s="23">
        <f t="shared" si="34"/>
        <v>14.2</v>
      </c>
      <c r="J95" s="23">
        <f t="shared" si="35"/>
        <v>14.166666666666666</v>
      </c>
      <c r="K95" s="23">
        <f t="shared" si="37"/>
        <v>14.133333333333333</v>
      </c>
      <c r="L95" s="23">
        <f t="shared" si="39"/>
        <v>14.1</v>
      </c>
      <c r="M95" s="23">
        <f t="shared" si="40"/>
        <v>14.066666666666666</v>
      </c>
      <c r="N95" s="23">
        <f t="shared" si="41"/>
        <v>14.033333333333333</v>
      </c>
      <c r="O95" s="23">
        <f t="shared" si="42"/>
        <v>14</v>
      </c>
      <c r="P95" s="23">
        <f t="shared" si="43"/>
        <v>13.966666666666667</v>
      </c>
      <c r="Q95" s="23">
        <f t="shared" si="44"/>
        <v>13.933333333333334</v>
      </c>
      <c r="R95" s="23">
        <f t="shared" si="45"/>
        <v>13.9</v>
      </c>
      <c r="S95" s="23">
        <f t="shared" si="46"/>
        <v>13.866666666666667</v>
      </c>
      <c r="T95" s="23">
        <f t="shared" si="47"/>
        <v>13.833333333333334</v>
      </c>
      <c r="U95" s="23">
        <f t="shared" si="48"/>
        <v>13.8</v>
      </c>
      <c r="V95" s="23">
        <f t="shared" si="49"/>
        <v>13.766666666666667</v>
      </c>
      <c r="W95" s="23">
        <f t="shared" si="50"/>
        <v>13.733333333333333</v>
      </c>
      <c r="X95" s="23">
        <f t="shared" si="51"/>
        <v>13.7</v>
      </c>
      <c r="Y95" s="23">
        <f t="shared" si="52"/>
        <v>13.666666666666666</v>
      </c>
      <c r="Z95" s="23">
        <f t="shared" si="53"/>
        <v>13.633333333333333</v>
      </c>
      <c r="AA95" s="23">
        <f t="shared" si="54"/>
        <v>13.6</v>
      </c>
      <c r="AB95" s="23">
        <f t="shared" si="55"/>
        <v>13.566666666666666</v>
      </c>
      <c r="AC95" s="23">
        <f t="shared" si="56"/>
        <v>13.533333333333333</v>
      </c>
      <c r="AD95" s="23">
        <f t="shared" si="57"/>
        <v>13.5</v>
      </c>
      <c r="AE95" s="23">
        <f t="shared" si="58"/>
        <v>13.466666666666667</v>
      </c>
      <c r="AF95" s="23">
        <f t="shared" si="59"/>
        <v>13.433333333333334</v>
      </c>
      <c r="AG95" s="23">
        <f t="shared" si="60"/>
        <v>13.4</v>
      </c>
      <c r="AH95" s="23">
        <f t="shared" si="61"/>
        <v>13.366666666666667</v>
      </c>
      <c r="AI95" s="8"/>
      <c r="AJ95" s="24" t="str">
        <f t="shared" si="36"/>
        <v>1,2,5,10,43,86,215,430</v>
      </c>
      <c r="AK95" s="10"/>
      <c r="AL95" s="10"/>
      <c r="AM95" s="10"/>
      <c r="AN95" s="10"/>
      <c r="AO95" s="10"/>
      <c r="AP95" s="10"/>
      <c r="AQ95" s="10"/>
    </row>
    <row r="96" spans="1:43" x14ac:dyDescent="0.45">
      <c r="A96" s="11"/>
      <c r="B96" s="8"/>
      <c r="C96" s="8"/>
      <c r="D96" s="8">
        <v>87</v>
      </c>
      <c r="E96" s="9">
        <f t="shared" si="38"/>
        <v>435</v>
      </c>
      <c r="F96" s="23">
        <f t="shared" si="31"/>
        <v>14.466666666666667</v>
      </c>
      <c r="G96" s="23">
        <f t="shared" si="32"/>
        <v>14.433333333333334</v>
      </c>
      <c r="H96" s="23">
        <f t="shared" si="33"/>
        <v>14.4</v>
      </c>
      <c r="I96" s="23">
        <f t="shared" si="34"/>
        <v>14.366666666666667</v>
      </c>
      <c r="J96" s="23">
        <f t="shared" si="35"/>
        <v>14.333333333333334</v>
      </c>
      <c r="K96" s="23">
        <f t="shared" si="37"/>
        <v>14.3</v>
      </c>
      <c r="L96" s="23">
        <f t="shared" si="39"/>
        <v>14.266666666666667</v>
      </c>
      <c r="M96" s="23">
        <f t="shared" si="40"/>
        <v>14.233333333333333</v>
      </c>
      <c r="N96" s="23">
        <f t="shared" si="41"/>
        <v>14.2</v>
      </c>
      <c r="O96" s="23">
        <f t="shared" si="42"/>
        <v>14.166666666666666</v>
      </c>
      <c r="P96" s="23">
        <f t="shared" si="43"/>
        <v>14.133333333333333</v>
      </c>
      <c r="Q96" s="23">
        <f t="shared" si="44"/>
        <v>14.1</v>
      </c>
      <c r="R96" s="23">
        <f t="shared" si="45"/>
        <v>14.066666666666666</v>
      </c>
      <c r="S96" s="23">
        <f t="shared" si="46"/>
        <v>14.033333333333333</v>
      </c>
      <c r="T96" s="23">
        <f t="shared" si="47"/>
        <v>14</v>
      </c>
      <c r="U96" s="23">
        <f t="shared" si="48"/>
        <v>13.966666666666667</v>
      </c>
      <c r="V96" s="23">
        <f t="shared" si="49"/>
        <v>13.933333333333334</v>
      </c>
      <c r="W96" s="23">
        <f t="shared" si="50"/>
        <v>13.9</v>
      </c>
      <c r="X96" s="23">
        <f t="shared" si="51"/>
        <v>13.866666666666667</v>
      </c>
      <c r="Y96" s="23">
        <f t="shared" si="52"/>
        <v>13.833333333333334</v>
      </c>
      <c r="Z96" s="23">
        <f t="shared" si="53"/>
        <v>13.8</v>
      </c>
      <c r="AA96" s="23">
        <f t="shared" si="54"/>
        <v>13.766666666666667</v>
      </c>
      <c r="AB96" s="23">
        <f t="shared" si="55"/>
        <v>13.733333333333333</v>
      </c>
      <c r="AC96" s="23">
        <f t="shared" si="56"/>
        <v>13.7</v>
      </c>
      <c r="AD96" s="23">
        <f t="shared" si="57"/>
        <v>13.666666666666666</v>
      </c>
      <c r="AE96" s="23">
        <f t="shared" si="58"/>
        <v>13.633333333333333</v>
      </c>
      <c r="AF96" s="23">
        <f t="shared" si="59"/>
        <v>13.6</v>
      </c>
      <c r="AG96" s="23">
        <f t="shared" si="60"/>
        <v>13.566666666666666</v>
      </c>
      <c r="AH96" s="23">
        <f t="shared" si="61"/>
        <v>13.533333333333333</v>
      </c>
      <c r="AI96" s="8"/>
      <c r="AJ96" s="24" t="str">
        <f t="shared" si="36"/>
        <v>1,3,5,15,29,87,145,435</v>
      </c>
      <c r="AK96" s="10"/>
      <c r="AL96" s="10"/>
      <c r="AM96" s="10"/>
      <c r="AN96" s="10"/>
      <c r="AO96" s="10"/>
      <c r="AP96" s="10"/>
      <c r="AQ96" s="10"/>
    </row>
    <row r="97" spans="1:43" x14ac:dyDescent="0.45">
      <c r="A97" s="11"/>
      <c r="B97" s="8"/>
      <c r="C97" s="8"/>
      <c r="D97" s="8">
        <v>88</v>
      </c>
      <c r="E97" s="9">
        <f t="shared" si="38"/>
        <v>440</v>
      </c>
      <c r="F97" s="23">
        <f t="shared" si="31"/>
        <v>14.633333333333333</v>
      </c>
      <c r="G97" s="23">
        <f t="shared" si="32"/>
        <v>14.6</v>
      </c>
      <c r="H97" s="23">
        <f t="shared" si="33"/>
        <v>14.566666666666666</v>
      </c>
      <c r="I97" s="23">
        <f t="shared" si="34"/>
        <v>14.533333333333333</v>
      </c>
      <c r="J97" s="23">
        <f t="shared" si="35"/>
        <v>14.5</v>
      </c>
      <c r="K97" s="23">
        <f t="shared" si="37"/>
        <v>14.466666666666667</v>
      </c>
      <c r="L97" s="23">
        <f t="shared" si="39"/>
        <v>14.433333333333334</v>
      </c>
      <c r="M97" s="23">
        <f t="shared" si="40"/>
        <v>14.4</v>
      </c>
      <c r="N97" s="23">
        <f t="shared" si="41"/>
        <v>14.366666666666667</v>
      </c>
      <c r="O97" s="23">
        <f t="shared" si="42"/>
        <v>14.333333333333334</v>
      </c>
      <c r="P97" s="23">
        <f t="shared" si="43"/>
        <v>14.3</v>
      </c>
      <c r="Q97" s="23">
        <f t="shared" si="44"/>
        <v>14.266666666666667</v>
      </c>
      <c r="R97" s="23">
        <f t="shared" si="45"/>
        <v>14.233333333333333</v>
      </c>
      <c r="S97" s="23">
        <f t="shared" si="46"/>
        <v>14.2</v>
      </c>
      <c r="T97" s="23">
        <f t="shared" si="47"/>
        <v>14.166666666666666</v>
      </c>
      <c r="U97" s="23">
        <f t="shared" si="48"/>
        <v>14.133333333333333</v>
      </c>
      <c r="V97" s="23">
        <f t="shared" si="49"/>
        <v>14.1</v>
      </c>
      <c r="W97" s="23">
        <f t="shared" si="50"/>
        <v>14.066666666666666</v>
      </c>
      <c r="X97" s="23">
        <f t="shared" si="51"/>
        <v>14.033333333333333</v>
      </c>
      <c r="Y97" s="23">
        <f t="shared" si="52"/>
        <v>14</v>
      </c>
      <c r="Z97" s="23">
        <f t="shared" si="53"/>
        <v>13.966666666666667</v>
      </c>
      <c r="AA97" s="23">
        <f t="shared" si="54"/>
        <v>13.933333333333334</v>
      </c>
      <c r="AB97" s="23">
        <f t="shared" si="55"/>
        <v>13.9</v>
      </c>
      <c r="AC97" s="23">
        <f t="shared" si="56"/>
        <v>13.866666666666667</v>
      </c>
      <c r="AD97" s="23">
        <f t="shared" si="57"/>
        <v>13.833333333333334</v>
      </c>
      <c r="AE97" s="23">
        <f t="shared" si="58"/>
        <v>13.8</v>
      </c>
      <c r="AF97" s="23">
        <f t="shared" si="59"/>
        <v>13.766666666666667</v>
      </c>
      <c r="AG97" s="23">
        <f t="shared" si="60"/>
        <v>13.733333333333333</v>
      </c>
      <c r="AH97" s="23">
        <f t="shared" si="61"/>
        <v>13.7</v>
      </c>
      <c r="AI97" s="8"/>
      <c r="AJ97" s="24" t="str">
        <f t="shared" si="36"/>
        <v>1,2,4,5,8,10,11,20,22,40,44,55,88,110,220,440</v>
      </c>
      <c r="AK97" s="10"/>
      <c r="AL97" s="10"/>
      <c r="AM97" s="10"/>
      <c r="AN97" s="10"/>
      <c r="AO97" s="10"/>
      <c r="AP97" s="10"/>
      <c r="AQ97" s="10"/>
    </row>
    <row r="98" spans="1:43" x14ac:dyDescent="0.45">
      <c r="A98" s="11"/>
      <c r="B98" s="8"/>
      <c r="C98" s="8"/>
      <c r="D98" s="8">
        <v>89</v>
      </c>
      <c r="E98" s="9">
        <f t="shared" si="38"/>
        <v>445</v>
      </c>
      <c r="F98" s="23">
        <f t="shared" si="31"/>
        <v>14.8</v>
      </c>
      <c r="G98" s="23">
        <f t="shared" si="32"/>
        <v>14.766666666666667</v>
      </c>
      <c r="H98" s="23">
        <f t="shared" si="33"/>
        <v>14.733333333333333</v>
      </c>
      <c r="I98" s="23">
        <f t="shared" si="34"/>
        <v>14.7</v>
      </c>
      <c r="J98" s="23">
        <f t="shared" si="35"/>
        <v>14.666666666666666</v>
      </c>
      <c r="K98" s="23">
        <f t="shared" si="37"/>
        <v>14.633333333333333</v>
      </c>
      <c r="L98" s="23">
        <f t="shared" si="39"/>
        <v>14.6</v>
      </c>
      <c r="M98" s="23">
        <f t="shared" si="40"/>
        <v>14.566666666666666</v>
      </c>
      <c r="N98" s="23">
        <f t="shared" si="41"/>
        <v>14.533333333333333</v>
      </c>
      <c r="O98" s="23">
        <f t="shared" si="42"/>
        <v>14.5</v>
      </c>
      <c r="P98" s="23">
        <f t="shared" si="43"/>
        <v>14.466666666666667</v>
      </c>
      <c r="Q98" s="23">
        <f t="shared" si="44"/>
        <v>14.433333333333334</v>
      </c>
      <c r="R98" s="23">
        <f t="shared" si="45"/>
        <v>14.4</v>
      </c>
      <c r="S98" s="23">
        <f t="shared" si="46"/>
        <v>14.366666666666667</v>
      </c>
      <c r="T98" s="23">
        <f t="shared" si="47"/>
        <v>14.333333333333334</v>
      </c>
      <c r="U98" s="23">
        <f t="shared" si="48"/>
        <v>14.3</v>
      </c>
      <c r="V98" s="23">
        <f t="shared" si="49"/>
        <v>14.266666666666667</v>
      </c>
      <c r="W98" s="23">
        <f t="shared" si="50"/>
        <v>14.233333333333333</v>
      </c>
      <c r="X98" s="23">
        <f t="shared" si="51"/>
        <v>14.2</v>
      </c>
      <c r="Y98" s="23">
        <f t="shared" si="52"/>
        <v>14.166666666666666</v>
      </c>
      <c r="Z98" s="23">
        <f t="shared" si="53"/>
        <v>14.133333333333333</v>
      </c>
      <c r="AA98" s="23">
        <f t="shared" si="54"/>
        <v>14.1</v>
      </c>
      <c r="AB98" s="23">
        <f t="shared" si="55"/>
        <v>14.066666666666666</v>
      </c>
      <c r="AC98" s="23">
        <f t="shared" si="56"/>
        <v>14.033333333333333</v>
      </c>
      <c r="AD98" s="23">
        <f t="shared" si="57"/>
        <v>14</v>
      </c>
      <c r="AE98" s="23">
        <f t="shared" si="58"/>
        <v>13.966666666666667</v>
      </c>
      <c r="AF98" s="23">
        <f t="shared" si="59"/>
        <v>13.933333333333334</v>
      </c>
      <c r="AG98" s="23">
        <f t="shared" si="60"/>
        <v>13.9</v>
      </c>
      <c r="AH98" s="23">
        <f t="shared" si="61"/>
        <v>13.866666666666667</v>
      </c>
      <c r="AI98" s="8"/>
      <c r="AJ98" s="24" t="str">
        <f t="shared" si="36"/>
        <v>1,5,89,445</v>
      </c>
      <c r="AK98" s="10"/>
      <c r="AL98" s="10"/>
      <c r="AM98" s="10"/>
      <c r="AN98" s="10"/>
      <c r="AO98" s="10"/>
      <c r="AP98" s="10"/>
      <c r="AQ98" s="10"/>
    </row>
    <row r="99" spans="1:43" x14ac:dyDescent="0.45">
      <c r="A99" s="11"/>
      <c r="B99" s="8"/>
      <c r="C99" s="8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0"/>
      <c r="AM99" s="10"/>
      <c r="AN99" s="10"/>
      <c r="AO99" s="10"/>
      <c r="AP99" s="10"/>
      <c r="AQ99" s="10"/>
    </row>
    <row r="100" spans="1:43" x14ac:dyDescent="0.45">
      <c r="A100" s="11"/>
      <c r="B100" s="8"/>
      <c r="C100" s="8"/>
      <c r="D100" s="8">
        <v>90</v>
      </c>
      <c r="E100" s="9">
        <f t="shared" si="38"/>
        <v>450</v>
      </c>
      <c r="F100" s="23">
        <f t="shared" si="31"/>
        <v>14.966666666666667</v>
      </c>
      <c r="G100" s="23">
        <f t="shared" si="32"/>
        <v>14.933333333333334</v>
      </c>
      <c r="H100" s="23">
        <f t="shared" si="33"/>
        <v>14.9</v>
      </c>
      <c r="I100" s="23">
        <f t="shared" si="34"/>
        <v>14.866666666666667</v>
      </c>
      <c r="J100" s="23">
        <f t="shared" si="35"/>
        <v>14.833333333333334</v>
      </c>
      <c r="K100" s="23">
        <f t="shared" si="37"/>
        <v>14.8</v>
      </c>
      <c r="L100" s="23">
        <f t="shared" si="39"/>
        <v>14.766666666666667</v>
      </c>
      <c r="M100" s="23">
        <f t="shared" si="40"/>
        <v>14.733333333333333</v>
      </c>
      <c r="N100" s="23">
        <f t="shared" si="41"/>
        <v>14.7</v>
      </c>
      <c r="O100" s="23">
        <f t="shared" si="42"/>
        <v>14.666666666666666</v>
      </c>
      <c r="P100" s="23">
        <f t="shared" si="43"/>
        <v>14.633333333333333</v>
      </c>
      <c r="Q100" s="23">
        <f t="shared" si="44"/>
        <v>14.6</v>
      </c>
      <c r="R100" s="23">
        <f t="shared" si="45"/>
        <v>14.566666666666666</v>
      </c>
      <c r="S100" s="23">
        <f t="shared" si="46"/>
        <v>14.533333333333333</v>
      </c>
      <c r="T100" s="23">
        <f t="shared" si="47"/>
        <v>14.5</v>
      </c>
      <c r="U100" s="23">
        <f t="shared" si="48"/>
        <v>14.466666666666667</v>
      </c>
      <c r="V100" s="23">
        <f t="shared" si="49"/>
        <v>14.433333333333334</v>
      </c>
      <c r="W100" s="23">
        <f t="shared" si="50"/>
        <v>14.4</v>
      </c>
      <c r="X100" s="23">
        <f t="shared" si="51"/>
        <v>14.366666666666667</v>
      </c>
      <c r="Y100" s="23">
        <f t="shared" si="52"/>
        <v>14.333333333333334</v>
      </c>
      <c r="Z100" s="23">
        <f t="shared" si="53"/>
        <v>14.3</v>
      </c>
      <c r="AA100" s="23">
        <f t="shared" si="54"/>
        <v>14.266666666666667</v>
      </c>
      <c r="AB100" s="23">
        <f t="shared" si="55"/>
        <v>14.233333333333333</v>
      </c>
      <c r="AC100" s="23">
        <f t="shared" si="56"/>
        <v>14.2</v>
      </c>
      <c r="AD100" s="23">
        <f t="shared" si="57"/>
        <v>14.166666666666666</v>
      </c>
      <c r="AE100" s="23">
        <f t="shared" si="58"/>
        <v>14.133333333333333</v>
      </c>
      <c r="AF100" s="23">
        <f t="shared" si="59"/>
        <v>14.1</v>
      </c>
      <c r="AG100" s="23">
        <f t="shared" si="60"/>
        <v>14.066666666666666</v>
      </c>
      <c r="AH100" s="23">
        <f t="shared" si="61"/>
        <v>14.033333333333333</v>
      </c>
      <c r="AI100" s="8"/>
      <c r="AJ100" s="24" t="str">
        <f t="shared" si="36"/>
        <v>1,2,3,5,6,9,10,15,18,25,30,45,50,75,90,150,225,450</v>
      </c>
      <c r="AK100" s="10"/>
      <c r="AL100" s="10"/>
      <c r="AM100" s="10"/>
      <c r="AN100" s="10"/>
      <c r="AO100" s="10"/>
      <c r="AP100" s="10"/>
      <c r="AQ100" s="10"/>
    </row>
    <row r="101" spans="1:43" x14ac:dyDescent="0.45">
      <c r="A101" s="11"/>
      <c r="B101" s="8"/>
      <c r="C101" s="8"/>
      <c r="D101" s="8">
        <v>91</v>
      </c>
      <c r="E101" s="9">
        <f t="shared" si="38"/>
        <v>455</v>
      </c>
      <c r="F101" s="23">
        <f t="shared" si="31"/>
        <v>15.133333333333333</v>
      </c>
      <c r="G101" s="23">
        <f t="shared" si="32"/>
        <v>15.1</v>
      </c>
      <c r="H101" s="23">
        <f t="shared" si="33"/>
        <v>15.066666666666666</v>
      </c>
      <c r="I101" s="23">
        <f t="shared" si="34"/>
        <v>15.033333333333333</v>
      </c>
      <c r="J101" s="23">
        <f t="shared" si="35"/>
        <v>15</v>
      </c>
      <c r="K101" s="23">
        <f t="shared" si="37"/>
        <v>14.966666666666667</v>
      </c>
      <c r="L101" s="23">
        <f t="shared" si="39"/>
        <v>14.933333333333334</v>
      </c>
      <c r="M101" s="23">
        <f t="shared" si="40"/>
        <v>14.9</v>
      </c>
      <c r="N101" s="23">
        <f t="shared" si="41"/>
        <v>14.866666666666667</v>
      </c>
      <c r="O101" s="23">
        <f t="shared" si="42"/>
        <v>14.833333333333334</v>
      </c>
      <c r="P101" s="23">
        <f t="shared" si="43"/>
        <v>14.8</v>
      </c>
      <c r="Q101" s="23">
        <f t="shared" si="44"/>
        <v>14.766666666666667</v>
      </c>
      <c r="R101" s="23">
        <f t="shared" si="45"/>
        <v>14.733333333333333</v>
      </c>
      <c r="S101" s="23">
        <f t="shared" si="46"/>
        <v>14.7</v>
      </c>
      <c r="T101" s="23">
        <f t="shared" si="47"/>
        <v>14.666666666666666</v>
      </c>
      <c r="U101" s="23">
        <f t="shared" si="48"/>
        <v>14.633333333333333</v>
      </c>
      <c r="V101" s="23">
        <f t="shared" si="49"/>
        <v>14.6</v>
      </c>
      <c r="W101" s="23">
        <f t="shared" si="50"/>
        <v>14.566666666666666</v>
      </c>
      <c r="X101" s="23">
        <f t="shared" si="51"/>
        <v>14.533333333333333</v>
      </c>
      <c r="Y101" s="23">
        <f t="shared" si="52"/>
        <v>14.5</v>
      </c>
      <c r="Z101" s="23">
        <f t="shared" si="53"/>
        <v>14.466666666666667</v>
      </c>
      <c r="AA101" s="23">
        <f t="shared" si="54"/>
        <v>14.433333333333334</v>
      </c>
      <c r="AB101" s="23">
        <f t="shared" si="55"/>
        <v>14.4</v>
      </c>
      <c r="AC101" s="23">
        <f t="shared" si="56"/>
        <v>14.366666666666667</v>
      </c>
      <c r="AD101" s="23">
        <f t="shared" si="57"/>
        <v>14.333333333333334</v>
      </c>
      <c r="AE101" s="23">
        <f t="shared" si="58"/>
        <v>14.3</v>
      </c>
      <c r="AF101" s="23">
        <f t="shared" si="59"/>
        <v>14.266666666666667</v>
      </c>
      <c r="AG101" s="23">
        <f t="shared" si="60"/>
        <v>14.233333333333333</v>
      </c>
      <c r="AH101" s="23">
        <f t="shared" si="61"/>
        <v>14.2</v>
      </c>
      <c r="AI101" s="8"/>
      <c r="AJ101" s="24" t="str">
        <f t="shared" si="36"/>
        <v>1,5,7,13,35,65,91,455</v>
      </c>
      <c r="AK101" s="10"/>
      <c r="AL101" s="10"/>
      <c r="AM101" s="10"/>
      <c r="AN101" s="10"/>
      <c r="AO101" s="10"/>
      <c r="AP101" s="10"/>
      <c r="AQ101" s="10"/>
    </row>
    <row r="102" spans="1:43" x14ac:dyDescent="0.45">
      <c r="A102" s="11"/>
      <c r="B102" s="8"/>
      <c r="C102" s="8"/>
      <c r="D102" s="8">
        <v>92</v>
      </c>
      <c r="E102" s="9">
        <f t="shared" si="38"/>
        <v>460</v>
      </c>
      <c r="F102" s="23">
        <f t="shared" si="31"/>
        <v>15.3</v>
      </c>
      <c r="G102" s="23">
        <f t="shared" si="32"/>
        <v>15.266666666666667</v>
      </c>
      <c r="H102" s="23">
        <f t="shared" si="33"/>
        <v>15.233333333333333</v>
      </c>
      <c r="I102" s="23">
        <f t="shared" si="34"/>
        <v>15.2</v>
      </c>
      <c r="J102" s="23">
        <f t="shared" si="35"/>
        <v>15.166666666666666</v>
      </c>
      <c r="K102" s="23">
        <f t="shared" si="37"/>
        <v>15.133333333333333</v>
      </c>
      <c r="L102" s="23">
        <f t="shared" si="39"/>
        <v>15.1</v>
      </c>
      <c r="M102" s="23">
        <f t="shared" si="40"/>
        <v>15.066666666666666</v>
      </c>
      <c r="N102" s="23">
        <f t="shared" si="41"/>
        <v>15.033333333333333</v>
      </c>
      <c r="O102" s="23">
        <f t="shared" si="42"/>
        <v>15</v>
      </c>
      <c r="P102" s="23">
        <f t="shared" si="43"/>
        <v>14.966666666666667</v>
      </c>
      <c r="Q102" s="23">
        <f t="shared" si="44"/>
        <v>14.933333333333334</v>
      </c>
      <c r="R102" s="23">
        <f t="shared" si="45"/>
        <v>14.9</v>
      </c>
      <c r="S102" s="23">
        <f t="shared" si="46"/>
        <v>14.866666666666667</v>
      </c>
      <c r="T102" s="23">
        <f t="shared" si="47"/>
        <v>14.833333333333334</v>
      </c>
      <c r="U102" s="23">
        <f t="shared" si="48"/>
        <v>14.8</v>
      </c>
      <c r="V102" s="23">
        <f t="shared" si="49"/>
        <v>14.766666666666667</v>
      </c>
      <c r="W102" s="23">
        <f t="shared" si="50"/>
        <v>14.733333333333333</v>
      </c>
      <c r="X102" s="23">
        <f t="shared" si="51"/>
        <v>14.7</v>
      </c>
      <c r="Y102" s="23">
        <f t="shared" si="52"/>
        <v>14.666666666666666</v>
      </c>
      <c r="Z102" s="23">
        <f t="shared" si="53"/>
        <v>14.633333333333333</v>
      </c>
      <c r="AA102" s="23">
        <f t="shared" si="54"/>
        <v>14.6</v>
      </c>
      <c r="AB102" s="23">
        <f t="shared" si="55"/>
        <v>14.566666666666666</v>
      </c>
      <c r="AC102" s="23">
        <f t="shared" si="56"/>
        <v>14.533333333333333</v>
      </c>
      <c r="AD102" s="23">
        <f t="shared" si="57"/>
        <v>14.5</v>
      </c>
      <c r="AE102" s="23">
        <f t="shared" si="58"/>
        <v>14.466666666666667</v>
      </c>
      <c r="AF102" s="23">
        <f t="shared" si="59"/>
        <v>14.433333333333334</v>
      </c>
      <c r="AG102" s="23">
        <f t="shared" si="60"/>
        <v>14.4</v>
      </c>
      <c r="AH102" s="23">
        <f t="shared" si="61"/>
        <v>14.366666666666667</v>
      </c>
      <c r="AI102" s="8"/>
      <c r="AJ102" s="24" t="str">
        <f t="shared" si="36"/>
        <v>1,2,4,5,10,20,23,46,92,115,230,460</v>
      </c>
      <c r="AK102" s="10"/>
      <c r="AL102" s="10"/>
      <c r="AM102" s="10"/>
      <c r="AN102" s="10"/>
      <c r="AO102" s="10"/>
      <c r="AP102" s="10"/>
      <c r="AQ102" s="10"/>
    </row>
    <row r="103" spans="1:43" x14ac:dyDescent="0.45">
      <c r="A103" s="11"/>
      <c r="B103" s="8"/>
      <c r="C103" s="8"/>
      <c r="D103" s="8">
        <v>93</v>
      </c>
      <c r="E103" s="9">
        <f t="shared" si="38"/>
        <v>465</v>
      </c>
      <c r="F103" s="23">
        <f t="shared" si="31"/>
        <v>15.466666666666667</v>
      </c>
      <c r="G103" s="23">
        <f t="shared" si="32"/>
        <v>15.433333333333334</v>
      </c>
      <c r="H103" s="23">
        <f t="shared" si="33"/>
        <v>15.4</v>
      </c>
      <c r="I103" s="23">
        <f t="shared" si="34"/>
        <v>15.366666666666667</v>
      </c>
      <c r="J103" s="23">
        <f t="shared" si="35"/>
        <v>15.333333333333334</v>
      </c>
      <c r="K103" s="23">
        <f t="shared" si="37"/>
        <v>15.3</v>
      </c>
      <c r="L103" s="23">
        <f t="shared" si="39"/>
        <v>15.266666666666667</v>
      </c>
      <c r="M103" s="23">
        <f t="shared" si="40"/>
        <v>15.233333333333333</v>
      </c>
      <c r="N103" s="23">
        <f t="shared" si="41"/>
        <v>15.2</v>
      </c>
      <c r="O103" s="23">
        <f t="shared" si="42"/>
        <v>15.166666666666666</v>
      </c>
      <c r="P103" s="23">
        <f t="shared" si="43"/>
        <v>15.133333333333333</v>
      </c>
      <c r="Q103" s="23">
        <f t="shared" si="44"/>
        <v>15.1</v>
      </c>
      <c r="R103" s="23">
        <f t="shared" si="45"/>
        <v>15.066666666666666</v>
      </c>
      <c r="S103" s="23">
        <f t="shared" si="46"/>
        <v>15.033333333333333</v>
      </c>
      <c r="T103" s="23">
        <f t="shared" si="47"/>
        <v>15</v>
      </c>
      <c r="U103" s="23">
        <f t="shared" si="48"/>
        <v>14.966666666666667</v>
      </c>
      <c r="V103" s="23">
        <f t="shared" si="49"/>
        <v>14.933333333333334</v>
      </c>
      <c r="W103" s="23">
        <f t="shared" si="50"/>
        <v>14.9</v>
      </c>
      <c r="X103" s="23">
        <f t="shared" si="51"/>
        <v>14.866666666666667</v>
      </c>
      <c r="Y103" s="23">
        <f t="shared" si="52"/>
        <v>14.833333333333334</v>
      </c>
      <c r="Z103" s="23">
        <f t="shared" si="53"/>
        <v>14.8</v>
      </c>
      <c r="AA103" s="23">
        <f t="shared" si="54"/>
        <v>14.766666666666667</v>
      </c>
      <c r="AB103" s="23">
        <f t="shared" si="55"/>
        <v>14.733333333333333</v>
      </c>
      <c r="AC103" s="23">
        <f t="shared" si="56"/>
        <v>14.7</v>
      </c>
      <c r="AD103" s="23">
        <f t="shared" si="57"/>
        <v>14.666666666666666</v>
      </c>
      <c r="AE103" s="23">
        <f t="shared" si="58"/>
        <v>14.633333333333333</v>
      </c>
      <c r="AF103" s="23">
        <f t="shared" si="59"/>
        <v>14.6</v>
      </c>
      <c r="AG103" s="23">
        <f t="shared" si="60"/>
        <v>14.566666666666666</v>
      </c>
      <c r="AH103" s="23">
        <f t="shared" si="61"/>
        <v>14.533333333333333</v>
      </c>
      <c r="AI103" s="8"/>
      <c r="AJ103" s="24" t="str">
        <f t="shared" si="36"/>
        <v>1,3,5,15,31,93,155,465</v>
      </c>
      <c r="AK103" s="10"/>
      <c r="AL103" s="10"/>
      <c r="AM103" s="10"/>
      <c r="AN103" s="10"/>
      <c r="AO103" s="10"/>
      <c r="AP103" s="10"/>
      <c r="AQ103" s="10"/>
    </row>
    <row r="104" spans="1:43" x14ac:dyDescent="0.45">
      <c r="A104" s="11"/>
      <c r="B104" s="8"/>
      <c r="C104" s="8"/>
      <c r="D104" s="8">
        <v>94</v>
      </c>
      <c r="E104" s="9">
        <f t="shared" si="38"/>
        <v>470</v>
      </c>
      <c r="F104" s="23">
        <f t="shared" si="31"/>
        <v>15.633333333333333</v>
      </c>
      <c r="G104" s="23">
        <f t="shared" si="32"/>
        <v>15.6</v>
      </c>
      <c r="H104" s="23">
        <f t="shared" si="33"/>
        <v>15.566666666666666</v>
      </c>
      <c r="I104" s="23">
        <f t="shared" si="34"/>
        <v>15.533333333333333</v>
      </c>
      <c r="J104" s="23">
        <f t="shared" si="35"/>
        <v>15.5</v>
      </c>
      <c r="K104" s="23">
        <f t="shared" si="37"/>
        <v>15.466666666666667</v>
      </c>
      <c r="L104" s="23">
        <f t="shared" si="39"/>
        <v>15.433333333333334</v>
      </c>
      <c r="M104" s="23">
        <f t="shared" si="40"/>
        <v>15.4</v>
      </c>
      <c r="N104" s="23">
        <f t="shared" si="41"/>
        <v>15.366666666666667</v>
      </c>
      <c r="O104" s="23">
        <f t="shared" si="42"/>
        <v>15.333333333333334</v>
      </c>
      <c r="P104" s="23">
        <f t="shared" si="43"/>
        <v>15.3</v>
      </c>
      <c r="Q104" s="23">
        <f t="shared" si="44"/>
        <v>15.266666666666667</v>
      </c>
      <c r="R104" s="23">
        <f t="shared" si="45"/>
        <v>15.233333333333333</v>
      </c>
      <c r="S104" s="23">
        <f t="shared" si="46"/>
        <v>15.2</v>
      </c>
      <c r="T104" s="23">
        <f t="shared" si="47"/>
        <v>15.166666666666666</v>
      </c>
      <c r="U104" s="23">
        <f t="shared" si="48"/>
        <v>15.133333333333333</v>
      </c>
      <c r="V104" s="23">
        <f t="shared" si="49"/>
        <v>15.1</v>
      </c>
      <c r="W104" s="23">
        <f t="shared" si="50"/>
        <v>15.066666666666666</v>
      </c>
      <c r="X104" s="23">
        <f t="shared" si="51"/>
        <v>15.033333333333333</v>
      </c>
      <c r="Y104" s="23">
        <f t="shared" si="52"/>
        <v>15</v>
      </c>
      <c r="Z104" s="23">
        <f t="shared" si="53"/>
        <v>14.966666666666667</v>
      </c>
      <c r="AA104" s="23">
        <f t="shared" si="54"/>
        <v>14.933333333333334</v>
      </c>
      <c r="AB104" s="23">
        <f t="shared" si="55"/>
        <v>14.9</v>
      </c>
      <c r="AC104" s="23">
        <f t="shared" si="56"/>
        <v>14.866666666666667</v>
      </c>
      <c r="AD104" s="23">
        <f t="shared" si="57"/>
        <v>14.833333333333334</v>
      </c>
      <c r="AE104" s="23">
        <f t="shared" si="58"/>
        <v>14.8</v>
      </c>
      <c r="AF104" s="23">
        <f t="shared" si="59"/>
        <v>14.766666666666667</v>
      </c>
      <c r="AG104" s="23">
        <f t="shared" si="60"/>
        <v>14.733333333333333</v>
      </c>
      <c r="AH104" s="23">
        <f t="shared" si="61"/>
        <v>14.7</v>
      </c>
      <c r="AI104" s="8"/>
      <c r="AJ104" s="24" t="str">
        <f t="shared" si="36"/>
        <v>1,2,5,10,47,94,235,470</v>
      </c>
      <c r="AK104" s="10"/>
      <c r="AL104" s="10"/>
      <c r="AM104" s="10"/>
      <c r="AN104" s="10"/>
      <c r="AO104" s="10"/>
      <c r="AP104" s="10"/>
      <c r="AQ104" s="10"/>
    </row>
    <row r="105" spans="1:43" x14ac:dyDescent="0.45">
      <c r="A105" s="11"/>
      <c r="B105" s="8"/>
      <c r="C105" s="8"/>
      <c r="D105" s="8">
        <v>95</v>
      </c>
      <c r="E105" s="9">
        <f t="shared" si="38"/>
        <v>475</v>
      </c>
      <c r="F105" s="23">
        <f t="shared" ref="F105:F133" si="62">(E105-1)/30</f>
        <v>15.8</v>
      </c>
      <c r="G105" s="23">
        <f t="shared" ref="G105:G133" si="63">(E105-2)/30</f>
        <v>15.766666666666667</v>
      </c>
      <c r="H105" s="23">
        <f t="shared" ref="H105:H133" si="64">(E105-3)/30</f>
        <v>15.733333333333333</v>
      </c>
      <c r="I105" s="23">
        <f t="shared" ref="I105:I133" si="65">(E105-4)/30</f>
        <v>15.7</v>
      </c>
      <c r="J105" s="23">
        <f t="shared" ref="J105:J133" si="66">(E105-5)/30</f>
        <v>15.666666666666666</v>
      </c>
      <c r="K105" s="23">
        <f t="shared" si="37"/>
        <v>15.633333333333333</v>
      </c>
      <c r="L105" s="23">
        <f t="shared" si="39"/>
        <v>15.6</v>
      </c>
      <c r="M105" s="23">
        <f t="shared" si="40"/>
        <v>15.566666666666666</v>
      </c>
      <c r="N105" s="23">
        <f t="shared" si="41"/>
        <v>15.533333333333333</v>
      </c>
      <c r="O105" s="23">
        <f t="shared" si="42"/>
        <v>15.5</v>
      </c>
      <c r="P105" s="23">
        <f t="shared" si="43"/>
        <v>15.466666666666667</v>
      </c>
      <c r="Q105" s="23">
        <f t="shared" si="44"/>
        <v>15.433333333333334</v>
      </c>
      <c r="R105" s="23">
        <f t="shared" si="45"/>
        <v>15.4</v>
      </c>
      <c r="S105" s="23">
        <f t="shared" si="46"/>
        <v>15.366666666666667</v>
      </c>
      <c r="T105" s="23">
        <f t="shared" si="47"/>
        <v>15.333333333333334</v>
      </c>
      <c r="U105" s="23">
        <f t="shared" si="48"/>
        <v>15.3</v>
      </c>
      <c r="V105" s="23">
        <f t="shared" si="49"/>
        <v>15.266666666666667</v>
      </c>
      <c r="W105" s="23">
        <f t="shared" si="50"/>
        <v>15.233333333333333</v>
      </c>
      <c r="X105" s="23">
        <f t="shared" si="51"/>
        <v>15.2</v>
      </c>
      <c r="Y105" s="23">
        <f t="shared" si="52"/>
        <v>15.166666666666666</v>
      </c>
      <c r="Z105" s="23">
        <f t="shared" si="53"/>
        <v>15.133333333333333</v>
      </c>
      <c r="AA105" s="23">
        <f t="shared" si="54"/>
        <v>15.1</v>
      </c>
      <c r="AB105" s="23">
        <f t="shared" si="55"/>
        <v>15.066666666666666</v>
      </c>
      <c r="AC105" s="23">
        <f t="shared" si="56"/>
        <v>15.033333333333333</v>
      </c>
      <c r="AD105" s="23">
        <f t="shared" si="57"/>
        <v>15</v>
      </c>
      <c r="AE105" s="23">
        <f t="shared" si="58"/>
        <v>14.966666666666667</v>
      </c>
      <c r="AF105" s="23">
        <f t="shared" si="59"/>
        <v>14.933333333333334</v>
      </c>
      <c r="AG105" s="23">
        <f t="shared" si="60"/>
        <v>14.9</v>
      </c>
      <c r="AH105" s="23">
        <f t="shared" si="61"/>
        <v>14.866666666666667</v>
      </c>
      <c r="AI105" s="8"/>
      <c r="AJ105" s="24" t="str">
        <f t="shared" ref="AJ105:AJ133" si="67">FactorNumber(E105)</f>
        <v>1,5,19,25,95,475</v>
      </c>
      <c r="AK105" s="10"/>
      <c r="AL105" s="10"/>
      <c r="AM105" s="10"/>
      <c r="AN105" s="10"/>
      <c r="AO105" s="10"/>
      <c r="AP105" s="10"/>
      <c r="AQ105" s="10"/>
    </row>
    <row r="106" spans="1:43" x14ac:dyDescent="0.45">
      <c r="A106" s="11"/>
      <c r="B106" s="8"/>
      <c r="C106" s="8"/>
      <c r="D106" s="8">
        <v>96</v>
      </c>
      <c r="E106" s="9">
        <f t="shared" si="38"/>
        <v>480</v>
      </c>
      <c r="F106" s="23">
        <f t="shared" si="62"/>
        <v>15.966666666666667</v>
      </c>
      <c r="G106" s="23">
        <f t="shared" si="63"/>
        <v>15.933333333333334</v>
      </c>
      <c r="H106" s="23">
        <f t="shared" si="64"/>
        <v>15.9</v>
      </c>
      <c r="I106" s="23">
        <f t="shared" si="65"/>
        <v>15.866666666666667</v>
      </c>
      <c r="J106" s="23">
        <f t="shared" si="66"/>
        <v>15.833333333333334</v>
      </c>
      <c r="K106" s="23">
        <f t="shared" si="37"/>
        <v>15.8</v>
      </c>
      <c r="L106" s="23">
        <f t="shared" si="39"/>
        <v>15.766666666666667</v>
      </c>
      <c r="M106" s="23">
        <f t="shared" si="40"/>
        <v>15.733333333333333</v>
      </c>
      <c r="N106" s="23">
        <f t="shared" si="41"/>
        <v>15.7</v>
      </c>
      <c r="O106" s="23">
        <f t="shared" si="42"/>
        <v>15.666666666666666</v>
      </c>
      <c r="P106" s="23">
        <f t="shared" si="43"/>
        <v>15.633333333333333</v>
      </c>
      <c r="Q106" s="23">
        <f t="shared" si="44"/>
        <v>15.6</v>
      </c>
      <c r="R106" s="23">
        <f t="shared" si="45"/>
        <v>15.566666666666666</v>
      </c>
      <c r="S106" s="23">
        <f t="shared" si="46"/>
        <v>15.533333333333333</v>
      </c>
      <c r="T106" s="23">
        <f t="shared" si="47"/>
        <v>15.5</v>
      </c>
      <c r="U106" s="23">
        <f t="shared" si="48"/>
        <v>15.466666666666667</v>
      </c>
      <c r="V106" s="23">
        <f t="shared" si="49"/>
        <v>15.433333333333334</v>
      </c>
      <c r="W106" s="23">
        <f t="shared" si="50"/>
        <v>15.4</v>
      </c>
      <c r="X106" s="23">
        <f t="shared" si="51"/>
        <v>15.366666666666667</v>
      </c>
      <c r="Y106" s="23">
        <f t="shared" si="52"/>
        <v>15.333333333333334</v>
      </c>
      <c r="Z106" s="23">
        <f t="shared" si="53"/>
        <v>15.3</v>
      </c>
      <c r="AA106" s="23">
        <f t="shared" si="54"/>
        <v>15.266666666666667</v>
      </c>
      <c r="AB106" s="23">
        <f t="shared" si="55"/>
        <v>15.233333333333333</v>
      </c>
      <c r="AC106" s="23">
        <f t="shared" si="56"/>
        <v>15.2</v>
      </c>
      <c r="AD106" s="23">
        <f t="shared" si="57"/>
        <v>15.166666666666666</v>
      </c>
      <c r="AE106" s="23">
        <f t="shared" si="58"/>
        <v>15.133333333333333</v>
      </c>
      <c r="AF106" s="23">
        <f t="shared" si="59"/>
        <v>15.1</v>
      </c>
      <c r="AG106" s="23">
        <f t="shared" si="60"/>
        <v>15.066666666666666</v>
      </c>
      <c r="AH106" s="23">
        <f t="shared" si="61"/>
        <v>15.033333333333333</v>
      </c>
      <c r="AI106" s="8"/>
      <c r="AJ106" s="24" t="str">
        <f t="shared" si="67"/>
        <v>1,2,3,4,5,6,8,10,12,15,16,20,24,30,32,40,48,60,80,96,120,160,240,480</v>
      </c>
      <c r="AK106" s="10"/>
      <c r="AL106" s="10"/>
      <c r="AM106" s="10"/>
      <c r="AN106" s="10"/>
      <c r="AO106" s="10"/>
      <c r="AP106" s="10"/>
      <c r="AQ106" s="10"/>
    </row>
    <row r="107" spans="1:43" x14ac:dyDescent="0.45">
      <c r="A107" s="11"/>
      <c r="B107" s="8"/>
      <c r="C107" s="8"/>
      <c r="D107" s="8">
        <v>97</v>
      </c>
      <c r="E107" s="9">
        <f t="shared" si="38"/>
        <v>485</v>
      </c>
      <c r="F107" s="23">
        <f t="shared" si="62"/>
        <v>16.133333333333333</v>
      </c>
      <c r="G107" s="23">
        <f t="shared" si="63"/>
        <v>16.100000000000001</v>
      </c>
      <c r="H107" s="23">
        <f t="shared" si="64"/>
        <v>16.066666666666666</v>
      </c>
      <c r="I107" s="23">
        <f t="shared" si="65"/>
        <v>16.033333333333335</v>
      </c>
      <c r="J107" s="23">
        <f t="shared" si="66"/>
        <v>16</v>
      </c>
      <c r="K107" s="23">
        <f t="shared" si="37"/>
        <v>15.966666666666667</v>
      </c>
      <c r="L107" s="23">
        <f t="shared" si="39"/>
        <v>15.933333333333334</v>
      </c>
      <c r="M107" s="23">
        <f t="shared" si="40"/>
        <v>15.9</v>
      </c>
      <c r="N107" s="23">
        <f t="shared" si="41"/>
        <v>15.866666666666667</v>
      </c>
      <c r="O107" s="23">
        <f t="shared" si="42"/>
        <v>15.833333333333334</v>
      </c>
      <c r="P107" s="23">
        <f t="shared" si="43"/>
        <v>15.8</v>
      </c>
      <c r="Q107" s="23">
        <f t="shared" si="44"/>
        <v>15.766666666666667</v>
      </c>
      <c r="R107" s="23">
        <f t="shared" si="45"/>
        <v>15.733333333333333</v>
      </c>
      <c r="S107" s="23">
        <f t="shared" si="46"/>
        <v>15.7</v>
      </c>
      <c r="T107" s="23">
        <f t="shared" si="47"/>
        <v>15.666666666666666</v>
      </c>
      <c r="U107" s="23">
        <f t="shared" si="48"/>
        <v>15.633333333333333</v>
      </c>
      <c r="V107" s="23">
        <f t="shared" si="49"/>
        <v>15.6</v>
      </c>
      <c r="W107" s="23">
        <f t="shared" si="50"/>
        <v>15.566666666666666</v>
      </c>
      <c r="X107" s="23">
        <f t="shared" si="51"/>
        <v>15.533333333333333</v>
      </c>
      <c r="Y107" s="23">
        <f t="shared" si="52"/>
        <v>15.5</v>
      </c>
      <c r="Z107" s="23">
        <f t="shared" si="53"/>
        <v>15.466666666666667</v>
      </c>
      <c r="AA107" s="23">
        <f t="shared" si="54"/>
        <v>15.433333333333334</v>
      </c>
      <c r="AB107" s="23">
        <f t="shared" si="55"/>
        <v>15.4</v>
      </c>
      <c r="AC107" s="23">
        <f t="shared" si="56"/>
        <v>15.366666666666667</v>
      </c>
      <c r="AD107" s="23">
        <f t="shared" si="57"/>
        <v>15.333333333333334</v>
      </c>
      <c r="AE107" s="23">
        <f t="shared" si="58"/>
        <v>15.3</v>
      </c>
      <c r="AF107" s="23">
        <f t="shared" si="59"/>
        <v>15.266666666666667</v>
      </c>
      <c r="AG107" s="23">
        <f t="shared" si="60"/>
        <v>15.233333333333333</v>
      </c>
      <c r="AH107" s="23">
        <f t="shared" si="61"/>
        <v>15.2</v>
      </c>
      <c r="AI107" s="8"/>
      <c r="AJ107" s="24" t="str">
        <f t="shared" si="67"/>
        <v>1,5,97,485</v>
      </c>
      <c r="AK107" s="10"/>
      <c r="AL107" s="10"/>
      <c r="AM107" s="10"/>
      <c r="AN107" s="10"/>
      <c r="AO107" s="10"/>
      <c r="AP107" s="10"/>
      <c r="AQ107" s="10"/>
    </row>
    <row r="108" spans="1:43" x14ac:dyDescent="0.45">
      <c r="A108" s="11"/>
      <c r="B108" s="8"/>
      <c r="C108" s="8"/>
      <c r="D108" s="8">
        <v>98</v>
      </c>
      <c r="E108" s="9">
        <f t="shared" si="38"/>
        <v>490</v>
      </c>
      <c r="F108" s="23">
        <f t="shared" si="62"/>
        <v>16.3</v>
      </c>
      <c r="G108" s="23">
        <f t="shared" si="63"/>
        <v>16.266666666666666</v>
      </c>
      <c r="H108" s="23">
        <f t="shared" si="64"/>
        <v>16.233333333333334</v>
      </c>
      <c r="I108" s="23">
        <f t="shared" si="65"/>
        <v>16.2</v>
      </c>
      <c r="J108" s="23">
        <f t="shared" si="66"/>
        <v>16.166666666666668</v>
      </c>
      <c r="K108" s="23">
        <f t="shared" si="37"/>
        <v>16.133333333333333</v>
      </c>
      <c r="L108" s="23">
        <f t="shared" si="39"/>
        <v>16.100000000000001</v>
      </c>
      <c r="M108" s="23">
        <f t="shared" si="40"/>
        <v>16.066666666666666</v>
      </c>
      <c r="N108" s="23">
        <f t="shared" si="41"/>
        <v>16.033333333333335</v>
      </c>
      <c r="O108" s="23">
        <f t="shared" si="42"/>
        <v>16</v>
      </c>
      <c r="P108" s="23">
        <f t="shared" si="43"/>
        <v>15.966666666666667</v>
      </c>
      <c r="Q108" s="23">
        <f t="shared" si="44"/>
        <v>15.933333333333334</v>
      </c>
      <c r="R108" s="23">
        <f t="shared" si="45"/>
        <v>15.9</v>
      </c>
      <c r="S108" s="23">
        <f t="shared" si="46"/>
        <v>15.866666666666667</v>
      </c>
      <c r="T108" s="23">
        <f t="shared" si="47"/>
        <v>15.833333333333334</v>
      </c>
      <c r="U108" s="23">
        <f t="shared" si="48"/>
        <v>15.8</v>
      </c>
      <c r="V108" s="23">
        <f t="shared" si="49"/>
        <v>15.766666666666667</v>
      </c>
      <c r="W108" s="23">
        <f t="shared" si="50"/>
        <v>15.733333333333333</v>
      </c>
      <c r="X108" s="23">
        <f t="shared" si="51"/>
        <v>15.7</v>
      </c>
      <c r="Y108" s="23">
        <f t="shared" si="52"/>
        <v>15.666666666666666</v>
      </c>
      <c r="Z108" s="23">
        <f t="shared" si="53"/>
        <v>15.633333333333333</v>
      </c>
      <c r="AA108" s="23">
        <f t="shared" si="54"/>
        <v>15.6</v>
      </c>
      <c r="AB108" s="23">
        <f t="shared" si="55"/>
        <v>15.566666666666666</v>
      </c>
      <c r="AC108" s="23">
        <f t="shared" si="56"/>
        <v>15.533333333333333</v>
      </c>
      <c r="AD108" s="23">
        <f t="shared" si="57"/>
        <v>15.5</v>
      </c>
      <c r="AE108" s="23">
        <f t="shared" si="58"/>
        <v>15.466666666666667</v>
      </c>
      <c r="AF108" s="23">
        <f t="shared" si="59"/>
        <v>15.433333333333334</v>
      </c>
      <c r="AG108" s="23">
        <f t="shared" si="60"/>
        <v>15.4</v>
      </c>
      <c r="AH108" s="23">
        <f t="shared" si="61"/>
        <v>15.366666666666667</v>
      </c>
      <c r="AI108" s="8"/>
      <c r="AJ108" s="24" t="str">
        <f t="shared" si="67"/>
        <v>1,2,5,7,10,14,35,49,70,98,245,490</v>
      </c>
      <c r="AK108" s="10"/>
      <c r="AL108" s="10"/>
      <c r="AM108" s="10"/>
      <c r="AN108" s="10"/>
      <c r="AO108" s="10"/>
      <c r="AP108" s="10"/>
      <c r="AQ108" s="10"/>
    </row>
    <row r="109" spans="1:43" x14ac:dyDescent="0.45">
      <c r="A109" s="11"/>
      <c r="B109" s="8"/>
      <c r="C109" s="8"/>
      <c r="D109" s="8">
        <v>99</v>
      </c>
      <c r="E109" s="9">
        <f t="shared" si="38"/>
        <v>495</v>
      </c>
      <c r="F109" s="23">
        <f t="shared" si="62"/>
        <v>16.466666666666665</v>
      </c>
      <c r="G109" s="23">
        <f t="shared" si="63"/>
        <v>16.433333333333334</v>
      </c>
      <c r="H109" s="23">
        <f t="shared" si="64"/>
        <v>16.399999999999999</v>
      </c>
      <c r="I109" s="23">
        <f t="shared" si="65"/>
        <v>16.366666666666667</v>
      </c>
      <c r="J109" s="23">
        <f t="shared" si="66"/>
        <v>16.333333333333332</v>
      </c>
      <c r="K109" s="23">
        <f t="shared" si="37"/>
        <v>16.3</v>
      </c>
      <c r="L109" s="23">
        <f t="shared" si="39"/>
        <v>16.266666666666666</v>
      </c>
      <c r="M109" s="23">
        <f t="shared" si="40"/>
        <v>16.233333333333334</v>
      </c>
      <c r="N109" s="23">
        <f t="shared" si="41"/>
        <v>16.2</v>
      </c>
      <c r="O109" s="23">
        <f t="shared" si="42"/>
        <v>16.166666666666668</v>
      </c>
      <c r="P109" s="23">
        <f t="shared" si="43"/>
        <v>16.133333333333333</v>
      </c>
      <c r="Q109" s="23">
        <f t="shared" si="44"/>
        <v>16.100000000000001</v>
      </c>
      <c r="R109" s="23">
        <f t="shared" si="45"/>
        <v>16.066666666666666</v>
      </c>
      <c r="S109" s="23">
        <f t="shared" si="46"/>
        <v>16.033333333333335</v>
      </c>
      <c r="T109" s="23">
        <f t="shared" si="47"/>
        <v>16</v>
      </c>
      <c r="U109" s="23">
        <f t="shared" si="48"/>
        <v>15.966666666666667</v>
      </c>
      <c r="V109" s="23">
        <f t="shared" si="49"/>
        <v>15.933333333333334</v>
      </c>
      <c r="W109" s="23">
        <f t="shared" si="50"/>
        <v>15.9</v>
      </c>
      <c r="X109" s="23">
        <f t="shared" si="51"/>
        <v>15.866666666666667</v>
      </c>
      <c r="Y109" s="23">
        <f t="shared" si="52"/>
        <v>15.833333333333334</v>
      </c>
      <c r="Z109" s="23">
        <f t="shared" si="53"/>
        <v>15.8</v>
      </c>
      <c r="AA109" s="23">
        <f t="shared" si="54"/>
        <v>15.766666666666667</v>
      </c>
      <c r="AB109" s="23">
        <f t="shared" si="55"/>
        <v>15.733333333333333</v>
      </c>
      <c r="AC109" s="23">
        <f t="shared" si="56"/>
        <v>15.7</v>
      </c>
      <c r="AD109" s="23">
        <f t="shared" si="57"/>
        <v>15.666666666666666</v>
      </c>
      <c r="AE109" s="23">
        <f t="shared" si="58"/>
        <v>15.633333333333333</v>
      </c>
      <c r="AF109" s="23">
        <f t="shared" si="59"/>
        <v>15.6</v>
      </c>
      <c r="AG109" s="23">
        <f t="shared" si="60"/>
        <v>15.566666666666666</v>
      </c>
      <c r="AH109" s="23">
        <f t="shared" si="61"/>
        <v>15.533333333333333</v>
      </c>
      <c r="AI109" s="8"/>
      <c r="AJ109" s="24" t="str">
        <f t="shared" si="67"/>
        <v>1,3,5,9,11,15,33,45,55,99,165,495</v>
      </c>
      <c r="AK109" s="10"/>
      <c r="AL109" s="10"/>
      <c r="AM109" s="10"/>
      <c r="AN109" s="10"/>
      <c r="AO109" s="10"/>
      <c r="AP109" s="10"/>
      <c r="AQ109" s="10"/>
    </row>
    <row r="110" spans="1:43" x14ac:dyDescent="0.45">
      <c r="A110" s="11"/>
      <c r="B110" s="8"/>
      <c r="C110" s="8"/>
      <c r="D110" s="8">
        <v>100</v>
      </c>
      <c r="E110" s="9">
        <f t="shared" si="38"/>
        <v>500</v>
      </c>
      <c r="F110" s="23">
        <f t="shared" si="62"/>
        <v>16.633333333333333</v>
      </c>
      <c r="G110" s="23">
        <f t="shared" si="63"/>
        <v>16.600000000000001</v>
      </c>
      <c r="H110" s="23">
        <f t="shared" si="64"/>
        <v>16.566666666666666</v>
      </c>
      <c r="I110" s="23">
        <f t="shared" si="65"/>
        <v>16.533333333333335</v>
      </c>
      <c r="J110" s="23">
        <f t="shared" si="66"/>
        <v>16.5</v>
      </c>
      <c r="K110" s="23">
        <f t="shared" si="37"/>
        <v>16.466666666666665</v>
      </c>
      <c r="L110" s="23">
        <f t="shared" si="39"/>
        <v>16.433333333333334</v>
      </c>
      <c r="M110" s="23">
        <f t="shared" si="40"/>
        <v>16.399999999999999</v>
      </c>
      <c r="N110" s="23">
        <f t="shared" si="41"/>
        <v>16.366666666666667</v>
      </c>
      <c r="O110" s="23">
        <f t="shared" si="42"/>
        <v>16.333333333333332</v>
      </c>
      <c r="P110" s="23">
        <f t="shared" si="43"/>
        <v>16.3</v>
      </c>
      <c r="Q110" s="23">
        <f t="shared" si="44"/>
        <v>16.266666666666666</v>
      </c>
      <c r="R110" s="23">
        <f t="shared" si="45"/>
        <v>16.233333333333334</v>
      </c>
      <c r="S110" s="23">
        <f t="shared" si="46"/>
        <v>16.2</v>
      </c>
      <c r="T110" s="23">
        <f t="shared" si="47"/>
        <v>16.166666666666668</v>
      </c>
      <c r="U110" s="23">
        <f t="shared" si="48"/>
        <v>16.133333333333333</v>
      </c>
      <c r="V110" s="23">
        <f t="shared" si="49"/>
        <v>16.100000000000001</v>
      </c>
      <c r="W110" s="23">
        <f t="shared" si="50"/>
        <v>16.066666666666666</v>
      </c>
      <c r="X110" s="23">
        <f t="shared" si="51"/>
        <v>16.033333333333335</v>
      </c>
      <c r="Y110" s="23">
        <f t="shared" si="52"/>
        <v>16</v>
      </c>
      <c r="Z110" s="23">
        <f t="shared" si="53"/>
        <v>15.966666666666667</v>
      </c>
      <c r="AA110" s="23">
        <f t="shared" si="54"/>
        <v>15.933333333333334</v>
      </c>
      <c r="AB110" s="23">
        <f t="shared" si="55"/>
        <v>15.9</v>
      </c>
      <c r="AC110" s="23">
        <f t="shared" si="56"/>
        <v>15.866666666666667</v>
      </c>
      <c r="AD110" s="23">
        <f t="shared" si="57"/>
        <v>15.833333333333334</v>
      </c>
      <c r="AE110" s="23">
        <f t="shared" si="58"/>
        <v>15.8</v>
      </c>
      <c r="AF110" s="23">
        <f t="shared" si="59"/>
        <v>15.766666666666667</v>
      </c>
      <c r="AG110" s="23">
        <f t="shared" si="60"/>
        <v>15.733333333333333</v>
      </c>
      <c r="AH110" s="23">
        <f t="shared" si="61"/>
        <v>15.7</v>
      </c>
      <c r="AI110" s="8"/>
      <c r="AJ110" s="24" t="str">
        <f t="shared" si="67"/>
        <v>1,2,4,5,10,20,25,50,100,125,250,500</v>
      </c>
      <c r="AK110" s="10"/>
      <c r="AL110" s="10"/>
      <c r="AM110" s="10"/>
      <c r="AN110" s="10"/>
      <c r="AO110" s="10"/>
      <c r="AP110" s="10"/>
      <c r="AQ110" s="10"/>
    </row>
    <row r="111" spans="1:43" x14ac:dyDescent="0.45">
      <c r="A111" s="11"/>
      <c r="B111" s="8"/>
      <c r="C111" s="8"/>
      <c r="D111" s="8">
        <v>101</v>
      </c>
      <c r="E111" s="9">
        <f t="shared" si="38"/>
        <v>505</v>
      </c>
      <c r="F111" s="23">
        <f t="shared" si="62"/>
        <v>16.8</v>
      </c>
      <c r="G111" s="23">
        <f t="shared" si="63"/>
        <v>16.766666666666666</v>
      </c>
      <c r="H111" s="23">
        <f t="shared" si="64"/>
        <v>16.733333333333334</v>
      </c>
      <c r="I111" s="23">
        <f t="shared" si="65"/>
        <v>16.7</v>
      </c>
      <c r="J111" s="23">
        <f t="shared" si="66"/>
        <v>16.666666666666668</v>
      </c>
      <c r="K111" s="23">
        <f t="shared" si="37"/>
        <v>16.633333333333333</v>
      </c>
      <c r="L111" s="23">
        <f t="shared" si="39"/>
        <v>16.600000000000001</v>
      </c>
      <c r="M111" s="23">
        <f t="shared" si="40"/>
        <v>16.566666666666666</v>
      </c>
      <c r="N111" s="23">
        <f t="shared" si="41"/>
        <v>16.533333333333335</v>
      </c>
      <c r="O111" s="23">
        <f t="shared" si="42"/>
        <v>16.5</v>
      </c>
      <c r="P111" s="23">
        <f t="shared" si="43"/>
        <v>16.466666666666665</v>
      </c>
      <c r="Q111" s="23">
        <f t="shared" si="44"/>
        <v>16.433333333333334</v>
      </c>
      <c r="R111" s="23">
        <f t="shared" si="45"/>
        <v>16.399999999999999</v>
      </c>
      <c r="S111" s="23">
        <f t="shared" si="46"/>
        <v>16.366666666666667</v>
      </c>
      <c r="T111" s="23">
        <f t="shared" si="47"/>
        <v>16.333333333333332</v>
      </c>
      <c r="U111" s="23">
        <f t="shared" si="48"/>
        <v>16.3</v>
      </c>
      <c r="V111" s="23">
        <f t="shared" si="49"/>
        <v>16.266666666666666</v>
      </c>
      <c r="W111" s="23">
        <f t="shared" si="50"/>
        <v>16.233333333333334</v>
      </c>
      <c r="X111" s="23">
        <f t="shared" si="51"/>
        <v>16.2</v>
      </c>
      <c r="Y111" s="23">
        <f t="shared" si="52"/>
        <v>16.166666666666668</v>
      </c>
      <c r="Z111" s="23">
        <f t="shared" si="53"/>
        <v>16.133333333333333</v>
      </c>
      <c r="AA111" s="23">
        <f t="shared" si="54"/>
        <v>16.100000000000001</v>
      </c>
      <c r="AB111" s="23">
        <f t="shared" si="55"/>
        <v>16.066666666666666</v>
      </c>
      <c r="AC111" s="23">
        <f t="shared" si="56"/>
        <v>16.033333333333335</v>
      </c>
      <c r="AD111" s="23">
        <f t="shared" si="57"/>
        <v>16</v>
      </c>
      <c r="AE111" s="23">
        <f t="shared" si="58"/>
        <v>15.966666666666667</v>
      </c>
      <c r="AF111" s="23">
        <f t="shared" si="59"/>
        <v>15.933333333333334</v>
      </c>
      <c r="AG111" s="23">
        <f t="shared" si="60"/>
        <v>15.9</v>
      </c>
      <c r="AH111" s="23">
        <f t="shared" si="61"/>
        <v>15.866666666666667</v>
      </c>
      <c r="AI111" s="8"/>
      <c r="AJ111" s="24" t="str">
        <f t="shared" si="67"/>
        <v>1,5,101,505</v>
      </c>
      <c r="AK111" s="10"/>
      <c r="AL111" s="10"/>
      <c r="AM111" s="10"/>
      <c r="AN111" s="10"/>
      <c r="AO111" s="10"/>
      <c r="AP111" s="10"/>
      <c r="AQ111" s="10"/>
    </row>
    <row r="112" spans="1:43" x14ac:dyDescent="0.45">
      <c r="A112" s="11"/>
      <c r="B112" s="8"/>
      <c r="C112" s="8"/>
      <c r="D112" s="8">
        <v>102</v>
      </c>
      <c r="E112" s="9">
        <f t="shared" si="38"/>
        <v>510</v>
      </c>
      <c r="F112" s="23">
        <f t="shared" si="62"/>
        <v>16.966666666666665</v>
      </c>
      <c r="G112" s="23">
        <f t="shared" si="63"/>
        <v>16.933333333333334</v>
      </c>
      <c r="H112" s="23">
        <f t="shared" si="64"/>
        <v>16.899999999999999</v>
      </c>
      <c r="I112" s="23">
        <f t="shared" si="65"/>
        <v>16.866666666666667</v>
      </c>
      <c r="J112" s="23">
        <f t="shared" si="66"/>
        <v>16.833333333333332</v>
      </c>
      <c r="K112" s="23">
        <f t="shared" si="37"/>
        <v>16.8</v>
      </c>
      <c r="L112" s="23">
        <f t="shared" si="39"/>
        <v>16.766666666666666</v>
      </c>
      <c r="M112" s="23">
        <f t="shared" si="40"/>
        <v>16.733333333333334</v>
      </c>
      <c r="N112" s="23">
        <f t="shared" si="41"/>
        <v>16.7</v>
      </c>
      <c r="O112" s="23">
        <f t="shared" si="42"/>
        <v>16.666666666666668</v>
      </c>
      <c r="P112" s="23">
        <f t="shared" si="43"/>
        <v>16.633333333333333</v>
      </c>
      <c r="Q112" s="23">
        <f t="shared" si="44"/>
        <v>16.600000000000001</v>
      </c>
      <c r="R112" s="23">
        <f t="shared" si="45"/>
        <v>16.566666666666666</v>
      </c>
      <c r="S112" s="23">
        <f t="shared" si="46"/>
        <v>16.533333333333335</v>
      </c>
      <c r="T112" s="23">
        <f t="shared" si="47"/>
        <v>16.5</v>
      </c>
      <c r="U112" s="23">
        <f t="shared" si="48"/>
        <v>16.466666666666665</v>
      </c>
      <c r="V112" s="23">
        <f t="shared" si="49"/>
        <v>16.433333333333334</v>
      </c>
      <c r="W112" s="23">
        <f t="shared" si="50"/>
        <v>16.399999999999999</v>
      </c>
      <c r="X112" s="23">
        <f t="shared" si="51"/>
        <v>16.366666666666667</v>
      </c>
      <c r="Y112" s="23">
        <f t="shared" si="52"/>
        <v>16.333333333333332</v>
      </c>
      <c r="Z112" s="23">
        <f t="shared" si="53"/>
        <v>16.3</v>
      </c>
      <c r="AA112" s="23">
        <f t="shared" si="54"/>
        <v>16.266666666666666</v>
      </c>
      <c r="AB112" s="23">
        <f t="shared" si="55"/>
        <v>16.233333333333334</v>
      </c>
      <c r="AC112" s="23">
        <f t="shared" si="56"/>
        <v>16.2</v>
      </c>
      <c r="AD112" s="23">
        <f t="shared" si="57"/>
        <v>16.166666666666668</v>
      </c>
      <c r="AE112" s="23">
        <f t="shared" si="58"/>
        <v>16.133333333333333</v>
      </c>
      <c r="AF112" s="23">
        <f t="shared" si="59"/>
        <v>16.100000000000001</v>
      </c>
      <c r="AG112" s="23">
        <f t="shared" si="60"/>
        <v>16.066666666666666</v>
      </c>
      <c r="AH112" s="23">
        <f t="shared" si="61"/>
        <v>16.033333333333335</v>
      </c>
      <c r="AI112" s="8"/>
      <c r="AJ112" s="24" t="str">
        <f t="shared" si="67"/>
        <v>1,2,3,5,6,10,15,17,30,34,51,85,102,170,255,510</v>
      </c>
      <c r="AK112" s="10"/>
      <c r="AL112" s="10"/>
      <c r="AM112" s="10"/>
      <c r="AN112" s="10"/>
      <c r="AO112" s="10"/>
      <c r="AP112" s="10"/>
      <c r="AQ112" s="10"/>
    </row>
    <row r="113" spans="1:43" x14ac:dyDescent="0.45">
      <c r="A113" s="11"/>
      <c r="B113" s="8"/>
      <c r="C113" s="8"/>
      <c r="D113" s="8">
        <v>103</v>
      </c>
      <c r="E113" s="9">
        <f t="shared" si="38"/>
        <v>515</v>
      </c>
      <c r="F113" s="23">
        <f t="shared" si="62"/>
        <v>17.133333333333333</v>
      </c>
      <c r="G113" s="23">
        <f t="shared" si="63"/>
        <v>17.100000000000001</v>
      </c>
      <c r="H113" s="23">
        <f t="shared" si="64"/>
        <v>17.066666666666666</v>
      </c>
      <c r="I113" s="23">
        <f t="shared" si="65"/>
        <v>17.033333333333335</v>
      </c>
      <c r="J113" s="23">
        <f t="shared" si="66"/>
        <v>17</v>
      </c>
      <c r="K113" s="23">
        <f t="shared" si="37"/>
        <v>16.966666666666665</v>
      </c>
      <c r="L113" s="23">
        <f t="shared" si="39"/>
        <v>16.933333333333334</v>
      </c>
      <c r="M113" s="23">
        <f t="shared" si="40"/>
        <v>16.899999999999999</v>
      </c>
      <c r="N113" s="23">
        <f t="shared" si="41"/>
        <v>16.866666666666667</v>
      </c>
      <c r="O113" s="23">
        <f t="shared" si="42"/>
        <v>16.833333333333332</v>
      </c>
      <c r="P113" s="23">
        <f t="shared" si="43"/>
        <v>16.8</v>
      </c>
      <c r="Q113" s="23">
        <f t="shared" si="44"/>
        <v>16.766666666666666</v>
      </c>
      <c r="R113" s="23">
        <f t="shared" si="45"/>
        <v>16.733333333333334</v>
      </c>
      <c r="S113" s="23">
        <f t="shared" si="46"/>
        <v>16.7</v>
      </c>
      <c r="T113" s="23">
        <f t="shared" si="47"/>
        <v>16.666666666666668</v>
      </c>
      <c r="U113" s="23">
        <f t="shared" si="48"/>
        <v>16.633333333333333</v>
      </c>
      <c r="V113" s="23">
        <f t="shared" si="49"/>
        <v>16.600000000000001</v>
      </c>
      <c r="W113" s="23">
        <f t="shared" si="50"/>
        <v>16.566666666666666</v>
      </c>
      <c r="X113" s="23">
        <f t="shared" si="51"/>
        <v>16.533333333333335</v>
      </c>
      <c r="Y113" s="23">
        <f t="shared" si="52"/>
        <v>16.5</v>
      </c>
      <c r="Z113" s="23">
        <f t="shared" si="53"/>
        <v>16.466666666666665</v>
      </c>
      <c r="AA113" s="23">
        <f t="shared" si="54"/>
        <v>16.433333333333334</v>
      </c>
      <c r="AB113" s="23">
        <f t="shared" si="55"/>
        <v>16.399999999999999</v>
      </c>
      <c r="AC113" s="23">
        <f t="shared" si="56"/>
        <v>16.366666666666667</v>
      </c>
      <c r="AD113" s="23">
        <f t="shared" si="57"/>
        <v>16.333333333333332</v>
      </c>
      <c r="AE113" s="23">
        <f t="shared" si="58"/>
        <v>16.3</v>
      </c>
      <c r="AF113" s="23">
        <f t="shared" si="59"/>
        <v>16.266666666666666</v>
      </c>
      <c r="AG113" s="23">
        <f t="shared" si="60"/>
        <v>16.233333333333334</v>
      </c>
      <c r="AH113" s="23">
        <f t="shared" si="61"/>
        <v>16.2</v>
      </c>
      <c r="AI113" s="8"/>
      <c r="AJ113" s="24" t="str">
        <f t="shared" si="67"/>
        <v>1,5,103,515</v>
      </c>
      <c r="AK113" s="10"/>
      <c r="AL113" s="10"/>
      <c r="AM113" s="10"/>
      <c r="AN113" s="10"/>
      <c r="AO113" s="10"/>
      <c r="AP113" s="10"/>
      <c r="AQ113" s="10"/>
    </row>
    <row r="114" spans="1:43" x14ac:dyDescent="0.45">
      <c r="A114" s="11"/>
      <c r="B114" s="8"/>
      <c r="C114" s="8"/>
      <c r="D114" s="8">
        <v>104</v>
      </c>
      <c r="E114" s="9">
        <f t="shared" si="38"/>
        <v>520</v>
      </c>
      <c r="F114" s="23">
        <f t="shared" si="62"/>
        <v>17.3</v>
      </c>
      <c r="G114" s="23">
        <f t="shared" si="63"/>
        <v>17.266666666666666</v>
      </c>
      <c r="H114" s="23">
        <f t="shared" si="64"/>
        <v>17.233333333333334</v>
      </c>
      <c r="I114" s="23">
        <f t="shared" si="65"/>
        <v>17.2</v>
      </c>
      <c r="J114" s="23">
        <f t="shared" si="66"/>
        <v>17.166666666666668</v>
      </c>
      <c r="K114" s="23">
        <f t="shared" si="37"/>
        <v>17.133333333333333</v>
      </c>
      <c r="L114" s="23">
        <f t="shared" si="39"/>
        <v>17.100000000000001</v>
      </c>
      <c r="M114" s="23">
        <f t="shared" si="40"/>
        <v>17.066666666666666</v>
      </c>
      <c r="N114" s="23">
        <f t="shared" si="41"/>
        <v>17.033333333333335</v>
      </c>
      <c r="O114" s="23">
        <f t="shared" si="42"/>
        <v>17</v>
      </c>
      <c r="P114" s="23">
        <f t="shared" si="43"/>
        <v>16.966666666666665</v>
      </c>
      <c r="Q114" s="23">
        <f t="shared" si="44"/>
        <v>16.933333333333334</v>
      </c>
      <c r="R114" s="23">
        <f t="shared" si="45"/>
        <v>16.899999999999999</v>
      </c>
      <c r="S114" s="23">
        <f t="shared" si="46"/>
        <v>16.866666666666667</v>
      </c>
      <c r="T114" s="23">
        <f t="shared" si="47"/>
        <v>16.833333333333332</v>
      </c>
      <c r="U114" s="23">
        <f t="shared" si="48"/>
        <v>16.8</v>
      </c>
      <c r="V114" s="23">
        <f t="shared" si="49"/>
        <v>16.766666666666666</v>
      </c>
      <c r="W114" s="23">
        <f t="shared" si="50"/>
        <v>16.733333333333334</v>
      </c>
      <c r="X114" s="23">
        <f t="shared" si="51"/>
        <v>16.7</v>
      </c>
      <c r="Y114" s="23">
        <f t="shared" si="52"/>
        <v>16.666666666666668</v>
      </c>
      <c r="Z114" s="23">
        <f t="shared" si="53"/>
        <v>16.633333333333333</v>
      </c>
      <c r="AA114" s="23">
        <f t="shared" si="54"/>
        <v>16.600000000000001</v>
      </c>
      <c r="AB114" s="23">
        <f t="shared" si="55"/>
        <v>16.566666666666666</v>
      </c>
      <c r="AC114" s="23">
        <f t="shared" si="56"/>
        <v>16.533333333333335</v>
      </c>
      <c r="AD114" s="23">
        <f t="shared" si="57"/>
        <v>16.5</v>
      </c>
      <c r="AE114" s="23">
        <f t="shared" si="58"/>
        <v>16.466666666666665</v>
      </c>
      <c r="AF114" s="23">
        <f t="shared" si="59"/>
        <v>16.433333333333334</v>
      </c>
      <c r="AG114" s="23">
        <f t="shared" si="60"/>
        <v>16.399999999999999</v>
      </c>
      <c r="AH114" s="23">
        <f t="shared" si="61"/>
        <v>16.366666666666667</v>
      </c>
      <c r="AI114" s="8"/>
      <c r="AJ114" s="24" t="str">
        <f t="shared" si="67"/>
        <v>1,2,4,5,8,10,13,20,26,40,52,65,104,130,260,520</v>
      </c>
      <c r="AK114" s="10"/>
      <c r="AL114" s="10"/>
      <c r="AM114" s="10"/>
      <c r="AN114" s="10"/>
      <c r="AO114" s="10"/>
      <c r="AP114" s="10"/>
      <c r="AQ114" s="10"/>
    </row>
    <row r="115" spans="1:43" x14ac:dyDescent="0.45">
      <c r="A115" s="11"/>
      <c r="B115" s="8"/>
      <c r="C115" s="8"/>
      <c r="D115" s="8">
        <v>105</v>
      </c>
      <c r="E115" s="9">
        <f t="shared" si="38"/>
        <v>525</v>
      </c>
      <c r="F115" s="23">
        <f t="shared" si="62"/>
        <v>17.466666666666665</v>
      </c>
      <c r="G115" s="23">
        <f t="shared" si="63"/>
        <v>17.433333333333334</v>
      </c>
      <c r="H115" s="23">
        <f t="shared" si="64"/>
        <v>17.399999999999999</v>
      </c>
      <c r="I115" s="23">
        <f t="shared" si="65"/>
        <v>17.366666666666667</v>
      </c>
      <c r="J115" s="23">
        <f t="shared" si="66"/>
        <v>17.333333333333332</v>
      </c>
      <c r="K115" s="23">
        <f t="shared" si="37"/>
        <v>17.3</v>
      </c>
      <c r="L115" s="23">
        <f t="shared" si="39"/>
        <v>17.266666666666666</v>
      </c>
      <c r="M115" s="23">
        <f t="shared" si="40"/>
        <v>17.233333333333334</v>
      </c>
      <c r="N115" s="23">
        <f t="shared" si="41"/>
        <v>17.2</v>
      </c>
      <c r="O115" s="23">
        <f t="shared" si="42"/>
        <v>17.166666666666668</v>
      </c>
      <c r="P115" s="23">
        <f t="shared" si="43"/>
        <v>17.133333333333333</v>
      </c>
      <c r="Q115" s="23">
        <f t="shared" si="44"/>
        <v>17.100000000000001</v>
      </c>
      <c r="R115" s="23">
        <f t="shared" si="45"/>
        <v>17.066666666666666</v>
      </c>
      <c r="S115" s="23">
        <f t="shared" si="46"/>
        <v>17.033333333333335</v>
      </c>
      <c r="T115" s="23">
        <f t="shared" si="47"/>
        <v>17</v>
      </c>
      <c r="U115" s="23">
        <f t="shared" si="48"/>
        <v>16.966666666666665</v>
      </c>
      <c r="V115" s="23">
        <f t="shared" si="49"/>
        <v>16.933333333333334</v>
      </c>
      <c r="W115" s="23">
        <f t="shared" si="50"/>
        <v>16.899999999999999</v>
      </c>
      <c r="X115" s="23">
        <f t="shared" si="51"/>
        <v>16.866666666666667</v>
      </c>
      <c r="Y115" s="23">
        <f t="shared" si="52"/>
        <v>16.833333333333332</v>
      </c>
      <c r="Z115" s="23">
        <f t="shared" si="53"/>
        <v>16.8</v>
      </c>
      <c r="AA115" s="23">
        <f t="shared" si="54"/>
        <v>16.766666666666666</v>
      </c>
      <c r="AB115" s="23">
        <f t="shared" si="55"/>
        <v>16.733333333333334</v>
      </c>
      <c r="AC115" s="23">
        <f t="shared" si="56"/>
        <v>16.7</v>
      </c>
      <c r="AD115" s="23">
        <f t="shared" si="57"/>
        <v>16.666666666666668</v>
      </c>
      <c r="AE115" s="23">
        <f t="shared" si="58"/>
        <v>16.633333333333333</v>
      </c>
      <c r="AF115" s="23">
        <f t="shared" si="59"/>
        <v>16.600000000000001</v>
      </c>
      <c r="AG115" s="23">
        <f t="shared" si="60"/>
        <v>16.566666666666666</v>
      </c>
      <c r="AH115" s="23">
        <f t="shared" si="61"/>
        <v>16.533333333333335</v>
      </c>
      <c r="AI115" s="8"/>
      <c r="AJ115" s="24" t="str">
        <f t="shared" si="67"/>
        <v>1,3,5,7,15,21,25,35,75,105,175,525</v>
      </c>
      <c r="AK115" s="10"/>
      <c r="AL115" s="10"/>
      <c r="AM115" s="10"/>
      <c r="AN115" s="10"/>
      <c r="AO115" s="10"/>
      <c r="AP115" s="10"/>
      <c r="AQ115" s="10"/>
    </row>
    <row r="116" spans="1:43" x14ac:dyDescent="0.45">
      <c r="A116" s="11"/>
      <c r="B116" s="8"/>
      <c r="C116" s="8"/>
      <c r="D116" s="8">
        <v>106</v>
      </c>
      <c r="E116" s="9">
        <f t="shared" si="38"/>
        <v>530</v>
      </c>
      <c r="F116" s="23">
        <f t="shared" si="62"/>
        <v>17.633333333333333</v>
      </c>
      <c r="G116" s="23">
        <f t="shared" si="63"/>
        <v>17.600000000000001</v>
      </c>
      <c r="H116" s="23">
        <f t="shared" si="64"/>
        <v>17.566666666666666</v>
      </c>
      <c r="I116" s="23">
        <f t="shared" si="65"/>
        <v>17.533333333333335</v>
      </c>
      <c r="J116" s="23">
        <f t="shared" si="66"/>
        <v>17.5</v>
      </c>
      <c r="K116" s="23">
        <f t="shared" si="37"/>
        <v>17.466666666666665</v>
      </c>
      <c r="L116" s="23">
        <f t="shared" si="39"/>
        <v>17.433333333333334</v>
      </c>
      <c r="M116" s="23">
        <f t="shared" si="40"/>
        <v>17.399999999999999</v>
      </c>
      <c r="N116" s="23">
        <f t="shared" si="41"/>
        <v>17.366666666666667</v>
      </c>
      <c r="O116" s="23">
        <f t="shared" si="42"/>
        <v>17.333333333333332</v>
      </c>
      <c r="P116" s="23">
        <f t="shared" si="43"/>
        <v>17.3</v>
      </c>
      <c r="Q116" s="23">
        <f t="shared" si="44"/>
        <v>17.266666666666666</v>
      </c>
      <c r="R116" s="23">
        <f t="shared" si="45"/>
        <v>17.233333333333334</v>
      </c>
      <c r="S116" s="23">
        <f t="shared" si="46"/>
        <v>17.2</v>
      </c>
      <c r="T116" s="23">
        <f t="shared" si="47"/>
        <v>17.166666666666668</v>
      </c>
      <c r="U116" s="23">
        <f t="shared" si="48"/>
        <v>17.133333333333333</v>
      </c>
      <c r="V116" s="23">
        <f t="shared" si="49"/>
        <v>17.100000000000001</v>
      </c>
      <c r="W116" s="23">
        <f t="shared" si="50"/>
        <v>17.066666666666666</v>
      </c>
      <c r="X116" s="23">
        <f t="shared" si="51"/>
        <v>17.033333333333335</v>
      </c>
      <c r="Y116" s="23">
        <f t="shared" si="52"/>
        <v>17</v>
      </c>
      <c r="Z116" s="23">
        <f t="shared" si="53"/>
        <v>16.966666666666665</v>
      </c>
      <c r="AA116" s="23">
        <f t="shared" si="54"/>
        <v>16.933333333333334</v>
      </c>
      <c r="AB116" s="23">
        <f t="shared" si="55"/>
        <v>16.899999999999999</v>
      </c>
      <c r="AC116" s="23">
        <f t="shared" si="56"/>
        <v>16.866666666666667</v>
      </c>
      <c r="AD116" s="23">
        <f t="shared" si="57"/>
        <v>16.833333333333332</v>
      </c>
      <c r="AE116" s="23">
        <f t="shared" si="58"/>
        <v>16.8</v>
      </c>
      <c r="AF116" s="23">
        <f t="shared" si="59"/>
        <v>16.766666666666666</v>
      </c>
      <c r="AG116" s="23">
        <f t="shared" si="60"/>
        <v>16.733333333333334</v>
      </c>
      <c r="AH116" s="23">
        <f t="shared" si="61"/>
        <v>16.7</v>
      </c>
      <c r="AI116" s="8"/>
      <c r="AJ116" s="24" t="str">
        <f t="shared" si="67"/>
        <v>1,2,5,10,53,106,265,530</v>
      </c>
      <c r="AK116" s="10"/>
      <c r="AL116" s="10"/>
      <c r="AM116" s="10"/>
      <c r="AN116" s="10"/>
      <c r="AO116" s="10"/>
      <c r="AP116" s="10"/>
      <c r="AQ116" s="10"/>
    </row>
    <row r="117" spans="1:43" x14ac:dyDescent="0.45">
      <c r="A117" s="11"/>
      <c r="B117" s="8"/>
      <c r="C117" s="8"/>
      <c r="D117" s="8">
        <v>107</v>
      </c>
      <c r="E117" s="9">
        <f t="shared" si="38"/>
        <v>535</v>
      </c>
      <c r="F117" s="23">
        <f t="shared" si="62"/>
        <v>17.8</v>
      </c>
      <c r="G117" s="23">
        <f t="shared" si="63"/>
        <v>17.766666666666666</v>
      </c>
      <c r="H117" s="23">
        <f t="shared" si="64"/>
        <v>17.733333333333334</v>
      </c>
      <c r="I117" s="23">
        <f t="shared" si="65"/>
        <v>17.7</v>
      </c>
      <c r="J117" s="23">
        <f t="shared" si="66"/>
        <v>17.666666666666668</v>
      </c>
      <c r="K117" s="23">
        <f t="shared" si="37"/>
        <v>17.633333333333333</v>
      </c>
      <c r="L117" s="23">
        <f t="shared" si="39"/>
        <v>17.600000000000001</v>
      </c>
      <c r="M117" s="23">
        <f t="shared" si="40"/>
        <v>17.566666666666666</v>
      </c>
      <c r="N117" s="23">
        <f t="shared" si="41"/>
        <v>17.533333333333335</v>
      </c>
      <c r="O117" s="23">
        <f t="shared" si="42"/>
        <v>17.5</v>
      </c>
      <c r="P117" s="23">
        <f t="shared" si="43"/>
        <v>17.466666666666665</v>
      </c>
      <c r="Q117" s="23">
        <f t="shared" si="44"/>
        <v>17.433333333333334</v>
      </c>
      <c r="R117" s="23">
        <f t="shared" si="45"/>
        <v>17.399999999999999</v>
      </c>
      <c r="S117" s="23">
        <f t="shared" si="46"/>
        <v>17.366666666666667</v>
      </c>
      <c r="T117" s="23">
        <f t="shared" si="47"/>
        <v>17.333333333333332</v>
      </c>
      <c r="U117" s="23">
        <f t="shared" si="48"/>
        <v>17.3</v>
      </c>
      <c r="V117" s="23">
        <f t="shared" si="49"/>
        <v>17.266666666666666</v>
      </c>
      <c r="W117" s="23">
        <f t="shared" si="50"/>
        <v>17.233333333333334</v>
      </c>
      <c r="X117" s="23">
        <f t="shared" si="51"/>
        <v>17.2</v>
      </c>
      <c r="Y117" s="23">
        <f t="shared" si="52"/>
        <v>17.166666666666668</v>
      </c>
      <c r="Z117" s="23">
        <f t="shared" si="53"/>
        <v>17.133333333333333</v>
      </c>
      <c r="AA117" s="23">
        <f t="shared" si="54"/>
        <v>17.100000000000001</v>
      </c>
      <c r="AB117" s="23">
        <f t="shared" si="55"/>
        <v>17.066666666666666</v>
      </c>
      <c r="AC117" s="23">
        <f t="shared" si="56"/>
        <v>17.033333333333335</v>
      </c>
      <c r="AD117" s="23">
        <f t="shared" si="57"/>
        <v>17</v>
      </c>
      <c r="AE117" s="23">
        <f t="shared" si="58"/>
        <v>16.966666666666665</v>
      </c>
      <c r="AF117" s="23">
        <f t="shared" si="59"/>
        <v>16.933333333333334</v>
      </c>
      <c r="AG117" s="23">
        <f t="shared" si="60"/>
        <v>16.899999999999999</v>
      </c>
      <c r="AH117" s="23">
        <f t="shared" si="61"/>
        <v>16.866666666666667</v>
      </c>
      <c r="AI117" s="8"/>
      <c r="AJ117" s="24" t="str">
        <f t="shared" si="67"/>
        <v>1,5,107,535</v>
      </c>
      <c r="AK117" s="10"/>
      <c r="AL117" s="10"/>
      <c r="AM117" s="10"/>
      <c r="AN117" s="10"/>
      <c r="AO117" s="10"/>
      <c r="AP117" s="10"/>
      <c r="AQ117" s="10"/>
    </row>
    <row r="118" spans="1:43" x14ac:dyDescent="0.45">
      <c r="A118" s="11"/>
      <c r="B118" s="8"/>
      <c r="C118" s="8"/>
      <c r="D118" s="8">
        <v>108</v>
      </c>
      <c r="E118" s="9">
        <f t="shared" si="38"/>
        <v>540</v>
      </c>
      <c r="F118" s="23">
        <f t="shared" si="62"/>
        <v>17.966666666666665</v>
      </c>
      <c r="G118" s="23">
        <f t="shared" si="63"/>
        <v>17.933333333333334</v>
      </c>
      <c r="H118" s="23">
        <f t="shared" si="64"/>
        <v>17.899999999999999</v>
      </c>
      <c r="I118" s="23">
        <f t="shared" si="65"/>
        <v>17.866666666666667</v>
      </c>
      <c r="J118" s="23">
        <f t="shared" si="66"/>
        <v>17.833333333333332</v>
      </c>
      <c r="K118" s="23">
        <f t="shared" si="37"/>
        <v>17.8</v>
      </c>
      <c r="L118" s="23">
        <f t="shared" si="39"/>
        <v>17.766666666666666</v>
      </c>
      <c r="M118" s="23">
        <f t="shared" si="40"/>
        <v>17.733333333333334</v>
      </c>
      <c r="N118" s="23">
        <f t="shared" si="41"/>
        <v>17.7</v>
      </c>
      <c r="O118" s="23">
        <f t="shared" si="42"/>
        <v>17.666666666666668</v>
      </c>
      <c r="P118" s="23">
        <f t="shared" si="43"/>
        <v>17.633333333333333</v>
      </c>
      <c r="Q118" s="23">
        <f t="shared" si="44"/>
        <v>17.600000000000001</v>
      </c>
      <c r="R118" s="23">
        <f t="shared" si="45"/>
        <v>17.566666666666666</v>
      </c>
      <c r="S118" s="23">
        <f t="shared" si="46"/>
        <v>17.533333333333335</v>
      </c>
      <c r="T118" s="23">
        <f t="shared" si="47"/>
        <v>17.5</v>
      </c>
      <c r="U118" s="23">
        <f t="shared" si="48"/>
        <v>17.466666666666665</v>
      </c>
      <c r="V118" s="23">
        <f t="shared" si="49"/>
        <v>17.433333333333334</v>
      </c>
      <c r="W118" s="23">
        <f t="shared" si="50"/>
        <v>17.399999999999999</v>
      </c>
      <c r="X118" s="23">
        <f t="shared" si="51"/>
        <v>17.366666666666667</v>
      </c>
      <c r="Y118" s="23">
        <f t="shared" si="52"/>
        <v>17.333333333333332</v>
      </c>
      <c r="Z118" s="23">
        <f t="shared" si="53"/>
        <v>17.3</v>
      </c>
      <c r="AA118" s="23">
        <f t="shared" si="54"/>
        <v>17.266666666666666</v>
      </c>
      <c r="AB118" s="23">
        <f t="shared" si="55"/>
        <v>17.233333333333334</v>
      </c>
      <c r="AC118" s="23">
        <f t="shared" si="56"/>
        <v>17.2</v>
      </c>
      <c r="AD118" s="23">
        <f t="shared" si="57"/>
        <v>17.166666666666668</v>
      </c>
      <c r="AE118" s="23">
        <f t="shared" si="58"/>
        <v>17.133333333333333</v>
      </c>
      <c r="AF118" s="23">
        <f t="shared" si="59"/>
        <v>17.100000000000001</v>
      </c>
      <c r="AG118" s="23">
        <f t="shared" si="60"/>
        <v>17.066666666666666</v>
      </c>
      <c r="AH118" s="23">
        <f t="shared" si="61"/>
        <v>17.033333333333335</v>
      </c>
      <c r="AI118" s="8"/>
      <c r="AJ118" s="24" t="str">
        <f t="shared" si="67"/>
        <v>1,2,3,4,5,6,9,10,12,15,18,20,27,30,36,45,54,60,90,108,135,180,270,540</v>
      </c>
      <c r="AK118" s="10"/>
      <c r="AL118" s="10"/>
      <c r="AM118" s="10"/>
      <c r="AN118" s="10"/>
      <c r="AO118" s="10"/>
      <c r="AP118" s="10"/>
      <c r="AQ118" s="10"/>
    </row>
    <row r="119" spans="1:43" x14ac:dyDescent="0.45">
      <c r="A119" s="11"/>
      <c r="B119" s="8"/>
      <c r="C119" s="8"/>
      <c r="D119" s="8">
        <v>109</v>
      </c>
      <c r="E119" s="9">
        <f t="shared" si="38"/>
        <v>545</v>
      </c>
      <c r="F119" s="23">
        <f t="shared" si="62"/>
        <v>18.133333333333333</v>
      </c>
      <c r="G119" s="23">
        <f t="shared" si="63"/>
        <v>18.100000000000001</v>
      </c>
      <c r="H119" s="23">
        <f t="shared" si="64"/>
        <v>18.066666666666666</v>
      </c>
      <c r="I119" s="23">
        <f t="shared" si="65"/>
        <v>18.033333333333335</v>
      </c>
      <c r="J119" s="23">
        <f t="shared" si="66"/>
        <v>18</v>
      </c>
      <c r="K119" s="23">
        <f t="shared" si="37"/>
        <v>17.966666666666665</v>
      </c>
      <c r="L119" s="23">
        <f t="shared" si="39"/>
        <v>17.933333333333334</v>
      </c>
      <c r="M119" s="23">
        <f t="shared" si="40"/>
        <v>17.899999999999999</v>
      </c>
      <c r="N119" s="23">
        <f t="shared" si="41"/>
        <v>17.866666666666667</v>
      </c>
      <c r="O119" s="23">
        <f t="shared" si="42"/>
        <v>17.833333333333332</v>
      </c>
      <c r="P119" s="23">
        <f t="shared" si="43"/>
        <v>17.8</v>
      </c>
      <c r="Q119" s="23">
        <f t="shared" si="44"/>
        <v>17.766666666666666</v>
      </c>
      <c r="R119" s="23">
        <f t="shared" si="45"/>
        <v>17.733333333333334</v>
      </c>
      <c r="S119" s="23">
        <f t="shared" si="46"/>
        <v>17.7</v>
      </c>
      <c r="T119" s="23">
        <f t="shared" si="47"/>
        <v>17.666666666666668</v>
      </c>
      <c r="U119" s="23">
        <f t="shared" si="48"/>
        <v>17.633333333333333</v>
      </c>
      <c r="V119" s="23">
        <f t="shared" si="49"/>
        <v>17.600000000000001</v>
      </c>
      <c r="W119" s="23">
        <f t="shared" si="50"/>
        <v>17.566666666666666</v>
      </c>
      <c r="X119" s="23">
        <f t="shared" si="51"/>
        <v>17.533333333333335</v>
      </c>
      <c r="Y119" s="23">
        <f t="shared" si="52"/>
        <v>17.5</v>
      </c>
      <c r="Z119" s="23">
        <f t="shared" si="53"/>
        <v>17.466666666666665</v>
      </c>
      <c r="AA119" s="23">
        <f t="shared" si="54"/>
        <v>17.433333333333334</v>
      </c>
      <c r="AB119" s="23">
        <f t="shared" si="55"/>
        <v>17.399999999999999</v>
      </c>
      <c r="AC119" s="23">
        <f t="shared" si="56"/>
        <v>17.366666666666667</v>
      </c>
      <c r="AD119" s="23">
        <f t="shared" si="57"/>
        <v>17.333333333333332</v>
      </c>
      <c r="AE119" s="23">
        <f t="shared" si="58"/>
        <v>17.3</v>
      </c>
      <c r="AF119" s="23">
        <f t="shared" si="59"/>
        <v>17.266666666666666</v>
      </c>
      <c r="AG119" s="23">
        <f t="shared" si="60"/>
        <v>17.233333333333334</v>
      </c>
      <c r="AH119" s="23">
        <f t="shared" si="61"/>
        <v>17.2</v>
      </c>
      <c r="AI119" s="8"/>
      <c r="AJ119" s="24" t="str">
        <f t="shared" si="67"/>
        <v>1,5,109,545</v>
      </c>
      <c r="AK119" s="10"/>
      <c r="AL119" s="10"/>
      <c r="AM119" s="10"/>
      <c r="AN119" s="10"/>
      <c r="AO119" s="10"/>
      <c r="AP119" s="10"/>
      <c r="AQ119" s="10"/>
    </row>
    <row r="120" spans="1:43" x14ac:dyDescent="0.45">
      <c r="A120" s="11"/>
      <c r="B120" s="8"/>
      <c r="C120" s="8"/>
      <c r="D120" s="8">
        <v>110</v>
      </c>
      <c r="E120" s="9">
        <f t="shared" si="38"/>
        <v>550</v>
      </c>
      <c r="F120" s="23">
        <f t="shared" si="62"/>
        <v>18.3</v>
      </c>
      <c r="G120" s="23">
        <f t="shared" si="63"/>
        <v>18.266666666666666</v>
      </c>
      <c r="H120" s="23">
        <f t="shared" si="64"/>
        <v>18.233333333333334</v>
      </c>
      <c r="I120" s="23">
        <f t="shared" si="65"/>
        <v>18.2</v>
      </c>
      <c r="J120" s="23">
        <f t="shared" si="66"/>
        <v>18.166666666666668</v>
      </c>
      <c r="K120" s="23">
        <f t="shared" si="37"/>
        <v>18.133333333333333</v>
      </c>
      <c r="L120" s="23">
        <f t="shared" si="39"/>
        <v>18.100000000000001</v>
      </c>
      <c r="M120" s="23">
        <f t="shared" si="40"/>
        <v>18.066666666666666</v>
      </c>
      <c r="N120" s="23">
        <f t="shared" si="41"/>
        <v>18.033333333333335</v>
      </c>
      <c r="O120" s="23">
        <f t="shared" si="42"/>
        <v>18</v>
      </c>
      <c r="P120" s="23">
        <f t="shared" si="43"/>
        <v>17.966666666666665</v>
      </c>
      <c r="Q120" s="23">
        <f t="shared" si="44"/>
        <v>17.933333333333334</v>
      </c>
      <c r="R120" s="23">
        <f t="shared" si="45"/>
        <v>17.899999999999999</v>
      </c>
      <c r="S120" s="23">
        <f t="shared" si="46"/>
        <v>17.866666666666667</v>
      </c>
      <c r="T120" s="23">
        <f t="shared" si="47"/>
        <v>17.833333333333332</v>
      </c>
      <c r="U120" s="23">
        <f t="shared" si="48"/>
        <v>17.8</v>
      </c>
      <c r="V120" s="23">
        <f t="shared" si="49"/>
        <v>17.766666666666666</v>
      </c>
      <c r="W120" s="23">
        <f t="shared" si="50"/>
        <v>17.733333333333334</v>
      </c>
      <c r="X120" s="23">
        <f t="shared" si="51"/>
        <v>17.7</v>
      </c>
      <c r="Y120" s="23">
        <f t="shared" si="52"/>
        <v>17.666666666666668</v>
      </c>
      <c r="Z120" s="23">
        <f t="shared" si="53"/>
        <v>17.633333333333333</v>
      </c>
      <c r="AA120" s="23">
        <f t="shared" si="54"/>
        <v>17.600000000000001</v>
      </c>
      <c r="AB120" s="23">
        <f t="shared" si="55"/>
        <v>17.566666666666666</v>
      </c>
      <c r="AC120" s="23">
        <f t="shared" si="56"/>
        <v>17.533333333333335</v>
      </c>
      <c r="AD120" s="23">
        <f t="shared" si="57"/>
        <v>17.5</v>
      </c>
      <c r="AE120" s="23">
        <f t="shared" si="58"/>
        <v>17.466666666666665</v>
      </c>
      <c r="AF120" s="23">
        <f t="shared" si="59"/>
        <v>17.433333333333334</v>
      </c>
      <c r="AG120" s="23">
        <f t="shared" si="60"/>
        <v>17.399999999999999</v>
      </c>
      <c r="AH120" s="23">
        <f t="shared" si="61"/>
        <v>17.366666666666667</v>
      </c>
      <c r="AI120" s="8"/>
      <c r="AJ120" s="24" t="str">
        <f t="shared" si="67"/>
        <v>1,2,5,10,11,22,25,50,55,110,275,550</v>
      </c>
      <c r="AK120" s="10"/>
      <c r="AL120" s="10"/>
      <c r="AM120" s="10"/>
      <c r="AN120" s="10"/>
      <c r="AO120" s="10"/>
      <c r="AP120" s="10"/>
      <c r="AQ120" s="10"/>
    </row>
    <row r="121" spans="1:43" x14ac:dyDescent="0.45">
      <c r="A121" s="11"/>
      <c r="B121" s="8"/>
      <c r="C121" s="8"/>
      <c r="D121" s="8">
        <v>111</v>
      </c>
      <c r="E121" s="9">
        <f t="shared" si="38"/>
        <v>555</v>
      </c>
      <c r="F121" s="23">
        <f t="shared" si="62"/>
        <v>18.466666666666665</v>
      </c>
      <c r="G121" s="23">
        <f t="shared" si="63"/>
        <v>18.433333333333334</v>
      </c>
      <c r="H121" s="23">
        <f t="shared" si="64"/>
        <v>18.399999999999999</v>
      </c>
      <c r="I121" s="23">
        <f t="shared" si="65"/>
        <v>18.366666666666667</v>
      </c>
      <c r="J121" s="23">
        <f t="shared" si="66"/>
        <v>18.333333333333332</v>
      </c>
      <c r="K121" s="23">
        <f t="shared" si="37"/>
        <v>18.3</v>
      </c>
      <c r="L121" s="23">
        <f t="shared" si="39"/>
        <v>18.266666666666666</v>
      </c>
      <c r="M121" s="23">
        <f t="shared" si="40"/>
        <v>18.233333333333334</v>
      </c>
      <c r="N121" s="23">
        <f t="shared" si="41"/>
        <v>18.2</v>
      </c>
      <c r="O121" s="23">
        <f t="shared" si="42"/>
        <v>18.166666666666668</v>
      </c>
      <c r="P121" s="23">
        <f t="shared" si="43"/>
        <v>18.133333333333333</v>
      </c>
      <c r="Q121" s="23">
        <f t="shared" si="44"/>
        <v>18.100000000000001</v>
      </c>
      <c r="R121" s="23">
        <f t="shared" si="45"/>
        <v>18.066666666666666</v>
      </c>
      <c r="S121" s="23">
        <f t="shared" si="46"/>
        <v>18.033333333333335</v>
      </c>
      <c r="T121" s="23">
        <f t="shared" si="47"/>
        <v>18</v>
      </c>
      <c r="U121" s="23">
        <f t="shared" si="48"/>
        <v>17.966666666666665</v>
      </c>
      <c r="V121" s="23">
        <f t="shared" si="49"/>
        <v>17.933333333333334</v>
      </c>
      <c r="W121" s="23">
        <f t="shared" si="50"/>
        <v>17.899999999999999</v>
      </c>
      <c r="X121" s="23">
        <f t="shared" si="51"/>
        <v>17.866666666666667</v>
      </c>
      <c r="Y121" s="23">
        <f t="shared" si="52"/>
        <v>17.833333333333332</v>
      </c>
      <c r="Z121" s="23">
        <f t="shared" si="53"/>
        <v>17.8</v>
      </c>
      <c r="AA121" s="23">
        <f t="shared" si="54"/>
        <v>17.766666666666666</v>
      </c>
      <c r="AB121" s="23">
        <f t="shared" si="55"/>
        <v>17.733333333333334</v>
      </c>
      <c r="AC121" s="23">
        <f t="shared" si="56"/>
        <v>17.7</v>
      </c>
      <c r="AD121" s="23">
        <f t="shared" si="57"/>
        <v>17.666666666666668</v>
      </c>
      <c r="AE121" s="23">
        <f t="shared" si="58"/>
        <v>17.633333333333333</v>
      </c>
      <c r="AF121" s="23">
        <f t="shared" si="59"/>
        <v>17.600000000000001</v>
      </c>
      <c r="AG121" s="23">
        <f t="shared" si="60"/>
        <v>17.566666666666666</v>
      </c>
      <c r="AH121" s="23">
        <f t="shared" si="61"/>
        <v>17.533333333333335</v>
      </c>
      <c r="AI121" s="8"/>
      <c r="AJ121" s="24" t="str">
        <f t="shared" si="67"/>
        <v>1,3,5,15,37,111,185,555</v>
      </c>
      <c r="AK121" s="10"/>
      <c r="AL121" s="10"/>
      <c r="AM121" s="10"/>
      <c r="AN121" s="10"/>
      <c r="AO121" s="10"/>
      <c r="AP121" s="10"/>
      <c r="AQ121" s="10"/>
    </row>
    <row r="122" spans="1:43" x14ac:dyDescent="0.45">
      <c r="A122" s="11"/>
      <c r="B122" s="8"/>
      <c r="C122" s="8"/>
      <c r="D122" s="8">
        <v>112</v>
      </c>
      <c r="E122" s="9">
        <f t="shared" si="38"/>
        <v>560</v>
      </c>
      <c r="F122" s="23">
        <f t="shared" si="62"/>
        <v>18.633333333333333</v>
      </c>
      <c r="G122" s="23">
        <f t="shared" si="63"/>
        <v>18.600000000000001</v>
      </c>
      <c r="H122" s="23">
        <f t="shared" si="64"/>
        <v>18.566666666666666</v>
      </c>
      <c r="I122" s="23">
        <f t="shared" si="65"/>
        <v>18.533333333333335</v>
      </c>
      <c r="J122" s="23">
        <f t="shared" si="66"/>
        <v>18.5</v>
      </c>
      <c r="K122" s="23">
        <f t="shared" si="37"/>
        <v>18.466666666666665</v>
      </c>
      <c r="L122" s="23">
        <f t="shared" si="39"/>
        <v>18.433333333333334</v>
      </c>
      <c r="M122" s="23">
        <f t="shared" si="40"/>
        <v>18.399999999999999</v>
      </c>
      <c r="N122" s="23">
        <f t="shared" si="41"/>
        <v>18.366666666666667</v>
      </c>
      <c r="O122" s="23">
        <f t="shared" si="42"/>
        <v>18.333333333333332</v>
      </c>
      <c r="P122" s="23">
        <f t="shared" si="43"/>
        <v>18.3</v>
      </c>
      <c r="Q122" s="23">
        <f t="shared" si="44"/>
        <v>18.266666666666666</v>
      </c>
      <c r="R122" s="23">
        <f t="shared" si="45"/>
        <v>18.233333333333334</v>
      </c>
      <c r="S122" s="23">
        <f t="shared" si="46"/>
        <v>18.2</v>
      </c>
      <c r="T122" s="23">
        <f t="shared" si="47"/>
        <v>18.166666666666668</v>
      </c>
      <c r="U122" s="23">
        <f t="shared" si="48"/>
        <v>18.133333333333333</v>
      </c>
      <c r="V122" s="23">
        <f t="shared" si="49"/>
        <v>18.100000000000001</v>
      </c>
      <c r="W122" s="23">
        <f t="shared" si="50"/>
        <v>18.066666666666666</v>
      </c>
      <c r="X122" s="23">
        <f t="shared" si="51"/>
        <v>18.033333333333335</v>
      </c>
      <c r="Y122" s="23">
        <f t="shared" si="52"/>
        <v>18</v>
      </c>
      <c r="Z122" s="23">
        <f t="shared" si="53"/>
        <v>17.966666666666665</v>
      </c>
      <c r="AA122" s="23">
        <f t="shared" si="54"/>
        <v>17.933333333333334</v>
      </c>
      <c r="AB122" s="23">
        <f t="shared" si="55"/>
        <v>17.899999999999999</v>
      </c>
      <c r="AC122" s="23">
        <f t="shared" si="56"/>
        <v>17.866666666666667</v>
      </c>
      <c r="AD122" s="23">
        <f t="shared" si="57"/>
        <v>17.833333333333332</v>
      </c>
      <c r="AE122" s="23">
        <f t="shared" si="58"/>
        <v>17.8</v>
      </c>
      <c r="AF122" s="23">
        <f t="shared" si="59"/>
        <v>17.766666666666666</v>
      </c>
      <c r="AG122" s="23">
        <f t="shared" si="60"/>
        <v>17.733333333333334</v>
      </c>
      <c r="AH122" s="23">
        <f t="shared" si="61"/>
        <v>17.7</v>
      </c>
      <c r="AI122" s="8"/>
      <c r="AJ122" s="24" t="str">
        <f t="shared" si="67"/>
        <v>1,2,4,5,7,8,10,14,16,20,28,35,40,56,70,80,112,140,280,560</v>
      </c>
      <c r="AK122" s="10"/>
      <c r="AL122" s="10"/>
      <c r="AM122" s="10"/>
      <c r="AN122" s="10"/>
      <c r="AO122" s="10"/>
      <c r="AP122" s="10"/>
      <c r="AQ122" s="10"/>
    </row>
    <row r="123" spans="1:43" x14ac:dyDescent="0.45">
      <c r="A123" s="11"/>
      <c r="B123" s="8"/>
      <c r="C123" s="8"/>
      <c r="D123" s="8">
        <v>113</v>
      </c>
      <c r="E123" s="9">
        <f t="shared" si="38"/>
        <v>565</v>
      </c>
      <c r="F123" s="23">
        <f t="shared" si="62"/>
        <v>18.8</v>
      </c>
      <c r="G123" s="23">
        <f t="shared" si="63"/>
        <v>18.766666666666666</v>
      </c>
      <c r="H123" s="23">
        <f t="shared" si="64"/>
        <v>18.733333333333334</v>
      </c>
      <c r="I123" s="23">
        <f t="shared" si="65"/>
        <v>18.7</v>
      </c>
      <c r="J123" s="23">
        <f t="shared" si="66"/>
        <v>18.666666666666668</v>
      </c>
      <c r="K123" s="23">
        <f t="shared" si="37"/>
        <v>18.633333333333333</v>
      </c>
      <c r="L123" s="23">
        <f t="shared" si="39"/>
        <v>18.600000000000001</v>
      </c>
      <c r="M123" s="23">
        <f t="shared" si="40"/>
        <v>18.566666666666666</v>
      </c>
      <c r="N123" s="23">
        <f t="shared" si="41"/>
        <v>18.533333333333335</v>
      </c>
      <c r="O123" s="23">
        <f t="shared" si="42"/>
        <v>18.5</v>
      </c>
      <c r="P123" s="23">
        <f t="shared" si="43"/>
        <v>18.466666666666665</v>
      </c>
      <c r="Q123" s="23">
        <f t="shared" si="44"/>
        <v>18.433333333333334</v>
      </c>
      <c r="R123" s="23">
        <f t="shared" si="45"/>
        <v>18.399999999999999</v>
      </c>
      <c r="S123" s="23">
        <f t="shared" si="46"/>
        <v>18.366666666666667</v>
      </c>
      <c r="T123" s="23">
        <f t="shared" si="47"/>
        <v>18.333333333333332</v>
      </c>
      <c r="U123" s="23">
        <f t="shared" si="48"/>
        <v>18.3</v>
      </c>
      <c r="V123" s="23">
        <f t="shared" si="49"/>
        <v>18.266666666666666</v>
      </c>
      <c r="W123" s="23">
        <f t="shared" si="50"/>
        <v>18.233333333333334</v>
      </c>
      <c r="X123" s="23">
        <f t="shared" si="51"/>
        <v>18.2</v>
      </c>
      <c r="Y123" s="23">
        <f t="shared" si="52"/>
        <v>18.166666666666668</v>
      </c>
      <c r="Z123" s="23">
        <f t="shared" si="53"/>
        <v>18.133333333333333</v>
      </c>
      <c r="AA123" s="23">
        <f t="shared" si="54"/>
        <v>18.100000000000001</v>
      </c>
      <c r="AB123" s="23">
        <f t="shared" si="55"/>
        <v>18.066666666666666</v>
      </c>
      <c r="AC123" s="23">
        <f t="shared" si="56"/>
        <v>18.033333333333335</v>
      </c>
      <c r="AD123" s="23">
        <f t="shared" si="57"/>
        <v>18</v>
      </c>
      <c r="AE123" s="23">
        <f t="shared" si="58"/>
        <v>17.966666666666665</v>
      </c>
      <c r="AF123" s="23">
        <f t="shared" si="59"/>
        <v>17.933333333333334</v>
      </c>
      <c r="AG123" s="23">
        <f t="shared" si="60"/>
        <v>17.899999999999999</v>
      </c>
      <c r="AH123" s="23">
        <f t="shared" si="61"/>
        <v>17.866666666666667</v>
      </c>
      <c r="AI123" s="8"/>
      <c r="AJ123" s="24" t="str">
        <f t="shared" si="67"/>
        <v>1,5,113,565</v>
      </c>
      <c r="AK123" s="10"/>
      <c r="AL123" s="10"/>
      <c r="AM123" s="10"/>
      <c r="AN123" s="10"/>
      <c r="AO123" s="10"/>
      <c r="AP123" s="10"/>
      <c r="AQ123" s="10"/>
    </row>
    <row r="124" spans="1:43" x14ac:dyDescent="0.45">
      <c r="A124" s="11"/>
      <c r="B124" s="8"/>
      <c r="C124" s="8"/>
      <c r="D124" s="8">
        <v>114</v>
      </c>
      <c r="E124" s="9">
        <f t="shared" si="38"/>
        <v>570</v>
      </c>
      <c r="F124" s="23">
        <f t="shared" si="62"/>
        <v>18.966666666666665</v>
      </c>
      <c r="G124" s="23">
        <f t="shared" si="63"/>
        <v>18.933333333333334</v>
      </c>
      <c r="H124" s="23">
        <f t="shared" si="64"/>
        <v>18.899999999999999</v>
      </c>
      <c r="I124" s="23">
        <f t="shared" si="65"/>
        <v>18.866666666666667</v>
      </c>
      <c r="J124" s="23">
        <f t="shared" si="66"/>
        <v>18.833333333333332</v>
      </c>
      <c r="K124" s="23">
        <f t="shared" si="37"/>
        <v>18.8</v>
      </c>
      <c r="L124" s="23">
        <f t="shared" si="39"/>
        <v>18.766666666666666</v>
      </c>
      <c r="M124" s="23">
        <f t="shared" si="40"/>
        <v>18.733333333333334</v>
      </c>
      <c r="N124" s="23">
        <f t="shared" si="41"/>
        <v>18.7</v>
      </c>
      <c r="O124" s="23">
        <f t="shared" si="42"/>
        <v>18.666666666666668</v>
      </c>
      <c r="P124" s="23">
        <f t="shared" si="43"/>
        <v>18.633333333333333</v>
      </c>
      <c r="Q124" s="23">
        <f t="shared" si="44"/>
        <v>18.600000000000001</v>
      </c>
      <c r="R124" s="23">
        <f t="shared" si="45"/>
        <v>18.566666666666666</v>
      </c>
      <c r="S124" s="23">
        <f t="shared" si="46"/>
        <v>18.533333333333335</v>
      </c>
      <c r="T124" s="23">
        <f t="shared" si="47"/>
        <v>18.5</v>
      </c>
      <c r="U124" s="23">
        <f t="shared" si="48"/>
        <v>18.466666666666665</v>
      </c>
      <c r="V124" s="23">
        <f t="shared" si="49"/>
        <v>18.433333333333334</v>
      </c>
      <c r="W124" s="23">
        <f t="shared" si="50"/>
        <v>18.399999999999999</v>
      </c>
      <c r="X124" s="23">
        <f t="shared" si="51"/>
        <v>18.366666666666667</v>
      </c>
      <c r="Y124" s="23">
        <f t="shared" si="52"/>
        <v>18.333333333333332</v>
      </c>
      <c r="Z124" s="23">
        <f t="shared" si="53"/>
        <v>18.3</v>
      </c>
      <c r="AA124" s="23">
        <f t="shared" si="54"/>
        <v>18.266666666666666</v>
      </c>
      <c r="AB124" s="23">
        <f t="shared" si="55"/>
        <v>18.233333333333334</v>
      </c>
      <c r="AC124" s="23">
        <f t="shared" si="56"/>
        <v>18.2</v>
      </c>
      <c r="AD124" s="23">
        <f t="shared" si="57"/>
        <v>18.166666666666668</v>
      </c>
      <c r="AE124" s="23">
        <f t="shared" si="58"/>
        <v>18.133333333333333</v>
      </c>
      <c r="AF124" s="23">
        <f t="shared" si="59"/>
        <v>18.100000000000001</v>
      </c>
      <c r="AG124" s="23">
        <f t="shared" si="60"/>
        <v>18.066666666666666</v>
      </c>
      <c r="AH124" s="23">
        <f t="shared" si="61"/>
        <v>18.033333333333335</v>
      </c>
      <c r="AI124" s="8"/>
      <c r="AJ124" s="24" t="str">
        <f t="shared" si="67"/>
        <v>1,2,3,5,6,10,15,19,30,38,57,95,114,190,285,570</v>
      </c>
      <c r="AK124" s="10"/>
      <c r="AL124" s="10"/>
      <c r="AM124" s="10"/>
      <c r="AN124" s="10"/>
      <c r="AO124" s="10"/>
      <c r="AP124" s="10"/>
      <c r="AQ124" s="10"/>
    </row>
    <row r="125" spans="1:43" x14ac:dyDescent="0.45">
      <c r="A125" s="11"/>
      <c r="B125" s="8"/>
      <c r="C125" s="8"/>
      <c r="D125" s="8">
        <v>115</v>
      </c>
      <c r="E125" s="9">
        <f t="shared" si="38"/>
        <v>575</v>
      </c>
      <c r="F125" s="23">
        <f t="shared" si="62"/>
        <v>19.133333333333333</v>
      </c>
      <c r="G125" s="23">
        <f t="shared" si="63"/>
        <v>19.100000000000001</v>
      </c>
      <c r="H125" s="23">
        <f t="shared" si="64"/>
        <v>19.066666666666666</v>
      </c>
      <c r="I125" s="23">
        <f t="shared" si="65"/>
        <v>19.033333333333335</v>
      </c>
      <c r="J125" s="23">
        <f t="shared" si="66"/>
        <v>19</v>
      </c>
      <c r="K125" s="23">
        <f t="shared" si="37"/>
        <v>18.966666666666665</v>
      </c>
      <c r="L125" s="23">
        <f t="shared" si="39"/>
        <v>18.933333333333334</v>
      </c>
      <c r="M125" s="23">
        <f t="shared" si="40"/>
        <v>18.899999999999999</v>
      </c>
      <c r="N125" s="23">
        <f t="shared" si="41"/>
        <v>18.866666666666667</v>
      </c>
      <c r="O125" s="23">
        <f t="shared" si="42"/>
        <v>18.833333333333332</v>
      </c>
      <c r="P125" s="23">
        <f t="shared" si="43"/>
        <v>18.8</v>
      </c>
      <c r="Q125" s="23">
        <f t="shared" si="44"/>
        <v>18.766666666666666</v>
      </c>
      <c r="R125" s="23">
        <f t="shared" si="45"/>
        <v>18.733333333333334</v>
      </c>
      <c r="S125" s="23">
        <f t="shared" si="46"/>
        <v>18.7</v>
      </c>
      <c r="T125" s="23">
        <f t="shared" si="47"/>
        <v>18.666666666666668</v>
      </c>
      <c r="U125" s="23">
        <f t="shared" si="48"/>
        <v>18.633333333333333</v>
      </c>
      <c r="V125" s="23">
        <f t="shared" si="49"/>
        <v>18.600000000000001</v>
      </c>
      <c r="W125" s="23">
        <f t="shared" si="50"/>
        <v>18.566666666666666</v>
      </c>
      <c r="X125" s="23">
        <f t="shared" si="51"/>
        <v>18.533333333333335</v>
      </c>
      <c r="Y125" s="23">
        <f t="shared" si="52"/>
        <v>18.5</v>
      </c>
      <c r="Z125" s="23">
        <f t="shared" si="53"/>
        <v>18.466666666666665</v>
      </c>
      <c r="AA125" s="23">
        <f t="shared" si="54"/>
        <v>18.433333333333334</v>
      </c>
      <c r="AB125" s="23">
        <f t="shared" si="55"/>
        <v>18.399999999999999</v>
      </c>
      <c r="AC125" s="23">
        <f t="shared" si="56"/>
        <v>18.366666666666667</v>
      </c>
      <c r="AD125" s="23">
        <f t="shared" si="57"/>
        <v>18.333333333333332</v>
      </c>
      <c r="AE125" s="23">
        <f t="shared" si="58"/>
        <v>18.3</v>
      </c>
      <c r="AF125" s="23">
        <f t="shared" si="59"/>
        <v>18.266666666666666</v>
      </c>
      <c r="AG125" s="23">
        <f t="shared" si="60"/>
        <v>18.233333333333334</v>
      </c>
      <c r="AH125" s="23">
        <f t="shared" si="61"/>
        <v>18.2</v>
      </c>
      <c r="AI125" s="8"/>
      <c r="AJ125" s="24" t="str">
        <f t="shared" si="67"/>
        <v>1,5,23,25,115,575</v>
      </c>
      <c r="AK125" s="10"/>
      <c r="AL125" s="10"/>
      <c r="AM125" s="10"/>
      <c r="AN125" s="10"/>
      <c r="AO125" s="10"/>
      <c r="AP125" s="10"/>
      <c r="AQ125" s="10"/>
    </row>
    <row r="126" spans="1:43" x14ac:dyDescent="0.45">
      <c r="A126" s="11"/>
      <c r="B126" s="8"/>
      <c r="C126" s="8"/>
      <c r="D126" s="8">
        <v>116</v>
      </c>
      <c r="E126" s="9">
        <f t="shared" si="38"/>
        <v>580</v>
      </c>
      <c r="F126" s="23">
        <f t="shared" si="62"/>
        <v>19.3</v>
      </c>
      <c r="G126" s="23">
        <f t="shared" si="63"/>
        <v>19.266666666666666</v>
      </c>
      <c r="H126" s="23">
        <f t="shared" si="64"/>
        <v>19.233333333333334</v>
      </c>
      <c r="I126" s="23">
        <f t="shared" si="65"/>
        <v>19.2</v>
      </c>
      <c r="J126" s="23">
        <f t="shared" si="66"/>
        <v>19.166666666666668</v>
      </c>
      <c r="K126" s="23">
        <f t="shared" si="37"/>
        <v>19.133333333333333</v>
      </c>
      <c r="L126" s="23">
        <f t="shared" si="39"/>
        <v>19.100000000000001</v>
      </c>
      <c r="M126" s="23">
        <f t="shared" si="40"/>
        <v>19.066666666666666</v>
      </c>
      <c r="N126" s="23">
        <f t="shared" si="41"/>
        <v>19.033333333333335</v>
      </c>
      <c r="O126" s="23">
        <f t="shared" si="42"/>
        <v>19</v>
      </c>
      <c r="P126" s="23">
        <f t="shared" si="43"/>
        <v>18.966666666666665</v>
      </c>
      <c r="Q126" s="23">
        <f t="shared" si="44"/>
        <v>18.933333333333334</v>
      </c>
      <c r="R126" s="23">
        <f t="shared" si="45"/>
        <v>18.899999999999999</v>
      </c>
      <c r="S126" s="23">
        <f t="shared" si="46"/>
        <v>18.866666666666667</v>
      </c>
      <c r="T126" s="23">
        <f t="shared" si="47"/>
        <v>18.833333333333332</v>
      </c>
      <c r="U126" s="23">
        <f t="shared" si="48"/>
        <v>18.8</v>
      </c>
      <c r="V126" s="23">
        <f t="shared" si="49"/>
        <v>18.766666666666666</v>
      </c>
      <c r="W126" s="23">
        <f t="shared" si="50"/>
        <v>18.733333333333334</v>
      </c>
      <c r="X126" s="23">
        <f t="shared" si="51"/>
        <v>18.7</v>
      </c>
      <c r="Y126" s="23">
        <f t="shared" si="52"/>
        <v>18.666666666666668</v>
      </c>
      <c r="Z126" s="23">
        <f t="shared" si="53"/>
        <v>18.633333333333333</v>
      </c>
      <c r="AA126" s="23">
        <f t="shared" si="54"/>
        <v>18.600000000000001</v>
      </c>
      <c r="AB126" s="23">
        <f t="shared" si="55"/>
        <v>18.566666666666666</v>
      </c>
      <c r="AC126" s="23">
        <f t="shared" si="56"/>
        <v>18.533333333333335</v>
      </c>
      <c r="AD126" s="23">
        <f t="shared" si="57"/>
        <v>18.5</v>
      </c>
      <c r="AE126" s="23">
        <f t="shared" si="58"/>
        <v>18.466666666666665</v>
      </c>
      <c r="AF126" s="23">
        <f t="shared" si="59"/>
        <v>18.433333333333334</v>
      </c>
      <c r="AG126" s="23">
        <f t="shared" si="60"/>
        <v>18.399999999999999</v>
      </c>
      <c r="AH126" s="23">
        <f t="shared" si="61"/>
        <v>18.366666666666667</v>
      </c>
      <c r="AI126" s="8"/>
      <c r="AJ126" s="24" t="str">
        <f t="shared" si="67"/>
        <v>1,2,4,5,10,20,29,58,116,145,290,580</v>
      </c>
      <c r="AK126" s="10"/>
      <c r="AL126" s="10"/>
      <c r="AM126" s="10"/>
      <c r="AN126" s="10"/>
      <c r="AO126" s="10"/>
      <c r="AP126" s="10"/>
      <c r="AQ126" s="10"/>
    </row>
    <row r="127" spans="1:43" x14ac:dyDescent="0.45">
      <c r="A127" s="11"/>
      <c r="B127" s="8"/>
      <c r="C127" s="8"/>
      <c r="D127" s="8">
        <v>117</v>
      </c>
      <c r="E127" s="9">
        <f t="shared" si="38"/>
        <v>585</v>
      </c>
      <c r="F127" s="23">
        <f t="shared" si="62"/>
        <v>19.466666666666665</v>
      </c>
      <c r="G127" s="23">
        <f t="shared" si="63"/>
        <v>19.433333333333334</v>
      </c>
      <c r="H127" s="23">
        <f t="shared" si="64"/>
        <v>19.399999999999999</v>
      </c>
      <c r="I127" s="23">
        <f t="shared" si="65"/>
        <v>19.366666666666667</v>
      </c>
      <c r="J127" s="23">
        <f t="shared" si="66"/>
        <v>19.333333333333332</v>
      </c>
      <c r="K127" s="23">
        <f t="shared" si="37"/>
        <v>19.3</v>
      </c>
      <c r="L127" s="23">
        <f t="shared" si="39"/>
        <v>19.266666666666666</v>
      </c>
      <c r="M127" s="23">
        <f t="shared" si="40"/>
        <v>19.233333333333334</v>
      </c>
      <c r="N127" s="23">
        <f t="shared" si="41"/>
        <v>19.2</v>
      </c>
      <c r="O127" s="23">
        <f t="shared" si="42"/>
        <v>19.166666666666668</v>
      </c>
      <c r="P127" s="23">
        <f t="shared" si="43"/>
        <v>19.133333333333333</v>
      </c>
      <c r="Q127" s="23">
        <f t="shared" si="44"/>
        <v>19.100000000000001</v>
      </c>
      <c r="R127" s="23">
        <f t="shared" si="45"/>
        <v>19.066666666666666</v>
      </c>
      <c r="S127" s="23">
        <f t="shared" si="46"/>
        <v>19.033333333333335</v>
      </c>
      <c r="T127" s="23">
        <f t="shared" si="47"/>
        <v>19</v>
      </c>
      <c r="U127" s="23">
        <f t="shared" si="48"/>
        <v>18.966666666666665</v>
      </c>
      <c r="V127" s="23">
        <f t="shared" si="49"/>
        <v>18.933333333333334</v>
      </c>
      <c r="W127" s="23">
        <f t="shared" si="50"/>
        <v>18.899999999999999</v>
      </c>
      <c r="X127" s="23">
        <f t="shared" si="51"/>
        <v>18.866666666666667</v>
      </c>
      <c r="Y127" s="23">
        <f t="shared" si="52"/>
        <v>18.833333333333332</v>
      </c>
      <c r="Z127" s="23">
        <f t="shared" si="53"/>
        <v>18.8</v>
      </c>
      <c r="AA127" s="23">
        <f t="shared" si="54"/>
        <v>18.766666666666666</v>
      </c>
      <c r="AB127" s="23">
        <f t="shared" si="55"/>
        <v>18.733333333333334</v>
      </c>
      <c r="AC127" s="23">
        <f t="shared" si="56"/>
        <v>18.7</v>
      </c>
      <c r="AD127" s="23">
        <f t="shared" si="57"/>
        <v>18.666666666666668</v>
      </c>
      <c r="AE127" s="23">
        <f t="shared" si="58"/>
        <v>18.633333333333333</v>
      </c>
      <c r="AF127" s="23">
        <f t="shared" si="59"/>
        <v>18.600000000000001</v>
      </c>
      <c r="AG127" s="23">
        <f t="shared" si="60"/>
        <v>18.566666666666666</v>
      </c>
      <c r="AH127" s="23">
        <f t="shared" si="61"/>
        <v>18.533333333333335</v>
      </c>
      <c r="AI127" s="8"/>
      <c r="AJ127" s="24" t="str">
        <f t="shared" si="67"/>
        <v>1,3,5,9,13,15,39,45,65,117,195,585</v>
      </c>
      <c r="AK127" s="10"/>
      <c r="AL127" s="10"/>
      <c r="AM127" s="10"/>
      <c r="AN127" s="10"/>
      <c r="AO127" s="10"/>
      <c r="AP127" s="10"/>
      <c r="AQ127" s="10"/>
    </row>
    <row r="128" spans="1:43" x14ac:dyDescent="0.45">
      <c r="A128" s="11"/>
      <c r="B128" s="8"/>
      <c r="C128" s="8"/>
      <c r="D128" s="8">
        <v>118</v>
      </c>
      <c r="E128" s="9">
        <f t="shared" si="38"/>
        <v>590</v>
      </c>
      <c r="F128" s="23">
        <f t="shared" si="62"/>
        <v>19.633333333333333</v>
      </c>
      <c r="G128" s="23">
        <f t="shared" si="63"/>
        <v>19.600000000000001</v>
      </c>
      <c r="H128" s="23">
        <f t="shared" si="64"/>
        <v>19.566666666666666</v>
      </c>
      <c r="I128" s="23">
        <f t="shared" si="65"/>
        <v>19.533333333333335</v>
      </c>
      <c r="J128" s="23">
        <f t="shared" si="66"/>
        <v>19.5</v>
      </c>
      <c r="K128" s="23">
        <f t="shared" si="37"/>
        <v>19.466666666666665</v>
      </c>
      <c r="L128" s="23">
        <f t="shared" si="39"/>
        <v>19.433333333333334</v>
      </c>
      <c r="M128" s="23">
        <f t="shared" si="40"/>
        <v>19.399999999999999</v>
      </c>
      <c r="N128" s="23">
        <f t="shared" si="41"/>
        <v>19.366666666666667</v>
      </c>
      <c r="O128" s="23">
        <f t="shared" si="42"/>
        <v>19.333333333333332</v>
      </c>
      <c r="P128" s="23">
        <f t="shared" si="43"/>
        <v>19.3</v>
      </c>
      <c r="Q128" s="23">
        <f t="shared" si="44"/>
        <v>19.266666666666666</v>
      </c>
      <c r="R128" s="23">
        <f t="shared" si="45"/>
        <v>19.233333333333334</v>
      </c>
      <c r="S128" s="23">
        <f t="shared" si="46"/>
        <v>19.2</v>
      </c>
      <c r="T128" s="23">
        <f t="shared" si="47"/>
        <v>19.166666666666668</v>
      </c>
      <c r="U128" s="23">
        <f t="shared" si="48"/>
        <v>19.133333333333333</v>
      </c>
      <c r="V128" s="23">
        <f t="shared" si="49"/>
        <v>19.100000000000001</v>
      </c>
      <c r="W128" s="23">
        <f t="shared" si="50"/>
        <v>19.066666666666666</v>
      </c>
      <c r="X128" s="23">
        <f t="shared" si="51"/>
        <v>19.033333333333335</v>
      </c>
      <c r="Y128" s="23">
        <f t="shared" si="52"/>
        <v>19</v>
      </c>
      <c r="Z128" s="23">
        <f t="shared" si="53"/>
        <v>18.966666666666665</v>
      </c>
      <c r="AA128" s="23">
        <f t="shared" si="54"/>
        <v>18.933333333333334</v>
      </c>
      <c r="AB128" s="23">
        <f t="shared" si="55"/>
        <v>18.899999999999999</v>
      </c>
      <c r="AC128" s="23">
        <f t="shared" si="56"/>
        <v>18.866666666666667</v>
      </c>
      <c r="AD128" s="23">
        <f t="shared" si="57"/>
        <v>18.833333333333332</v>
      </c>
      <c r="AE128" s="23">
        <f t="shared" si="58"/>
        <v>18.8</v>
      </c>
      <c r="AF128" s="23">
        <f t="shared" si="59"/>
        <v>18.766666666666666</v>
      </c>
      <c r="AG128" s="23">
        <f t="shared" si="60"/>
        <v>18.733333333333334</v>
      </c>
      <c r="AH128" s="23">
        <f t="shared" si="61"/>
        <v>18.7</v>
      </c>
      <c r="AI128" s="8"/>
      <c r="AJ128" s="24" t="str">
        <f t="shared" si="67"/>
        <v>1,2,5,10,59,118,295,590</v>
      </c>
      <c r="AK128" s="10"/>
      <c r="AL128" s="10"/>
      <c r="AM128" s="10"/>
      <c r="AN128" s="10"/>
      <c r="AO128" s="10"/>
      <c r="AP128" s="10"/>
      <c r="AQ128" s="10"/>
    </row>
    <row r="129" spans="1:43" x14ac:dyDescent="0.45">
      <c r="A129" s="11"/>
      <c r="B129" s="8"/>
      <c r="C129" s="8"/>
      <c r="D129" s="8">
        <v>119</v>
      </c>
      <c r="E129" s="9">
        <f>D129*$E$6</f>
        <v>595</v>
      </c>
      <c r="F129" s="23">
        <f>(E129-1)/30</f>
        <v>19.8</v>
      </c>
      <c r="G129" s="23">
        <f>(E129-2)/30</f>
        <v>19.766666666666666</v>
      </c>
      <c r="H129" s="23">
        <f>(E129-3)/30</f>
        <v>19.733333333333334</v>
      </c>
      <c r="I129" s="23">
        <f>(E129-4)/30</f>
        <v>19.7</v>
      </c>
      <c r="J129" s="23">
        <f>(E129-5)/30</f>
        <v>19.666666666666668</v>
      </c>
      <c r="K129" s="23">
        <f>($E129-6)/30</f>
        <v>19.633333333333333</v>
      </c>
      <c r="L129" s="23">
        <f>($E129-7)/30</f>
        <v>19.600000000000001</v>
      </c>
      <c r="M129" s="23">
        <f>($E129-8)/30</f>
        <v>19.566666666666666</v>
      </c>
      <c r="N129" s="23">
        <f>($E129-9)/30</f>
        <v>19.533333333333335</v>
      </c>
      <c r="O129" s="23">
        <f>($E129-10)/30</f>
        <v>19.5</v>
      </c>
      <c r="P129" s="23">
        <f>($E129-11)/30</f>
        <v>19.466666666666665</v>
      </c>
      <c r="Q129" s="23">
        <f>($E129-12)/30</f>
        <v>19.433333333333334</v>
      </c>
      <c r="R129" s="23">
        <f>($E129-13)/30</f>
        <v>19.399999999999999</v>
      </c>
      <c r="S129" s="23">
        <f>($E129-14)/30</f>
        <v>19.366666666666667</v>
      </c>
      <c r="T129" s="23">
        <f>($E129-15)/30</f>
        <v>19.333333333333332</v>
      </c>
      <c r="U129" s="23">
        <f>($E129-16)/30</f>
        <v>19.3</v>
      </c>
      <c r="V129" s="23">
        <f>($E129-17)/30</f>
        <v>19.266666666666666</v>
      </c>
      <c r="W129" s="23">
        <f>($E129-18)/30</f>
        <v>19.233333333333334</v>
      </c>
      <c r="X129" s="23">
        <f>($E129-19)/30</f>
        <v>19.2</v>
      </c>
      <c r="Y129" s="23">
        <f>($E129-20)/30</f>
        <v>19.166666666666668</v>
      </c>
      <c r="Z129" s="23">
        <f>($E129-21)/30</f>
        <v>19.133333333333333</v>
      </c>
      <c r="AA129" s="23">
        <f>($E129-22)/30</f>
        <v>19.100000000000001</v>
      </c>
      <c r="AB129" s="23">
        <f>($E129-23)/30</f>
        <v>19.066666666666666</v>
      </c>
      <c r="AC129" s="23">
        <f>($E129-24)/30</f>
        <v>19.033333333333335</v>
      </c>
      <c r="AD129" s="23">
        <f>($E129-25)/30</f>
        <v>19</v>
      </c>
      <c r="AE129" s="23">
        <f>($E129-26)/30</f>
        <v>18.966666666666665</v>
      </c>
      <c r="AF129" s="23">
        <f>($E129-27)/30</f>
        <v>18.933333333333334</v>
      </c>
      <c r="AG129" s="23">
        <f>($E129-28)/30</f>
        <v>18.899999999999999</v>
      </c>
      <c r="AH129" s="23">
        <f>($E129-29)/30</f>
        <v>18.866666666666667</v>
      </c>
      <c r="AI129" s="8"/>
      <c r="AJ129" s="24" t="str">
        <f>FactorNumber(E129)</f>
        <v>1,5,7,17,35,85,119,595</v>
      </c>
      <c r="AK129" s="10"/>
      <c r="AL129" s="10"/>
      <c r="AM129" s="10"/>
      <c r="AN129" s="10"/>
      <c r="AO129" s="10"/>
      <c r="AP129" s="10"/>
      <c r="AQ129" s="10"/>
    </row>
    <row r="131" spans="1:43" x14ac:dyDescent="0.45">
      <c r="A131" s="11"/>
      <c r="B131" s="8"/>
      <c r="C131" s="8"/>
      <c r="D131" s="8">
        <v>120</v>
      </c>
      <c r="E131" s="9">
        <f t="shared" si="38"/>
        <v>600</v>
      </c>
      <c r="F131" s="23">
        <f t="shared" si="62"/>
        <v>19.966666666666665</v>
      </c>
      <c r="G131" s="23">
        <f t="shared" si="63"/>
        <v>19.933333333333334</v>
      </c>
      <c r="H131" s="23">
        <f t="shared" si="64"/>
        <v>19.899999999999999</v>
      </c>
      <c r="I131" s="23">
        <f t="shared" si="65"/>
        <v>19.866666666666667</v>
      </c>
      <c r="J131" s="23">
        <f t="shared" si="66"/>
        <v>19.833333333333332</v>
      </c>
      <c r="K131" s="23">
        <f t="shared" si="37"/>
        <v>19.8</v>
      </c>
      <c r="L131" s="23">
        <f t="shared" si="39"/>
        <v>19.766666666666666</v>
      </c>
      <c r="M131" s="23">
        <f t="shared" si="40"/>
        <v>19.733333333333334</v>
      </c>
      <c r="N131" s="23">
        <f t="shared" si="41"/>
        <v>19.7</v>
      </c>
      <c r="O131" s="23">
        <f t="shared" si="42"/>
        <v>19.666666666666668</v>
      </c>
      <c r="P131" s="23">
        <f t="shared" si="43"/>
        <v>19.633333333333333</v>
      </c>
      <c r="Q131" s="23">
        <f t="shared" si="44"/>
        <v>19.600000000000001</v>
      </c>
      <c r="R131" s="23">
        <f t="shared" si="45"/>
        <v>19.566666666666666</v>
      </c>
      <c r="S131" s="23">
        <f t="shared" si="46"/>
        <v>19.533333333333335</v>
      </c>
      <c r="T131" s="23">
        <f t="shared" si="47"/>
        <v>19.5</v>
      </c>
      <c r="U131" s="23">
        <f t="shared" si="48"/>
        <v>19.466666666666665</v>
      </c>
      <c r="V131" s="23">
        <f t="shared" si="49"/>
        <v>19.433333333333334</v>
      </c>
      <c r="W131" s="23">
        <f t="shared" si="50"/>
        <v>19.399999999999999</v>
      </c>
      <c r="X131" s="23">
        <f t="shared" si="51"/>
        <v>19.366666666666667</v>
      </c>
      <c r="Y131" s="23">
        <f t="shared" si="52"/>
        <v>19.333333333333332</v>
      </c>
      <c r="Z131" s="23">
        <f t="shared" si="53"/>
        <v>19.3</v>
      </c>
      <c r="AA131" s="23">
        <f t="shared" si="54"/>
        <v>19.266666666666666</v>
      </c>
      <c r="AB131" s="23">
        <f t="shared" si="55"/>
        <v>19.233333333333334</v>
      </c>
      <c r="AC131" s="23">
        <f t="shared" si="56"/>
        <v>19.2</v>
      </c>
      <c r="AD131" s="23">
        <f t="shared" si="57"/>
        <v>19.166666666666668</v>
      </c>
      <c r="AE131" s="23">
        <f t="shared" si="58"/>
        <v>19.133333333333333</v>
      </c>
      <c r="AF131" s="23">
        <f t="shared" si="59"/>
        <v>19.100000000000001</v>
      </c>
      <c r="AG131" s="23">
        <f t="shared" si="60"/>
        <v>19.066666666666666</v>
      </c>
      <c r="AH131" s="23">
        <f t="shared" si="61"/>
        <v>19.033333333333335</v>
      </c>
      <c r="AI131" s="8"/>
      <c r="AJ131" s="24" t="str">
        <f t="shared" si="67"/>
        <v>1,2,3,4,5,6,8,10,12,15,20,24,25,30,40,50,60,75,100,120,150,200,300,600</v>
      </c>
      <c r="AK131" s="10"/>
      <c r="AL131" s="10"/>
      <c r="AM131" s="10"/>
      <c r="AN131" s="10"/>
      <c r="AO131" s="10"/>
      <c r="AP131" s="10"/>
      <c r="AQ131" s="10"/>
    </row>
    <row r="132" spans="1:43" x14ac:dyDescent="0.45">
      <c r="A132" s="11"/>
      <c r="B132" s="8"/>
      <c r="C132" s="8"/>
      <c r="D132" s="8">
        <v>121</v>
      </c>
      <c r="E132" s="9">
        <f t="shared" si="38"/>
        <v>605</v>
      </c>
      <c r="F132" s="23">
        <f t="shared" si="62"/>
        <v>20.133333333333333</v>
      </c>
      <c r="G132" s="23">
        <f t="shared" si="63"/>
        <v>20.100000000000001</v>
      </c>
      <c r="H132" s="23">
        <f t="shared" si="64"/>
        <v>20.066666666666666</v>
      </c>
      <c r="I132" s="23">
        <f t="shared" si="65"/>
        <v>20.033333333333335</v>
      </c>
      <c r="J132" s="23">
        <f t="shared" si="66"/>
        <v>20</v>
      </c>
      <c r="K132" s="23">
        <f t="shared" si="37"/>
        <v>19.966666666666665</v>
      </c>
      <c r="L132" s="23">
        <f t="shared" si="39"/>
        <v>19.933333333333334</v>
      </c>
      <c r="M132" s="23">
        <f t="shared" si="40"/>
        <v>19.899999999999999</v>
      </c>
      <c r="N132" s="23">
        <f t="shared" si="41"/>
        <v>19.866666666666667</v>
      </c>
      <c r="O132" s="23">
        <f t="shared" si="42"/>
        <v>19.833333333333332</v>
      </c>
      <c r="P132" s="23">
        <f t="shared" si="43"/>
        <v>19.8</v>
      </c>
      <c r="Q132" s="23">
        <f t="shared" si="44"/>
        <v>19.766666666666666</v>
      </c>
      <c r="R132" s="23">
        <f t="shared" si="45"/>
        <v>19.733333333333334</v>
      </c>
      <c r="S132" s="23">
        <f t="shared" si="46"/>
        <v>19.7</v>
      </c>
      <c r="T132" s="23">
        <f t="shared" si="47"/>
        <v>19.666666666666668</v>
      </c>
      <c r="U132" s="23">
        <f t="shared" si="48"/>
        <v>19.633333333333333</v>
      </c>
      <c r="V132" s="23">
        <f t="shared" si="49"/>
        <v>19.600000000000001</v>
      </c>
      <c r="W132" s="23">
        <f t="shared" si="50"/>
        <v>19.566666666666666</v>
      </c>
      <c r="X132" s="23">
        <f t="shared" si="51"/>
        <v>19.533333333333335</v>
      </c>
      <c r="Y132" s="23">
        <f t="shared" si="52"/>
        <v>19.5</v>
      </c>
      <c r="Z132" s="23">
        <f t="shared" si="53"/>
        <v>19.466666666666665</v>
      </c>
      <c r="AA132" s="23">
        <f t="shared" si="54"/>
        <v>19.433333333333334</v>
      </c>
      <c r="AB132" s="23">
        <f t="shared" si="55"/>
        <v>19.399999999999999</v>
      </c>
      <c r="AC132" s="23">
        <f t="shared" si="56"/>
        <v>19.366666666666667</v>
      </c>
      <c r="AD132" s="23">
        <f t="shared" si="57"/>
        <v>19.333333333333332</v>
      </c>
      <c r="AE132" s="23">
        <f t="shared" si="58"/>
        <v>19.3</v>
      </c>
      <c r="AF132" s="23">
        <f t="shared" si="59"/>
        <v>19.266666666666666</v>
      </c>
      <c r="AG132" s="23">
        <f t="shared" si="60"/>
        <v>19.233333333333334</v>
      </c>
      <c r="AH132" s="23">
        <f t="shared" si="61"/>
        <v>19.2</v>
      </c>
      <c r="AI132" s="8"/>
      <c r="AJ132" s="24" t="str">
        <f t="shared" si="67"/>
        <v>1,5,11,55,121,605</v>
      </c>
      <c r="AK132" s="10"/>
      <c r="AL132" s="10"/>
      <c r="AM132" s="10"/>
      <c r="AN132" s="10"/>
      <c r="AO132" s="10"/>
      <c r="AP132" s="10"/>
      <c r="AQ132" s="10"/>
    </row>
    <row r="133" spans="1:43" x14ac:dyDescent="0.45">
      <c r="A133" s="11"/>
      <c r="B133" s="8"/>
      <c r="C133" s="8"/>
      <c r="D133" s="8">
        <v>122</v>
      </c>
      <c r="E133" s="9">
        <f t="shared" si="38"/>
        <v>610</v>
      </c>
      <c r="F133" s="23">
        <f t="shared" si="62"/>
        <v>20.3</v>
      </c>
      <c r="G133" s="23">
        <f t="shared" si="63"/>
        <v>20.266666666666666</v>
      </c>
      <c r="H133" s="23">
        <f t="shared" si="64"/>
        <v>20.233333333333334</v>
      </c>
      <c r="I133" s="23">
        <f t="shared" si="65"/>
        <v>20.2</v>
      </c>
      <c r="J133" s="23">
        <f t="shared" si="66"/>
        <v>20.166666666666668</v>
      </c>
      <c r="K133" s="23">
        <f t="shared" si="37"/>
        <v>20.133333333333333</v>
      </c>
      <c r="L133" s="23">
        <f t="shared" si="39"/>
        <v>20.100000000000001</v>
      </c>
      <c r="M133" s="23">
        <f t="shared" si="40"/>
        <v>20.066666666666666</v>
      </c>
      <c r="N133" s="23">
        <f t="shared" si="41"/>
        <v>20.033333333333335</v>
      </c>
      <c r="O133" s="23">
        <f t="shared" si="42"/>
        <v>20</v>
      </c>
      <c r="P133" s="23">
        <f t="shared" si="43"/>
        <v>19.966666666666665</v>
      </c>
      <c r="Q133" s="23">
        <f t="shared" si="44"/>
        <v>19.933333333333334</v>
      </c>
      <c r="R133" s="23">
        <f t="shared" si="45"/>
        <v>19.899999999999999</v>
      </c>
      <c r="S133" s="23">
        <f t="shared" si="46"/>
        <v>19.866666666666667</v>
      </c>
      <c r="T133" s="23">
        <f t="shared" si="47"/>
        <v>19.833333333333332</v>
      </c>
      <c r="U133" s="23">
        <f t="shared" si="48"/>
        <v>19.8</v>
      </c>
      <c r="V133" s="23">
        <f t="shared" si="49"/>
        <v>19.766666666666666</v>
      </c>
      <c r="W133" s="23">
        <f t="shared" si="50"/>
        <v>19.733333333333334</v>
      </c>
      <c r="X133" s="23">
        <f t="shared" si="51"/>
        <v>19.7</v>
      </c>
      <c r="Y133" s="23">
        <f t="shared" si="52"/>
        <v>19.666666666666668</v>
      </c>
      <c r="Z133" s="23">
        <f t="shared" si="53"/>
        <v>19.633333333333333</v>
      </c>
      <c r="AA133" s="23">
        <f t="shared" si="54"/>
        <v>19.600000000000001</v>
      </c>
      <c r="AB133" s="23">
        <f t="shared" si="55"/>
        <v>19.566666666666666</v>
      </c>
      <c r="AC133" s="23">
        <f t="shared" si="56"/>
        <v>19.533333333333335</v>
      </c>
      <c r="AD133" s="23">
        <f t="shared" si="57"/>
        <v>19.5</v>
      </c>
      <c r="AE133" s="23">
        <f t="shared" si="58"/>
        <v>19.466666666666665</v>
      </c>
      <c r="AF133" s="23">
        <f t="shared" si="59"/>
        <v>19.433333333333334</v>
      </c>
      <c r="AG133" s="23">
        <f t="shared" si="60"/>
        <v>19.399999999999999</v>
      </c>
      <c r="AH133" s="23">
        <f t="shared" si="61"/>
        <v>19.366666666666667</v>
      </c>
      <c r="AI133" s="8"/>
      <c r="AJ133" s="24" t="str">
        <f t="shared" si="67"/>
        <v>1,2,5,10,61,122,305,610</v>
      </c>
      <c r="AK133" s="10"/>
      <c r="AL133" s="10"/>
      <c r="AM133" s="10"/>
      <c r="AN133" s="10"/>
      <c r="AO133" s="10"/>
      <c r="AP133" s="10"/>
      <c r="AQ133" s="10"/>
    </row>
    <row r="134" spans="1:43" x14ac:dyDescent="0.45">
      <c r="A134" s="11"/>
      <c r="B134" s="8"/>
      <c r="C134" s="8"/>
      <c r="D134" s="8"/>
      <c r="E134" s="9"/>
      <c r="F134" s="9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10"/>
      <c r="AL134" s="10"/>
      <c r="AM134" s="10"/>
      <c r="AN134" s="10"/>
      <c r="AO134" s="10"/>
      <c r="AP134" s="10"/>
      <c r="AQ134" s="10"/>
    </row>
  </sheetData>
  <sheetProtection sheet="1" selectLockedCells="1"/>
  <conditionalFormatting sqref="G10:G22 H8:H22 I9:I22 F8:F22 J8:J22 K13:K22 L8:AH22 F23:AH36 F38:AH38 F131:AH131 F129:AH129">
    <cfRule type="expression" dxfId="41" priority="50">
      <formula>MOD(F8,1)=0</formula>
    </cfRule>
  </conditionalFormatting>
  <conditionalFormatting sqref="E5:F5">
    <cfRule type="expression" dxfId="40" priority="48">
      <formula>$E$5="NOT PRIME"</formula>
    </cfRule>
    <cfRule type="expression" dxfId="39" priority="49">
      <formula>$E$5="PRIME"</formula>
    </cfRule>
  </conditionalFormatting>
  <conditionalFormatting sqref="F8:F22 H8:H22 J8:J22 K13:K22 G10:G22 I9:I22 L8:AH22 F23:AH36 F38:AH38 F131:AH131 F129:AH129">
    <cfRule type="expression" dxfId="38" priority="45">
      <formula>MOD(F8,1)=0</formula>
    </cfRule>
  </conditionalFormatting>
  <conditionalFormatting sqref="G9">
    <cfRule type="expression" dxfId="37" priority="47">
      <formula>MOD(G9,1)=0</formula>
    </cfRule>
  </conditionalFormatting>
  <conditionalFormatting sqref="G9">
    <cfRule type="expression" dxfId="36" priority="46">
      <formula>MOD(G9,1)=0</formula>
    </cfRule>
  </conditionalFormatting>
  <conditionalFormatting sqref="G39:G67 G69:G98 G100:G128">
    <cfRule type="expression" dxfId="35" priority="42">
      <formula>MOD(G39,1)=0</formula>
    </cfRule>
  </conditionalFormatting>
  <conditionalFormatting sqref="F39:F67 F69:F98 F100:F128">
    <cfRule type="expression" dxfId="34" priority="39">
      <formula>MOD(F39,1)=0</formula>
    </cfRule>
  </conditionalFormatting>
  <conditionalFormatting sqref="I8">
    <cfRule type="expression" dxfId="33" priority="35">
      <formula>MOD(I8,1)=0</formula>
    </cfRule>
  </conditionalFormatting>
  <conditionalFormatting sqref="H39:H67 H69:H98 H100:H128">
    <cfRule type="expression" dxfId="32" priority="38">
      <formula>MOD(H39,1)=0</formula>
    </cfRule>
  </conditionalFormatting>
  <conditionalFormatting sqref="H39:H67 H69:H98 H100:H128">
    <cfRule type="expression" dxfId="31" priority="37">
      <formula>MOD(H39,1)=0</formula>
    </cfRule>
  </conditionalFormatting>
  <conditionalFormatting sqref="I39:I67 I69:I98 I100:I128">
    <cfRule type="expression" dxfId="30" priority="34">
      <formula>MOD(I39,1)=0</formula>
    </cfRule>
  </conditionalFormatting>
  <conditionalFormatting sqref="J39:J67 J69:J98 J100:J128">
    <cfRule type="expression" dxfId="29" priority="31">
      <formula>MOD(J39,1)=0</formula>
    </cfRule>
  </conditionalFormatting>
  <conditionalFormatting sqref="K39:K67 K69:K98 K100:K128">
    <cfRule type="expression" dxfId="28" priority="27">
      <formula>MOD(K39,1)=0</formula>
    </cfRule>
  </conditionalFormatting>
  <conditionalFormatting sqref="K8:K12">
    <cfRule type="expression" dxfId="27" priority="30">
      <formula>MOD(K8,1)=0</formula>
    </cfRule>
  </conditionalFormatting>
  <conditionalFormatting sqref="K8:K12">
    <cfRule type="expression" dxfId="26" priority="29">
      <formula>MOD(K8,1)=0</formula>
    </cfRule>
  </conditionalFormatting>
  <conditionalFormatting sqref="G8">
    <cfRule type="expression" dxfId="25" priority="44">
      <formula>MOD(G8,1)=0</formula>
    </cfRule>
  </conditionalFormatting>
  <conditionalFormatting sqref="G8">
    <cfRule type="expression" dxfId="24" priority="43">
      <formula>MOD(G8,1)=0</formula>
    </cfRule>
  </conditionalFormatting>
  <conditionalFormatting sqref="F39:F67 F69:F98 F100:F128">
    <cfRule type="expression" dxfId="23" priority="40">
      <formula>MOD(F39,1)=0</formula>
    </cfRule>
  </conditionalFormatting>
  <conditionalFormatting sqref="G39:G67 G69:G98 G100:G128">
    <cfRule type="expression" dxfId="22" priority="41">
      <formula>MOD(G39,1)=0</formula>
    </cfRule>
  </conditionalFormatting>
  <conditionalFormatting sqref="I8">
    <cfRule type="expression" dxfId="21" priority="36">
      <formula>MOD(I8,1)=0</formula>
    </cfRule>
  </conditionalFormatting>
  <conditionalFormatting sqref="I39:I67 I69:I98 I100:I128">
    <cfRule type="expression" dxfId="20" priority="33">
      <formula>MOD(I39,1)=0</formula>
    </cfRule>
  </conditionalFormatting>
  <conditionalFormatting sqref="J39:J67 J69:J98 J100:J128">
    <cfRule type="expression" dxfId="19" priority="32">
      <formula>MOD(J39,1)=0</formula>
    </cfRule>
  </conditionalFormatting>
  <conditionalFormatting sqref="K39:K67 K69:K98 K100:K128">
    <cfRule type="expression" dxfId="18" priority="28">
      <formula>MOD(K39,1)=0</formula>
    </cfRule>
  </conditionalFormatting>
  <conditionalFormatting sqref="L39:AH67 L69:AH98 L100:AH128">
    <cfRule type="expression" dxfId="17" priority="25">
      <formula>MOD(L39,1)=0</formula>
    </cfRule>
  </conditionalFormatting>
  <conditionalFormatting sqref="L39:AH67 L69:AH98 L100:AH128">
    <cfRule type="expression" dxfId="16" priority="26">
      <formula>MOD(L39,1)=0</formula>
    </cfRule>
  </conditionalFormatting>
  <conditionalFormatting sqref="G132:G133">
    <cfRule type="expression" dxfId="15" priority="24">
      <formula>MOD(G132,1)=0</formula>
    </cfRule>
  </conditionalFormatting>
  <conditionalFormatting sqref="F132:F133">
    <cfRule type="expression" dxfId="14" priority="21">
      <formula>MOD(F132,1)=0</formula>
    </cfRule>
  </conditionalFormatting>
  <conditionalFormatting sqref="H132:H133">
    <cfRule type="expression" dxfId="13" priority="20">
      <formula>MOD(H132,1)=0</formula>
    </cfRule>
  </conditionalFormatting>
  <conditionalFormatting sqref="H132:H133">
    <cfRule type="expression" dxfId="12" priority="19">
      <formula>MOD(H132,1)=0</formula>
    </cfRule>
  </conditionalFormatting>
  <conditionalFormatting sqref="I132:I133">
    <cfRule type="expression" dxfId="11" priority="18">
      <formula>MOD(I132,1)=0</formula>
    </cfRule>
  </conditionalFormatting>
  <conditionalFormatting sqref="J132:J133">
    <cfRule type="expression" dxfId="10" priority="15">
      <formula>MOD(J132,1)=0</formula>
    </cfRule>
  </conditionalFormatting>
  <conditionalFormatting sqref="K132:K133">
    <cfRule type="expression" dxfId="9" priority="13">
      <formula>MOD(K132,1)=0</formula>
    </cfRule>
  </conditionalFormatting>
  <conditionalFormatting sqref="F132:F133">
    <cfRule type="expression" dxfId="8" priority="22">
      <formula>MOD(F132,1)=0</formula>
    </cfRule>
  </conditionalFormatting>
  <conditionalFormatting sqref="G132:G133">
    <cfRule type="expression" dxfId="7" priority="23">
      <formula>MOD(G132,1)=0</formula>
    </cfRule>
  </conditionalFormatting>
  <conditionalFormatting sqref="I132:I133">
    <cfRule type="expression" dxfId="6" priority="17">
      <formula>MOD(I132,1)=0</formula>
    </cfRule>
  </conditionalFormatting>
  <conditionalFormatting sqref="J132:J133">
    <cfRule type="expression" dxfId="5" priority="16">
      <formula>MOD(J132,1)=0</formula>
    </cfRule>
  </conditionalFormatting>
  <conditionalFormatting sqref="K132:K133">
    <cfRule type="expression" dxfId="4" priority="14">
      <formula>MOD(K132,1)=0</formula>
    </cfRule>
  </conditionalFormatting>
  <conditionalFormatting sqref="L132:AH133">
    <cfRule type="expression" dxfId="3" priority="11">
      <formula>MOD(L132,1)=0</formula>
    </cfRule>
  </conditionalFormatting>
  <conditionalFormatting sqref="L132:AH133">
    <cfRule type="expression" dxfId="2" priority="12">
      <formula>MOD(L132,1)=0</formula>
    </cfRule>
  </conditionalFormatting>
  <conditionalFormatting sqref="F7:AH7">
    <cfRule type="expression" dxfId="1" priority="1">
      <formula>MOD(F7,1)=0</formula>
    </cfRule>
  </conditionalFormatting>
  <conditionalFormatting sqref="F7:AH7">
    <cfRule type="expression" dxfId="0" priority="2">
      <formula>MOD(F7,1)=0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0380 Snap In starfam</vt:lpstr>
      <vt:lpstr>0381 Snap In All and (g)</vt:lpstr>
      <vt:lpstr>0382 l-13 r-17</vt:lpstr>
      <vt:lpstr>0381 Snap In All 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2021-12-06T17:24:45Z</dcterms:created>
  <dcterms:modified xsi:type="dcterms:W3CDTF">2022-01-12T02:44:42Z</dcterms:modified>
</cp:coreProperties>
</file>